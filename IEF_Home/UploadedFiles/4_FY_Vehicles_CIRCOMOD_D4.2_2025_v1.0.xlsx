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huimei/Desktop/CIRCOMOD/WP4.2/Vehicles/"/>
    </mc:Choice>
  </mc:AlternateContent>
  <xr:revisionPtr revIDLastSave="0" documentId="13_ncr:1_{757BF24E-46AA-7B45-B7AA-461A6DDF5126}" xr6:coauthVersionLast="47" xr6:coauthVersionMax="47" xr10:uidLastSave="{00000000-0000-0000-0000-000000000000}"/>
  <bookViews>
    <workbookView xWindow="18120" yWindow="1040" windowWidth="27420" windowHeight="21480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D5" i="5"/>
  <c r="E5" i="5"/>
  <c r="F5" i="5"/>
  <c r="G5" i="5"/>
  <c r="H5" i="5"/>
  <c r="I5" i="5"/>
  <c r="J5" i="5"/>
  <c r="B5" i="5"/>
  <c r="D22" i="5"/>
  <c r="C22" i="5"/>
  <c r="B22" i="5"/>
</calcChain>
</file>

<file path=xl/sharedStrings.xml><?xml version="1.0" encoding="utf-8"?>
<sst xmlns="http://schemas.openxmlformats.org/spreadsheetml/2006/main" count="489" uniqueCount="253">
  <si>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</si>
  <si>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</si>
  <si>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</si>
  <si>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</si>
  <si>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</si>
  <si>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</si>
  <si>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</si>
  <si>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</si>
  <si>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</si>
  <si>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</si>
  <si>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D42_02_FY_FabricationYield</t>
  </si>
  <si>
    <t>dataset_version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</si>
  <si>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</si>
  <si>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</si>
  <si>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</si>
  <si>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</si>
  <si>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</si>
  <si>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</si>
  <si>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</si>
  <si>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</si>
  <si>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</si>
  <si>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</si>
  <si>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</si>
  <si>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</si>
  <si>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</si>
  <si>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</si>
  <si>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</si>
  <si>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</si>
  <si>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</si>
  <si>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</si>
  <si>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</si>
  <si>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</si>
  <si>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</si>
  <si>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</si>
  <si>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</si>
  <si>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</si>
  <si>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</si>
  <si>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none</t>
  </si>
  <si>
    <t>product_resolution</t>
  </si>
  <si>
    <t>stats_array_string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</si>
  <si>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</si>
  <si>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</si>
  <si>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</si>
  <si>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</si>
  <si>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</si>
  <si>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</si>
  <si>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</si>
  <si>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</si>
  <si>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</si>
  <si>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</si>
  <si>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</si>
  <si>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</si>
  <si>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</si>
  <si>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</si>
  <si>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Yield factors for various commodity production and waste treatment processes studied by the CIRCOMOD models</t>
  </si>
  <si>
    <t>keywords</t>
  </si>
  <si>
    <t>product production; recycling;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</si>
  <si>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</si>
  <si>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</si>
  <si>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</si>
  <si>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</si>
  <si>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</si>
  <si>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</si>
  <si>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</si>
  <si>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</si>
  <si>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</si>
  <si>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</si>
  <si>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</si>
  <si>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</si>
  <si>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</si>
  <si>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</si>
  <si>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</si>
  <si>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</si>
  <si>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</si>
  <si>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uncertainy info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</si>
  <si>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</si>
  <si>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</si>
  <si>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</si>
  <si>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</si>
  <si>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</si>
  <si>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</si>
  <si>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</si>
  <si>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</si>
  <si>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</si>
  <si>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</si>
  <si>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</si>
  <si>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</si>
  <si>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</si>
  <si>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</si>
  <si>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Fabrication yield of materials into products, Ex: FabYield(steel, car manufacturing, 2010) = 78%.</t>
  </si>
  <si>
    <t>semantic_string_general</t>
  </si>
  <si>
    <t>[Layer] of [engineering_materials]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</si>
  <si>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</si>
  <si>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</si>
  <si>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</si>
  <si>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</si>
  <si>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</si>
  <si>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</si>
  <si>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</si>
  <si>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</si>
  <si>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</si>
  <si>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</si>
  <si>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</si>
  <si>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</si>
  <si>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</si>
  <si>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</si>
  <si>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</si>
  <si>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</si>
  <si>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</si>
  <si>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</si>
  <si>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</si>
  <si>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</si>
  <si>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</si>
  <si>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</si>
  <si>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</si>
  <si>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</si>
  <si>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</si>
  <si>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</si>
  <si>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</si>
  <si>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</si>
  <si>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</si>
  <si>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</si>
  <si>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steel</t>
  </si>
  <si>
    <t>World</t>
  </si>
  <si>
    <t>improved yield</t>
  </si>
  <si>
    <t>example 1</t>
  </si>
  <si>
    <t>-</t>
  </si>
  <si>
    <t>China</t>
  </si>
  <si>
    <t>transportation</t>
  </si>
  <si>
    <t>yield loss</t>
  </si>
  <si>
    <t>Entry_1</t>
  </si>
  <si>
    <t>The yield loss is assumed to decrease linearly from 2020 to 2060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</si>
  <si>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</si>
  <si>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</si>
  <si>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</si>
  <si>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</si>
  <si>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</si>
  <si>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</si>
  <si>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</si>
  <si>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Steel-PHEV</t>
  </si>
  <si>
    <t>vehicles</t>
  </si>
  <si>
    <t>Meng Jiang</t>
  </si>
  <si>
    <t>Modified Cover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</si>
  <si>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</si>
  <si>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</si>
  <si>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</si>
  <si>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steel, many sectors</t>
  </si>
  <si>
    <t>zotin</t>
  </si>
  <si>
    <t>Data compiled by Lin et al.(2023) for steel use in China in multiple sectors</t>
  </si>
  <si>
    <t>1, 2, 3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</si>
  <si>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</si>
  <si>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</si>
  <si>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</si>
  <si>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</si>
  <si>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</si>
  <si>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</si>
  <si>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</si>
  <si>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</si>
  <si>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</si>
  <si>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</si>
  <si>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</si>
  <si>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</si>
  <si>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</si>
  <si>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</si>
  <si>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</si>
  <si>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</si>
  <si>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</si>
  <si>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</si>
  <si>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</si>
  <si>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</si>
  <si>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</si>
  <si>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</si>
  <si>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</si>
  <si>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Raw tables/data could be directly pasted here :)</t>
  </si>
  <si>
    <t>Passenger car</t>
  </si>
  <si>
    <t>Passenger car manufacturing</t>
  </si>
  <si>
    <t>material utilisation (yield)</t>
  </si>
  <si>
    <t>Passenger car, Segment A</t>
  </si>
  <si>
    <t>Passenger car, Segment B</t>
  </si>
  <si>
    <t>Passenger car, Segment C</t>
  </si>
  <si>
    <t>Passenger car, Segment D</t>
  </si>
  <si>
    <t>Passenger car, Segment E</t>
  </si>
  <si>
    <t>Passenger car, Segment F</t>
  </si>
  <si>
    <t>Passenger car, Segment J</t>
  </si>
  <si>
    <t>Passenger car, Segment M</t>
  </si>
  <si>
    <t>Passenger car, Segment S</t>
  </si>
  <si>
    <t>2009-2015</t>
  </si>
  <si>
    <t>sheet metal</t>
  </si>
  <si>
    <t>13;0.54;0.71;none;none;none</t>
  </si>
  <si>
    <t>13;0.43;0.65;none;none;none</t>
  </si>
  <si>
    <t>13;0.52;0.59;none;none;none</t>
  </si>
  <si>
    <t>13;0.47;0.55;none;none;none</t>
  </si>
  <si>
    <t>13;0.50;0.59;none;none;none</t>
  </si>
  <si>
    <t>13;0.47;0.70;none;none;none</t>
  </si>
  <si>
    <t>13;0.39;0.60;none;none;none</t>
  </si>
  <si>
    <t>13;0.37;0.69;none;none;none</t>
  </si>
  <si>
    <t>Steel and aluminium, 1 sample</t>
  </si>
  <si>
    <t>Steel and aluminium, 4 samples</t>
  </si>
  <si>
    <t>Steel and aluminium, 12 samples</t>
  </si>
  <si>
    <t>Steel and aluminium, 7 samples</t>
  </si>
  <si>
    <t>Steel and aluminium, 6 samples</t>
  </si>
  <si>
    <t>Steel and aluminium, 5 samples</t>
  </si>
  <si>
    <t>Steel and aluminium, 2 samples</t>
  </si>
  <si>
    <t>Entry_2</t>
  </si>
  <si>
    <t>vehicle</t>
  </si>
  <si>
    <t>younis</t>
  </si>
  <si>
    <t>Individual sample values extracted from figures and summarised here by average, minium and maximum.</t>
  </si>
  <si>
    <t>Material utilisation of sheet metal in the automotive industry</t>
  </si>
  <si>
    <t>Horton, P. M. and Allwood, J. M.</t>
  </si>
  <si>
    <t>Yield improvement opportunities for manufacturing automotive sheet metal
components</t>
  </si>
  <si>
    <t>Journal of Materials Processing Tech.</t>
  </si>
  <si>
    <t>http://dx.doi.org/10.1016/j.jmatprotec.2017.05.037</t>
  </si>
  <si>
    <t>Asia</t>
  </si>
  <si>
    <t>Europe</t>
  </si>
  <si>
    <t>USA</t>
  </si>
  <si>
    <t>13;0.43;0.71;none;none;none</t>
  </si>
  <si>
    <t>13;0.36;0.64;none;none;none</t>
  </si>
  <si>
    <t>13;0.56;0.65;none;none;none</t>
  </si>
  <si>
    <t>Steel and aluminium, 11 samples</t>
  </si>
  <si>
    <t>Steel and aluminium, 29 samples</t>
  </si>
  <si>
    <t>Vehicle class</t>
  </si>
  <si>
    <t>A</t>
  </si>
  <si>
    <t>B</t>
  </si>
  <si>
    <t>C</t>
  </si>
  <si>
    <t>D</t>
  </si>
  <si>
    <t>E</t>
  </si>
  <si>
    <t>F</t>
  </si>
  <si>
    <t>J</t>
  </si>
  <si>
    <t>M</t>
  </si>
  <si>
    <t>S</t>
  </si>
  <si>
    <t>Raw data</t>
  </si>
  <si>
    <t>Geographical Region vs Material Utilisation</t>
  </si>
  <si>
    <t>https://doi.org/10.1016/j.energy.2021.122434</t>
  </si>
  <si>
    <t>https://doi.org/10.1016/j.jenvman.2020.111220</t>
  </si>
  <si>
    <t>https://doi.org/10.1016/j.jclepro.2023.139038</t>
  </si>
  <si>
    <t>product_type</t>
  </si>
  <si>
    <t>age-cohort</t>
  </si>
  <si>
    <t>strategy</t>
  </si>
  <si>
    <t>layer</t>
  </si>
  <si>
    <t>stats_array string</t>
  </si>
  <si>
    <t>engineering_material</t>
  </si>
  <si>
    <t>process</t>
  </si>
  <si>
    <t>end-use sector</t>
  </si>
  <si>
    <t>use phase - vehicles</t>
  </si>
  <si>
    <t>v1.0</t>
  </si>
  <si>
    <t>Mass ratio</t>
  </si>
  <si>
    <t>Publicly available report or research article</t>
  </si>
  <si>
    <t>miscellaneous licenses, see the comments in the dataset</t>
  </si>
  <si>
    <t>unit nominator</t>
  </si>
  <si>
    <t>unit denominator</t>
  </si>
  <si>
    <t>4_FY_Vehicles_CIRCOMOD_D4.2_2025</t>
  </si>
  <si>
    <t>Assumption based on compilation from scientific literature and expert estimates</t>
  </si>
  <si>
    <t>Yield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</si>
</sst>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3"/>
      <color rgb="FF333333"/>
      <name val="Helvetica Neue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3" borderId="2" xfId="0" applyFont="1" applyFill="1" applyBorder="1" applyAlignment="1">
      <alignment horizontal="center"/>
    </xf>
    <xf numFmtId="0" fontId="5" fillId="0" borderId="0" xfId="0" applyFont="1"/>
    <xf numFmtId="0" fontId="1" fillId="12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8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8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14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11" fillId="0" borderId="0" xfId="2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9" fontId="0" fillId="0" borderId="7" xfId="3" applyFont="1" applyBorder="1"/>
    <xf numFmtId="9" fontId="0" fillId="0" borderId="5" xfId="3" applyFont="1" applyBorder="1"/>
    <xf numFmtId="0" fontId="0" fillId="0" borderId="9" xfId="0" applyBorder="1" applyAlignment="1">
      <alignment vertical="center"/>
    </xf>
    <xf numFmtId="9" fontId="0" fillId="0" borderId="0" xfId="3" applyFont="1" applyBorder="1"/>
    <xf numFmtId="9" fontId="0" fillId="0" borderId="10" xfId="3" applyFont="1" applyBorder="1"/>
    <xf numFmtId="0" fontId="0" fillId="0" borderId="11" xfId="0" applyBorder="1" applyAlignment="1">
      <alignment vertical="center"/>
    </xf>
    <xf numFmtId="9" fontId="0" fillId="0" borderId="12" xfId="3" applyFont="1" applyBorder="1"/>
    <xf numFmtId="9" fontId="0" fillId="0" borderId="0" xfId="3" applyFont="1" applyFill="1" applyBorder="1"/>
    <xf numFmtId="0" fontId="12" fillId="12" borderId="0" xfId="0" applyFont="1" applyFill="1" applyAlignment="1">
      <alignment horizontal="left" vertical="center" wrapText="1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13" fillId="1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14" fillId="0" borderId="10" xfId="0" applyFont="1" applyBorder="1" applyAlignment="1">
      <alignment horizontal="left"/>
    </xf>
    <xf numFmtId="0" fontId="15" fillId="0" borderId="0" xfId="0" applyFont="1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00000000-0005-0000-0000-000000000000}"/>
    <cellStyle name="Percent" xfId="3" builtinId="5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x.doi.org/10.1016/j.jmatprotec.2017.05.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3" zoomScaleNormal="100" workbookViewId="0">
      <selection activeCell="D36" sqref="D36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3.1640625" bestFit="1" customWidth="1"/>
    <col min="4" max="4" width="46.83203125" style="20" customWidth="1"/>
    <col min="5" max="5" width="11.83203125" bestFit="1" customWidth="1"/>
    <col min="6" max="6" width="24.1640625" bestFit="1" customWidth="1"/>
    <col min="7" max="8" width="26" bestFit="1" customWidth="1"/>
    <col min="9" max="9" width="24.83203125" bestFit="1" customWidth="1"/>
    <col min="10" max="11" width="3.1640625" customWidth="1"/>
  </cols>
  <sheetData>
    <row r="1" spans="1:12" x14ac:dyDescent="0.2">
      <c r="E1" s="1"/>
      <c r="H1" s="10"/>
    </row>
    <row r="2" spans="1:12" ht="15.5" customHeight="1" x14ac:dyDescent="0.2">
      <c r="B2" s="85" t="s">
        <v>0</v>
      </c>
      <c r="C2" s="81"/>
      <c r="D2" s="81"/>
      <c r="E2" s="1"/>
      <c r="F2" s="85" t="s">
        <v>1</v>
      </c>
      <c r="G2" s="81"/>
      <c r="H2" s="81"/>
      <c r="I2" s="81"/>
      <c r="L2" s="1"/>
    </row>
    <row r="3" spans="1:12" x14ac:dyDescent="0.2">
      <c r="B3" s="31"/>
      <c r="C3" s="45" t="s">
        <v>2</v>
      </c>
      <c r="D3" s="46" t="s">
        <v>3</v>
      </c>
      <c r="E3" s="1"/>
      <c r="L3" s="1"/>
    </row>
    <row r="4" spans="1:12" x14ac:dyDescent="0.2">
      <c r="A4">
        <v>1</v>
      </c>
      <c r="B4" s="86" t="s">
        <v>4</v>
      </c>
      <c r="C4" s="47" t="s">
        <v>5</v>
      </c>
      <c r="D4" s="48" t="s">
        <v>6</v>
      </c>
      <c r="E4" s="1" t="s">
        <v>7</v>
      </c>
      <c r="F4" s="5" t="s">
        <v>8</v>
      </c>
      <c r="G4" s="32"/>
      <c r="H4" s="32"/>
      <c r="I4" s="33"/>
      <c r="L4" s="1"/>
    </row>
    <row r="5" spans="1:12" x14ac:dyDescent="0.2">
      <c r="A5">
        <v>2</v>
      </c>
      <c r="B5" s="81"/>
      <c r="C5" s="49" t="s">
        <v>9</v>
      </c>
      <c r="D5" s="78" t="s">
        <v>250</v>
      </c>
      <c r="E5" s="1" t="s">
        <v>7</v>
      </c>
      <c r="F5" s="34"/>
      <c r="I5" s="35"/>
      <c r="L5" s="1"/>
    </row>
    <row r="6" spans="1:12" x14ac:dyDescent="0.2">
      <c r="A6">
        <v>3</v>
      </c>
      <c r="B6" s="50"/>
      <c r="C6" s="49" t="s">
        <v>11</v>
      </c>
      <c r="D6" s="78" t="s">
        <v>244</v>
      </c>
      <c r="E6" s="1" t="s">
        <v>7</v>
      </c>
      <c r="F6" s="6" t="s">
        <v>12</v>
      </c>
      <c r="G6" s="36" t="s">
        <v>13</v>
      </c>
      <c r="H6" s="4"/>
      <c r="I6" s="7"/>
      <c r="L6" s="1"/>
    </row>
    <row r="7" spans="1:12" x14ac:dyDescent="0.2">
      <c r="A7">
        <v>4</v>
      </c>
      <c r="B7" s="87" t="s">
        <v>14</v>
      </c>
      <c r="C7" s="49" t="s">
        <v>15</v>
      </c>
      <c r="D7" s="9" t="s">
        <v>16</v>
      </c>
      <c r="E7" s="1" t="s">
        <v>7</v>
      </c>
      <c r="F7" s="6" t="s">
        <v>17</v>
      </c>
      <c r="G7" s="36" t="s">
        <v>18</v>
      </c>
      <c r="H7" s="8"/>
      <c r="I7" s="9"/>
      <c r="L7" s="1"/>
    </row>
    <row r="8" spans="1:12" x14ac:dyDescent="0.2">
      <c r="A8">
        <v>5</v>
      </c>
      <c r="B8" s="81"/>
      <c r="C8" s="49" t="s">
        <v>19</v>
      </c>
      <c r="D8" s="78">
        <v>4</v>
      </c>
      <c r="E8" s="1" t="s">
        <v>7</v>
      </c>
      <c r="F8" s="6" t="s">
        <v>20</v>
      </c>
      <c r="G8" s="36" t="s">
        <v>18</v>
      </c>
      <c r="H8" s="10"/>
      <c r="I8" s="11"/>
      <c r="L8" s="1"/>
    </row>
    <row r="9" spans="1:12" x14ac:dyDescent="0.2">
      <c r="A9">
        <v>6</v>
      </c>
      <c r="B9" s="81"/>
      <c r="C9" s="49" t="s">
        <v>21</v>
      </c>
      <c r="D9" s="78" t="s">
        <v>252</v>
      </c>
      <c r="E9" s="1" t="s">
        <v>7</v>
      </c>
      <c r="F9" s="6" t="s">
        <v>22</v>
      </c>
      <c r="G9" s="36" t="s">
        <v>18</v>
      </c>
      <c r="H9" s="10"/>
      <c r="I9" s="11"/>
      <c r="L9" s="1"/>
    </row>
    <row r="10" spans="1:12" x14ac:dyDescent="0.2">
      <c r="A10">
        <v>7</v>
      </c>
      <c r="B10" s="81"/>
      <c r="C10" s="49" t="s">
        <v>23</v>
      </c>
      <c r="D10" s="78" t="s">
        <v>245</v>
      </c>
      <c r="E10" s="1" t="s">
        <v>7</v>
      </c>
      <c r="F10" s="12" t="s">
        <v>24</v>
      </c>
      <c r="G10" s="13" t="s">
        <v>18</v>
      </c>
      <c r="H10" s="14" t="s">
        <v>25</v>
      </c>
      <c r="I10" s="19">
        <v>14</v>
      </c>
      <c r="L10" s="1"/>
    </row>
    <row r="11" spans="1:12" x14ac:dyDescent="0.2">
      <c r="A11">
        <v>8</v>
      </c>
      <c r="B11" s="88" t="s">
        <v>26</v>
      </c>
      <c r="C11" s="51" t="s">
        <v>27</v>
      </c>
      <c r="D11" s="52" t="s">
        <v>28</v>
      </c>
      <c r="E11" s="1" t="s">
        <v>7</v>
      </c>
      <c r="F11" s="24" t="s">
        <v>29</v>
      </c>
      <c r="G11" s="25" t="s">
        <v>30</v>
      </c>
      <c r="H11" s="25" t="s">
        <v>31</v>
      </c>
      <c r="I11" s="26" t="s">
        <v>32</v>
      </c>
      <c r="L11" s="1"/>
    </row>
    <row r="12" spans="1:12" ht="17" x14ac:dyDescent="0.2">
      <c r="A12">
        <v>9</v>
      </c>
      <c r="B12" s="81"/>
      <c r="C12" s="51" t="s">
        <v>33</v>
      </c>
      <c r="D12" s="9" t="s">
        <v>34</v>
      </c>
      <c r="E12" s="1" t="s">
        <v>7</v>
      </c>
      <c r="F12" s="79" t="s">
        <v>240</v>
      </c>
      <c r="G12" s="3">
        <v>1</v>
      </c>
      <c r="H12" s="38" t="s">
        <v>35</v>
      </c>
      <c r="I12" s="39"/>
      <c r="L12" s="1"/>
    </row>
    <row r="13" spans="1:12" x14ac:dyDescent="0.2">
      <c r="A13">
        <v>10</v>
      </c>
      <c r="B13" s="81"/>
      <c r="C13" s="51" t="s">
        <v>36</v>
      </c>
      <c r="D13" s="9" t="s">
        <v>37</v>
      </c>
      <c r="E13" s="1" t="s">
        <v>7</v>
      </c>
      <c r="F13" s="37" t="s">
        <v>235</v>
      </c>
      <c r="G13" s="3">
        <v>1</v>
      </c>
      <c r="H13" s="38" t="s">
        <v>248</v>
      </c>
      <c r="I13" s="39"/>
      <c r="L13" s="1"/>
    </row>
    <row r="14" spans="1:12" x14ac:dyDescent="0.2">
      <c r="A14">
        <v>11</v>
      </c>
      <c r="B14" s="81"/>
      <c r="C14" s="51" t="s">
        <v>38</v>
      </c>
      <c r="D14" s="9" t="s">
        <v>37</v>
      </c>
      <c r="E14" s="1" t="s">
        <v>7</v>
      </c>
      <c r="F14" s="37" t="s">
        <v>241</v>
      </c>
      <c r="G14" s="3">
        <v>1</v>
      </c>
      <c r="H14" s="38" t="s">
        <v>249</v>
      </c>
      <c r="I14" s="39"/>
      <c r="L14" s="1"/>
    </row>
    <row r="15" spans="1:12" x14ac:dyDescent="0.2">
      <c r="A15">
        <v>12</v>
      </c>
      <c r="B15" s="81"/>
      <c r="C15" s="51" t="s">
        <v>40</v>
      </c>
      <c r="D15" s="9" t="s">
        <v>41</v>
      </c>
      <c r="E15" s="1" t="s">
        <v>7</v>
      </c>
      <c r="F15" s="37" t="s">
        <v>236</v>
      </c>
      <c r="G15" s="3">
        <v>1</v>
      </c>
      <c r="H15" s="38" t="s">
        <v>39</v>
      </c>
      <c r="I15" s="39"/>
      <c r="L15" s="1"/>
    </row>
    <row r="16" spans="1:12" x14ac:dyDescent="0.2">
      <c r="A16">
        <v>13</v>
      </c>
      <c r="B16" s="81"/>
      <c r="C16" s="51" t="s">
        <v>43</v>
      </c>
      <c r="D16" s="9" t="s">
        <v>44</v>
      </c>
      <c r="E16" s="1" t="s">
        <v>7</v>
      </c>
      <c r="F16" s="37" t="s">
        <v>119</v>
      </c>
      <c r="G16" s="3">
        <v>1</v>
      </c>
      <c r="H16" s="38" t="s">
        <v>42</v>
      </c>
      <c r="I16" s="39"/>
      <c r="L16" s="1"/>
    </row>
    <row r="17" spans="1:15" x14ac:dyDescent="0.2">
      <c r="A17">
        <v>14</v>
      </c>
      <c r="B17" s="81"/>
      <c r="C17" s="51" t="s">
        <v>45</v>
      </c>
      <c r="D17" s="9" t="s">
        <v>46</v>
      </c>
      <c r="E17" s="1" t="s">
        <v>7</v>
      </c>
      <c r="F17" s="37" t="s">
        <v>237</v>
      </c>
      <c r="G17" s="3">
        <v>1</v>
      </c>
      <c r="H17" s="38" t="s">
        <v>74</v>
      </c>
      <c r="I17" s="35"/>
      <c r="L17" s="1"/>
    </row>
    <row r="18" spans="1:15" x14ac:dyDescent="0.2">
      <c r="A18">
        <v>15</v>
      </c>
      <c r="B18" s="81"/>
      <c r="C18" s="51" t="s">
        <v>47</v>
      </c>
      <c r="D18" s="9" t="s">
        <v>48</v>
      </c>
      <c r="E18" s="1" t="s">
        <v>7</v>
      </c>
      <c r="F18" s="37" t="s">
        <v>242</v>
      </c>
      <c r="G18" s="44">
        <v>1</v>
      </c>
      <c r="H18" s="38" t="s">
        <v>120</v>
      </c>
      <c r="I18" s="35"/>
      <c r="L18" s="1"/>
    </row>
    <row r="19" spans="1:15" x14ac:dyDescent="0.2">
      <c r="A19">
        <v>16</v>
      </c>
      <c r="B19" s="81"/>
      <c r="C19" s="51" t="s">
        <v>49</v>
      </c>
      <c r="D19" s="9" t="s">
        <v>186</v>
      </c>
      <c r="E19" s="1" t="s">
        <v>7</v>
      </c>
      <c r="F19" s="37" t="s">
        <v>238</v>
      </c>
      <c r="G19" s="44">
        <v>1</v>
      </c>
      <c r="H19" s="38" t="s">
        <v>121</v>
      </c>
      <c r="I19" s="35"/>
      <c r="L19" s="1"/>
    </row>
    <row r="20" spans="1:15" x14ac:dyDescent="0.2">
      <c r="A20">
        <v>17</v>
      </c>
      <c r="B20" s="81"/>
      <c r="C20" s="51" t="s">
        <v>50</v>
      </c>
      <c r="D20" s="9" t="s">
        <v>51</v>
      </c>
      <c r="E20" s="1" t="s">
        <v>7</v>
      </c>
      <c r="F20" s="34"/>
      <c r="I20" s="35"/>
      <c r="L20" s="1"/>
    </row>
    <row r="21" spans="1:15" x14ac:dyDescent="0.2">
      <c r="A21">
        <v>18</v>
      </c>
      <c r="B21" s="89" t="s">
        <v>52</v>
      </c>
      <c r="C21" s="51" t="s">
        <v>53</v>
      </c>
      <c r="D21" s="9" t="s">
        <v>54</v>
      </c>
      <c r="E21" s="1" t="s">
        <v>7</v>
      </c>
      <c r="F21" s="40"/>
      <c r="G21" s="41"/>
      <c r="H21" s="41"/>
      <c r="I21" s="42"/>
      <c r="L21" s="1"/>
    </row>
    <row r="22" spans="1:15" x14ac:dyDescent="0.2">
      <c r="A22">
        <v>19</v>
      </c>
      <c r="B22" s="81"/>
      <c r="C22" s="51" t="s">
        <v>55</v>
      </c>
      <c r="D22" s="9" t="s">
        <v>56</v>
      </c>
      <c r="E22" s="1" t="s">
        <v>7</v>
      </c>
      <c r="L22" s="1"/>
    </row>
    <row r="23" spans="1:15" x14ac:dyDescent="0.2">
      <c r="A23">
        <v>20</v>
      </c>
      <c r="B23" s="81"/>
      <c r="C23" s="51" t="s">
        <v>57</v>
      </c>
      <c r="D23" s="78" t="s">
        <v>251</v>
      </c>
      <c r="E23" s="1" t="s">
        <v>7</v>
      </c>
      <c r="L23" s="1"/>
      <c r="N23" s="15"/>
    </row>
    <row r="24" spans="1:15" x14ac:dyDescent="0.2">
      <c r="A24">
        <v>21</v>
      </c>
      <c r="B24" s="81"/>
      <c r="C24" s="51" t="s">
        <v>58</v>
      </c>
      <c r="D24" s="53" t="s">
        <v>59</v>
      </c>
      <c r="E24" s="1" t="s">
        <v>7</v>
      </c>
      <c r="H24" s="10"/>
      <c r="L24" s="1"/>
      <c r="N24" s="4"/>
      <c r="O24" s="1"/>
    </row>
    <row r="25" spans="1:15" x14ac:dyDescent="0.2">
      <c r="A25">
        <v>22</v>
      </c>
      <c r="B25" s="81"/>
      <c r="C25" s="51" t="s">
        <v>42</v>
      </c>
      <c r="D25" s="9"/>
      <c r="E25" s="1" t="s">
        <v>7</v>
      </c>
      <c r="G25" s="15"/>
      <c r="L25" s="1"/>
      <c r="N25" s="4"/>
    </row>
    <row r="26" spans="1:15" x14ac:dyDescent="0.2">
      <c r="A26">
        <v>23</v>
      </c>
      <c r="B26" s="80" t="s">
        <v>60</v>
      </c>
      <c r="C26" s="54" t="s">
        <v>61</v>
      </c>
      <c r="D26" s="78" t="s">
        <v>240</v>
      </c>
      <c r="E26" s="1" t="s">
        <v>7</v>
      </c>
      <c r="G26" s="4"/>
      <c r="H26" s="1"/>
      <c r="L26" s="1"/>
      <c r="N26" s="4"/>
    </row>
    <row r="27" spans="1:15" x14ac:dyDescent="0.2">
      <c r="A27">
        <v>24</v>
      </c>
      <c r="B27" s="81"/>
      <c r="C27" s="54" t="s">
        <v>62</v>
      </c>
      <c r="D27" s="78">
        <v>4</v>
      </c>
      <c r="E27" s="1" t="s">
        <v>7</v>
      </c>
      <c r="G27" s="4"/>
      <c r="L27" s="1"/>
      <c r="N27" s="4"/>
      <c r="O27" s="1"/>
    </row>
    <row r="28" spans="1:15" x14ac:dyDescent="0.2">
      <c r="A28">
        <v>25</v>
      </c>
      <c r="B28" s="81"/>
      <c r="C28" s="54" t="s">
        <v>63</v>
      </c>
      <c r="D28" s="78" t="s">
        <v>235</v>
      </c>
      <c r="E28" s="1" t="s">
        <v>7</v>
      </c>
      <c r="G28" s="4"/>
      <c r="L28" s="1"/>
      <c r="N28" s="4"/>
      <c r="O28" s="1"/>
    </row>
    <row r="29" spans="1:15" x14ac:dyDescent="0.2">
      <c r="A29">
        <v>26</v>
      </c>
      <c r="B29" s="81"/>
      <c r="C29" s="54" t="s">
        <v>64</v>
      </c>
      <c r="D29" s="78">
        <v>7</v>
      </c>
      <c r="E29" s="1" t="s">
        <v>7</v>
      </c>
      <c r="G29" s="4"/>
      <c r="H29" s="1"/>
      <c r="N29" s="4"/>
      <c r="O29" s="1"/>
    </row>
    <row r="30" spans="1:15" x14ac:dyDescent="0.2">
      <c r="A30">
        <v>27</v>
      </c>
      <c r="B30" s="81"/>
      <c r="C30" s="54" t="s">
        <v>65</v>
      </c>
      <c r="D30" s="78" t="s">
        <v>241</v>
      </c>
      <c r="E30" s="1" t="s">
        <v>7</v>
      </c>
      <c r="G30" s="4"/>
      <c r="H30" s="1"/>
      <c r="N30" s="4"/>
    </row>
    <row r="31" spans="1:15" x14ac:dyDescent="0.2">
      <c r="A31">
        <v>28</v>
      </c>
      <c r="B31" s="81"/>
      <c r="C31" s="54" t="s">
        <v>66</v>
      </c>
      <c r="D31" s="78">
        <v>82</v>
      </c>
      <c r="E31" s="1" t="s">
        <v>7</v>
      </c>
      <c r="G31" s="4"/>
      <c r="H31" s="1"/>
      <c r="N31" s="4"/>
    </row>
    <row r="32" spans="1:15" x14ac:dyDescent="0.2">
      <c r="A32">
        <v>29</v>
      </c>
      <c r="B32" s="81"/>
      <c r="C32" s="54" t="s">
        <v>67</v>
      </c>
      <c r="D32" s="78" t="s">
        <v>236</v>
      </c>
      <c r="E32" s="1" t="s">
        <v>7</v>
      </c>
      <c r="G32" s="4"/>
      <c r="N32" s="4"/>
    </row>
    <row r="33" spans="1:17" x14ac:dyDescent="0.2">
      <c r="A33">
        <v>30</v>
      </c>
      <c r="B33" s="81"/>
      <c r="C33" s="54" t="s">
        <v>68</v>
      </c>
      <c r="D33" s="78">
        <v>14</v>
      </c>
      <c r="E33" s="1" t="s">
        <v>7</v>
      </c>
      <c r="G33" s="4"/>
      <c r="N33" s="4"/>
      <c r="O33" s="2"/>
    </row>
    <row r="34" spans="1:17" x14ac:dyDescent="0.2">
      <c r="A34">
        <v>31</v>
      </c>
      <c r="B34" s="81"/>
      <c r="C34" s="54" t="s">
        <v>69</v>
      </c>
      <c r="D34" s="78" t="s">
        <v>119</v>
      </c>
      <c r="E34" s="1" t="s">
        <v>7</v>
      </c>
      <c r="G34" s="4"/>
      <c r="N34" s="4"/>
      <c r="O34" s="2"/>
    </row>
    <row r="35" spans="1:17" x14ac:dyDescent="0.2">
      <c r="A35">
        <v>32</v>
      </c>
      <c r="B35" s="81"/>
      <c r="C35" s="54" t="s">
        <v>70</v>
      </c>
      <c r="D35" s="78">
        <v>2</v>
      </c>
      <c r="E35" s="1" t="s">
        <v>7</v>
      </c>
      <c r="G35" s="4"/>
      <c r="H35" s="2"/>
      <c r="N35" s="4"/>
    </row>
    <row r="36" spans="1:17" x14ac:dyDescent="0.2">
      <c r="A36">
        <v>33</v>
      </c>
      <c r="B36" s="81"/>
      <c r="C36" s="54" t="s">
        <v>71</v>
      </c>
      <c r="D36" s="78" t="s">
        <v>237</v>
      </c>
      <c r="E36" s="1" t="s">
        <v>7</v>
      </c>
      <c r="G36" s="4"/>
      <c r="H36" s="2"/>
      <c r="N36" s="4"/>
      <c r="O36" s="1"/>
    </row>
    <row r="37" spans="1:17" x14ac:dyDescent="0.2">
      <c r="A37">
        <v>34</v>
      </c>
      <c r="B37" s="81"/>
      <c r="C37" s="54" t="s">
        <v>72</v>
      </c>
      <c r="D37" s="78">
        <v>86</v>
      </c>
      <c r="E37" s="1" t="s">
        <v>7</v>
      </c>
      <c r="G37" s="4"/>
      <c r="N37" s="4"/>
    </row>
    <row r="38" spans="1:17" x14ac:dyDescent="0.2">
      <c r="A38">
        <v>35</v>
      </c>
      <c r="B38" s="81"/>
      <c r="C38" s="54" t="s">
        <v>73</v>
      </c>
      <c r="D38" s="78" t="s">
        <v>242</v>
      </c>
      <c r="E38" s="1" t="s">
        <v>7</v>
      </c>
      <c r="G38" s="4"/>
      <c r="H38" s="1"/>
      <c r="N38" s="4"/>
    </row>
    <row r="39" spans="1:17" x14ac:dyDescent="0.2">
      <c r="A39">
        <v>36</v>
      </c>
      <c r="B39" s="81"/>
      <c r="C39" s="54" t="s">
        <v>75</v>
      </c>
      <c r="D39" s="78">
        <v>6</v>
      </c>
      <c r="E39" s="1" t="s">
        <v>7</v>
      </c>
      <c r="G39" s="4"/>
      <c r="N39" s="4"/>
    </row>
    <row r="40" spans="1:17" x14ac:dyDescent="0.2">
      <c r="A40">
        <v>37</v>
      </c>
      <c r="B40" s="81"/>
      <c r="C40" s="54" t="s">
        <v>76</v>
      </c>
      <c r="D40" s="78" t="s">
        <v>238</v>
      </c>
      <c r="E40" s="1" t="s">
        <v>7</v>
      </c>
      <c r="G40" s="4"/>
      <c r="N40" s="4"/>
    </row>
    <row r="41" spans="1:17" x14ac:dyDescent="0.2">
      <c r="A41">
        <v>38</v>
      </c>
      <c r="B41" s="81"/>
      <c r="C41" s="54" t="s">
        <v>77</v>
      </c>
      <c r="D41" s="78">
        <v>20</v>
      </c>
      <c r="E41" s="1" t="s">
        <v>7</v>
      </c>
      <c r="G41" s="4"/>
      <c r="N41" s="4"/>
    </row>
    <row r="42" spans="1:17" x14ac:dyDescent="0.2">
      <c r="A42">
        <v>39</v>
      </c>
      <c r="B42" s="81"/>
      <c r="C42" s="54" t="s">
        <v>78</v>
      </c>
      <c r="D42" s="9" t="s">
        <v>37</v>
      </c>
      <c r="E42" s="1" t="s">
        <v>7</v>
      </c>
      <c r="G42" s="4"/>
      <c r="N42" s="4"/>
    </row>
    <row r="43" spans="1:17" x14ac:dyDescent="0.2">
      <c r="A43">
        <v>40</v>
      </c>
      <c r="B43" s="81"/>
      <c r="C43" s="54" t="s">
        <v>79</v>
      </c>
      <c r="D43" s="9" t="s">
        <v>37</v>
      </c>
      <c r="E43" s="1" t="s">
        <v>7</v>
      </c>
      <c r="G43" s="4"/>
      <c r="N43" s="4"/>
      <c r="O43" s="15"/>
      <c r="P43" s="16"/>
      <c r="Q43" s="17"/>
    </row>
    <row r="44" spans="1:17" x14ac:dyDescent="0.2">
      <c r="A44">
        <v>41</v>
      </c>
      <c r="B44" s="81"/>
      <c r="C44" s="54" t="s">
        <v>80</v>
      </c>
      <c r="D44" s="9" t="s">
        <v>37</v>
      </c>
      <c r="E44" s="1" t="s">
        <v>7</v>
      </c>
      <c r="G44" s="4"/>
      <c r="N44" s="4"/>
      <c r="O44" s="4"/>
      <c r="P44" s="4"/>
      <c r="Q44" s="4"/>
    </row>
    <row r="45" spans="1:17" x14ac:dyDescent="0.2">
      <c r="A45">
        <v>42</v>
      </c>
      <c r="B45" s="81"/>
      <c r="C45" s="54" t="s">
        <v>81</v>
      </c>
      <c r="D45" s="9" t="s">
        <v>37</v>
      </c>
      <c r="E45" s="1" t="s">
        <v>7</v>
      </c>
      <c r="G45" s="4"/>
      <c r="H45" s="15"/>
      <c r="I45" s="16"/>
      <c r="O45" s="3"/>
      <c r="Q45" s="2"/>
    </row>
    <row r="46" spans="1:17" x14ac:dyDescent="0.2">
      <c r="A46">
        <v>43</v>
      </c>
      <c r="B46" s="81"/>
      <c r="C46" s="54" t="s">
        <v>82</v>
      </c>
      <c r="D46" s="9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2">
      <c r="A47">
        <v>44</v>
      </c>
      <c r="B47" s="81"/>
      <c r="C47" s="54" t="s">
        <v>83</v>
      </c>
      <c r="D47" s="9" t="s">
        <v>37</v>
      </c>
      <c r="E47" s="1" t="s">
        <v>7</v>
      </c>
      <c r="H47" s="43"/>
      <c r="N47" s="10"/>
      <c r="O47" s="3"/>
      <c r="Q47" s="2"/>
    </row>
    <row r="48" spans="1:17" x14ac:dyDescent="0.2">
      <c r="A48">
        <v>45</v>
      </c>
      <c r="B48" s="81"/>
      <c r="C48" s="54" t="s">
        <v>84</v>
      </c>
      <c r="D48" s="9" t="s">
        <v>37</v>
      </c>
      <c r="E48" s="1" t="s">
        <v>7</v>
      </c>
      <c r="H48" s="3"/>
      <c r="N48" s="10"/>
      <c r="O48" s="3"/>
      <c r="Q48" s="2"/>
    </row>
    <row r="49" spans="1:17" x14ac:dyDescent="0.2">
      <c r="A49">
        <v>46</v>
      </c>
      <c r="B49" s="81"/>
      <c r="C49" s="54" t="s">
        <v>85</v>
      </c>
      <c r="D49" s="9" t="s">
        <v>37</v>
      </c>
      <c r="E49" s="1" t="s">
        <v>7</v>
      </c>
      <c r="G49" s="10"/>
      <c r="H49" s="3"/>
      <c r="Q49" s="2"/>
    </row>
    <row r="50" spans="1:17" x14ac:dyDescent="0.2">
      <c r="A50">
        <v>47</v>
      </c>
      <c r="B50" s="81"/>
      <c r="C50" s="51" t="s">
        <v>86</v>
      </c>
      <c r="D50" s="9" t="s">
        <v>87</v>
      </c>
      <c r="E50" s="1" t="s">
        <v>7</v>
      </c>
      <c r="H50" s="44"/>
    </row>
    <row r="51" spans="1:17" x14ac:dyDescent="0.2">
      <c r="A51">
        <v>48</v>
      </c>
      <c r="B51" s="81"/>
      <c r="C51" s="51" t="s">
        <v>88</v>
      </c>
      <c r="D51" s="55" t="s">
        <v>89</v>
      </c>
      <c r="E51" s="1" t="s">
        <v>7</v>
      </c>
      <c r="H51" s="44"/>
    </row>
    <row r="52" spans="1:17" x14ac:dyDescent="0.2">
      <c r="A52">
        <v>49</v>
      </c>
      <c r="B52" s="81"/>
      <c r="C52" s="51" t="s">
        <v>90</v>
      </c>
      <c r="D52" s="9" t="s">
        <v>91</v>
      </c>
      <c r="E52" s="1" t="s">
        <v>7</v>
      </c>
      <c r="H52" s="44"/>
    </row>
    <row r="53" spans="1:17" x14ac:dyDescent="0.2">
      <c r="A53">
        <v>50</v>
      </c>
      <c r="B53" s="82" t="s">
        <v>92</v>
      </c>
      <c r="C53" s="49" t="s">
        <v>93</v>
      </c>
      <c r="D53" s="78" t="s">
        <v>246</v>
      </c>
      <c r="E53" s="1" t="s">
        <v>7</v>
      </c>
    </row>
    <row r="54" spans="1:17" x14ac:dyDescent="0.2">
      <c r="A54">
        <v>51</v>
      </c>
      <c r="B54" s="81"/>
      <c r="C54" s="49" t="s">
        <v>95</v>
      </c>
      <c r="D54" s="78" t="s">
        <v>247</v>
      </c>
      <c r="E54" s="1" t="s">
        <v>7</v>
      </c>
    </row>
    <row r="55" spans="1:17" x14ac:dyDescent="0.2">
      <c r="A55">
        <v>52</v>
      </c>
      <c r="B55" s="81"/>
      <c r="C55" s="49" t="s">
        <v>96</v>
      </c>
      <c r="D55" s="56" t="s">
        <v>94</v>
      </c>
      <c r="E55" s="1" t="s">
        <v>7</v>
      </c>
    </row>
    <row r="56" spans="1:17" x14ac:dyDescent="0.2">
      <c r="A56">
        <v>53</v>
      </c>
      <c r="B56" s="81"/>
      <c r="C56" s="49" t="s">
        <v>97</v>
      </c>
      <c r="D56" s="56" t="s">
        <v>94</v>
      </c>
      <c r="E56" s="1" t="s">
        <v>7</v>
      </c>
    </row>
    <row r="57" spans="1:17" x14ac:dyDescent="0.2">
      <c r="A57">
        <v>54</v>
      </c>
      <c r="B57" s="81"/>
      <c r="C57" s="51" t="s">
        <v>98</v>
      </c>
      <c r="D57" s="56" t="s">
        <v>94</v>
      </c>
      <c r="E57" s="1" t="s">
        <v>7</v>
      </c>
    </row>
    <row r="58" spans="1:17" x14ac:dyDescent="0.2">
      <c r="A58">
        <v>55</v>
      </c>
      <c r="B58" s="81"/>
      <c r="C58" s="49" t="s">
        <v>99</v>
      </c>
      <c r="D58" s="56" t="s">
        <v>100</v>
      </c>
      <c r="E58" s="1" t="s">
        <v>7</v>
      </c>
    </row>
    <row r="59" spans="1:17" x14ac:dyDescent="0.2">
      <c r="A59">
        <v>56</v>
      </c>
      <c r="B59" s="81"/>
      <c r="C59" s="49" t="s">
        <v>101</v>
      </c>
      <c r="D59" s="56" t="s">
        <v>100</v>
      </c>
      <c r="E59" s="1" t="s">
        <v>7</v>
      </c>
    </row>
    <row r="60" spans="1:17" x14ac:dyDescent="0.2">
      <c r="A60">
        <v>57</v>
      </c>
      <c r="B60" s="81"/>
      <c r="C60" s="49" t="s">
        <v>102</v>
      </c>
      <c r="D60" s="52">
        <v>1</v>
      </c>
      <c r="E60" s="1" t="s">
        <v>7</v>
      </c>
    </row>
    <row r="61" spans="1:17" x14ac:dyDescent="0.2">
      <c r="A61">
        <v>58</v>
      </c>
      <c r="B61" s="83" t="s">
        <v>103</v>
      </c>
      <c r="C61" s="49" t="s">
        <v>104</v>
      </c>
      <c r="D61" s="56" t="s">
        <v>100</v>
      </c>
      <c r="E61" s="1" t="s">
        <v>7</v>
      </c>
    </row>
    <row r="62" spans="1:17" x14ac:dyDescent="0.2">
      <c r="A62">
        <v>59</v>
      </c>
      <c r="B62" s="81"/>
      <c r="C62" s="49" t="s">
        <v>105</v>
      </c>
      <c r="D62" s="53" t="s">
        <v>59</v>
      </c>
      <c r="E62" s="1" t="s">
        <v>7</v>
      </c>
    </row>
    <row r="63" spans="1:17" x14ac:dyDescent="0.2">
      <c r="A63">
        <v>60</v>
      </c>
      <c r="B63" s="81"/>
      <c r="C63" s="49" t="s">
        <v>106</v>
      </c>
      <c r="D63" s="9" t="s">
        <v>107</v>
      </c>
      <c r="E63" s="1" t="s">
        <v>7</v>
      </c>
    </row>
    <row r="64" spans="1:17" x14ac:dyDescent="0.2">
      <c r="A64">
        <v>61</v>
      </c>
      <c r="B64" s="81"/>
      <c r="C64" s="49" t="s">
        <v>108</v>
      </c>
      <c r="D64" s="9" t="s">
        <v>109</v>
      </c>
      <c r="E64" s="1" t="s">
        <v>7</v>
      </c>
    </row>
    <row r="65" spans="1:5" x14ac:dyDescent="0.2">
      <c r="A65">
        <v>62</v>
      </c>
      <c r="B65" s="81"/>
      <c r="C65" s="49" t="s">
        <v>110</v>
      </c>
      <c r="D65" s="35"/>
      <c r="E65" s="1" t="s">
        <v>7</v>
      </c>
    </row>
    <row r="66" spans="1:5" x14ac:dyDescent="0.2">
      <c r="A66">
        <v>63</v>
      </c>
      <c r="B66" s="81"/>
      <c r="C66" s="49" t="s">
        <v>111</v>
      </c>
      <c r="D66" s="35"/>
      <c r="E66" s="1" t="s">
        <v>7</v>
      </c>
    </row>
    <row r="67" spans="1:5" x14ac:dyDescent="0.2">
      <c r="A67">
        <v>64</v>
      </c>
      <c r="B67" s="81"/>
      <c r="C67" s="49" t="s">
        <v>112</v>
      </c>
      <c r="D67" s="35"/>
      <c r="E67" s="1" t="s">
        <v>7</v>
      </c>
    </row>
    <row r="68" spans="1:5" x14ac:dyDescent="0.2">
      <c r="A68">
        <v>65</v>
      </c>
      <c r="B68" s="84" t="s">
        <v>113</v>
      </c>
      <c r="C68" s="34" t="s">
        <v>114</v>
      </c>
      <c r="D68" s="35"/>
      <c r="E68" s="1" t="s">
        <v>7</v>
      </c>
    </row>
    <row r="69" spans="1:5" x14ac:dyDescent="0.2">
      <c r="A69">
        <v>66</v>
      </c>
      <c r="B69" s="81"/>
      <c r="C69" s="34" t="s">
        <v>115</v>
      </c>
      <c r="D69" s="35"/>
      <c r="E69" s="1" t="s">
        <v>7</v>
      </c>
    </row>
    <row r="70" spans="1:5" x14ac:dyDescent="0.2">
      <c r="A70">
        <v>67</v>
      </c>
      <c r="B70" s="81"/>
      <c r="C70" s="34" t="s">
        <v>116</v>
      </c>
      <c r="D70" s="35"/>
      <c r="E70" s="1" t="s">
        <v>7</v>
      </c>
    </row>
    <row r="71" spans="1:5" x14ac:dyDescent="0.2">
      <c r="A71">
        <v>68</v>
      </c>
      <c r="B71" s="81"/>
      <c r="C71" s="34" t="s">
        <v>117</v>
      </c>
      <c r="D71" s="35"/>
      <c r="E71" s="1" t="s">
        <v>7</v>
      </c>
    </row>
    <row r="72" spans="1:5" x14ac:dyDescent="0.2">
      <c r="A72">
        <v>69</v>
      </c>
      <c r="B72" s="81"/>
      <c r="C72" s="40" t="s">
        <v>118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="121" zoomScaleNormal="121" workbookViewId="0">
      <selection activeCell="A15" sqref="A15"/>
    </sheetView>
  </sheetViews>
  <sheetFormatPr baseColWidth="10" defaultColWidth="11.5" defaultRowHeight="15" x14ac:dyDescent="0.2"/>
  <cols>
    <col min="1" max="1" width="40.5" style="23" customWidth="1"/>
    <col min="2" max="2" width="40.83203125" style="23" customWidth="1"/>
    <col min="3" max="3" width="29.5" style="23" customWidth="1"/>
    <col min="4" max="4" width="23.83203125" style="23" customWidth="1"/>
    <col min="5" max="5" width="19.83203125" style="23" customWidth="1"/>
    <col min="6" max="6" width="25.83203125" style="23" customWidth="1"/>
    <col min="7" max="7" width="24.1640625" style="23" customWidth="1"/>
    <col min="8" max="8" width="17.83203125" style="23" bestFit="1" customWidth="1"/>
    <col min="9" max="10" width="17.83203125" style="23" customWidth="1"/>
    <col min="11" max="11" width="17.83203125" style="23" bestFit="1" customWidth="1"/>
    <col min="12" max="12" width="29.83203125" style="23" customWidth="1"/>
    <col min="13" max="13" width="14.1640625" style="23" customWidth="1"/>
    <col min="14" max="14" width="24.83203125" style="23" customWidth="1"/>
    <col min="15" max="15" width="29.83203125" style="23" customWidth="1"/>
    <col min="16" max="16" width="19.83203125" style="23" customWidth="1"/>
    <col min="17" max="17" width="26.1640625" style="23" customWidth="1"/>
    <col min="18" max="16384" width="11.5" style="23"/>
  </cols>
  <sheetData>
    <row r="1" spans="1:16" ht="16" x14ac:dyDescent="0.2">
      <c r="A1" s="72" t="s">
        <v>240</v>
      </c>
      <c r="B1" s="72" t="s">
        <v>235</v>
      </c>
      <c r="C1" s="72" t="s">
        <v>241</v>
      </c>
      <c r="D1" s="72" t="s">
        <v>236</v>
      </c>
      <c r="E1" s="72" t="s">
        <v>119</v>
      </c>
      <c r="F1" s="72" t="s">
        <v>237</v>
      </c>
      <c r="G1" s="72" t="s">
        <v>242</v>
      </c>
      <c r="H1" s="73" t="s">
        <v>238</v>
      </c>
      <c r="I1" s="21" t="s">
        <v>35</v>
      </c>
      <c r="J1" s="21" t="s">
        <v>248</v>
      </c>
      <c r="K1" s="21" t="s">
        <v>249</v>
      </c>
      <c r="L1" s="74" t="s">
        <v>239</v>
      </c>
      <c r="M1" s="74" t="s">
        <v>42</v>
      </c>
      <c r="N1" s="22" t="s">
        <v>74</v>
      </c>
      <c r="O1" s="75" t="s">
        <v>120</v>
      </c>
      <c r="P1" s="22" t="s">
        <v>121</v>
      </c>
    </row>
    <row r="2" spans="1:16" x14ac:dyDescent="0.2">
      <c r="A2" s="23" t="s">
        <v>122</v>
      </c>
      <c r="B2" s="23" t="s">
        <v>126</v>
      </c>
      <c r="C2" s="23" t="s">
        <v>126</v>
      </c>
      <c r="D2" s="23">
        <v>2020</v>
      </c>
      <c r="E2" s="23" t="s">
        <v>127</v>
      </c>
      <c r="F2" s="23" t="s">
        <v>37</v>
      </c>
      <c r="G2" s="23" t="s">
        <v>128</v>
      </c>
      <c r="H2" s="23" t="s">
        <v>129</v>
      </c>
      <c r="I2" s="76">
        <v>0.3</v>
      </c>
      <c r="J2" s="23">
        <v>1</v>
      </c>
      <c r="M2" s="23" t="s">
        <v>131</v>
      </c>
      <c r="N2" s="23" t="s">
        <v>37</v>
      </c>
      <c r="O2" s="23" t="s">
        <v>130</v>
      </c>
    </row>
    <row r="3" spans="1:16" x14ac:dyDescent="0.2">
      <c r="A3" s="23" t="s">
        <v>122</v>
      </c>
      <c r="B3" s="23" t="s">
        <v>126</v>
      </c>
      <c r="C3" s="23" t="s">
        <v>126</v>
      </c>
      <c r="D3" s="23">
        <v>2060</v>
      </c>
      <c r="E3" s="23" t="s">
        <v>127</v>
      </c>
      <c r="F3" s="23" t="s">
        <v>124</v>
      </c>
      <c r="G3" s="23" t="s">
        <v>128</v>
      </c>
      <c r="H3" s="23" t="s">
        <v>129</v>
      </c>
      <c r="I3" s="76">
        <v>0.1</v>
      </c>
      <c r="J3" s="23">
        <v>1</v>
      </c>
      <c r="M3" s="23" t="s">
        <v>131</v>
      </c>
      <c r="N3" s="23" t="s">
        <v>37</v>
      </c>
      <c r="O3" s="23" t="s">
        <v>130</v>
      </c>
    </row>
    <row r="4" spans="1:16" x14ac:dyDescent="0.2">
      <c r="A4" s="23" t="s">
        <v>187</v>
      </c>
      <c r="B4" s="23" t="s">
        <v>177</v>
      </c>
      <c r="C4" s="23" t="s">
        <v>175</v>
      </c>
      <c r="D4" s="23" t="s">
        <v>186</v>
      </c>
      <c r="E4" s="23" t="s">
        <v>123</v>
      </c>
      <c r="F4" s="23" t="s">
        <v>37</v>
      </c>
      <c r="G4" s="23" t="s">
        <v>243</v>
      </c>
      <c r="H4" s="23" t="s">
        <v>176</v>
      </c>
      <c r="I4" s="77">
        <v>0.6</v>
      </c>
      <c r="J4" s="23">
        <v>1</v>
      </c>
      <c r="M4" s="23" t="s">
        <v>196</v>
      </c>
      <c r="N4" s="23" t="s">
        <v>37</v>
      </c>
      <c r="O4" s="23" t="s">
        <v>203</v>
      </c>
    </row>
    <row r="5" spans="1:16" x14ac:dyDescent="0.2">
      <c r="A5" s="23" t="s">
        <v>187</v>
      </c>
      <c r="B5" s="23" t="s">
        <v>178</v>
      </c>
      <c r="C5" s="23" t="s">
        <v>175</v>
      </c>
      <c r="D5" s="23" t="s">
        <v>186</v>
      </c>
      <c r="E5" s="23" t="s">
        <v>123</v>
      </c>
      <c r="F5" s="23" t="s">
        <v>37</v>
      </c>
      <c r="G5" s="23" t="s">
        <v>243</v>
      </c>
      <c r="H5" s="23" t="s">
        <v>176</v>
      </c>
      <c r="I5" s="77">
        <v>0.61</v>
      </c>
      <c r="J5" s="23">
        <v>1</v>
      </c>
      <c r="M5" s="23" t="s">
        <v>197</v>
      </c>
      <c r="N5" s="23" t="s">
        <v>188</v>
      </c>
      <c r="O5" s="23" t="s">
        <v>203</v>
      </c>
    </row>
    <row r="6" spans="1:16" x14ac:dyDescent="0.2">
      <c r="A6" s="23" t="s">
        <v>187</v>
      </c>
      <c r="B6" s="23" t="s">
        <v>179</v>
      </c>
      <c r="C6" s="23" t="s">
        <v>175</v>
      </c>
      <c r="D6" s="23" t="s">
        <v>186</v>
      </c>
      <c r="E6" s="23" t="s">
        <v>123</v>
      </c>
      <c r="F6" s="23" t="s">
        <v>37</v>
      </c>
      <c r="G6" s="23" t="s">
        <v>243</v>
      </c>
      <c r="H6" s="23" t="s">
        <v>176</v>
      </c>
      <c r="I6" s="77">
        <v>0.54666666666666663</v>
      </c>
      <c r="J6" s="23">
        <v>1</v>
      </c>
      <c r="M6" s="23" t="s">
        <v>198</v>
      </c>
      <c r="N6" s="23" t="s">
        <v>189</v>
      </c>
      <c r="O6" s="23" t="s">
        <v>203</v>
      </c>
    </row>
    <row r="7" spans="1:16" x14ac:dyDescent="0.2">
      <c r="A7" s="23" t="s">
        <v>187</v>
      </c>
      <c r="B7" s="23" t="s">
        <v>180</v>
      </c>
      <c r="C7" s="23" t="s">
        <v>175</v>
      </c>
      <c r="D7" s="23" t="s">
        <v>186</v>
      </c>
      <c r="E7" s="23" t="s">
        <v>123</v>
      </c>
      <c r="F7" s="23" t="s">
        <v>37</v>
      </c>
      <c r="G7" s="23" t="s">
        <v>243</v>
      </c>
      <c r="H7" s="23" t="s">
        <v>176</v>
      </c>
      <c r="I7" s="77">
        <v>0.56857142857142862</v>
      </c>
      <c r="J7" s="23">
        <v>1</v>
      </c>
      <c r="M7" s="23" t="s">
        <v>199</v>
      </c>
      <c r="N7" s="23" t="s">
        <v>190</v>
      </c>
      <c r="O7" s="23" t="s">
        <v>203</v>
      </c>
    </row>
    <row r="8" spans="1:16" x14ac:dyDescent="0.2">
      <c r="A8" s="23" t="s">
        <v>187</v>
      </c>
      <c r="B8" s="23" t="s">
        <v>181</v>
      </c>
      <c r="C8" s="23" t="s">
        <v>175</v>
      </c>
      <c r="D8" s="23" t="s">
        <v>186</v>
      </c>
      <c r="E8" s="23" t="s">
        <v>123</v>
      </c>
      <c r="F8" s="23" t="s">
        <v>37</v>
      </c>
      <c r="G8" s="23" t="s">
        <v>243</v>
      </c>
      <c r="H8" s="23" t="s">
        <v>176</v>
      </c>
      <c r="I8" s="77">
        <v>0.53</v>
      </c>
      <c r="J8" s="23">
        <v>1</v>
      </c>
      <c r="M8" s="23" t="s">
        <v>197</v>
      </c>
      <c r="N8" s="23" t="s">
        <v>191</v>
      </c>
      <c r="O8" s="23" t="s">
        <v>203</v>
      </c>
    </row>
    <row r="9" spans="1:16" x14ac:dyDescent="0.2">
      <c r="A9" s="23" t="s">
        <v>187</v>
      </c>
      <c r="B9" s="23" t="s">
        <v>182</v>
      </c>
      <c r="C9" s="23" t="s">
        <v>175</v>
      </c>
      <c r="D9" s="23" t="s">
        <v>186</v>
      </c>
      <c r="E9" s="23" t="s">
        <v>123</v>
      </c>
      <c r="F9" s="23" t="s">
        <v>37</v>
      </c>
      <c r="G9" s="23" t="s">
        <v>243</v>
      </c>
      <c r="H9" s="23" t="s">
        <v>176</v>
      </c>
      <c r="I9" s="77">
        <v>0.55166666666666664</v>
      </c>
      <c r="J9" s="23">
        <v>1</v>
      </c>
      <c r="M9" s="23" t="s">
        <v>200</v>
      </c>
      <c r="N9" s="23" t="s">
        <v>192</v>
      </c>
      <c r="O9" s="23" t="s">
        <v>203</v>
      </c>
    </row>
    <row r="10" spans="1:16" x14ac:dyDescent="0.2">
      <c r="A10" s="23" t="s">
        <v>187</v>
      </c>
      <c r="B10" s="23" t="s">
        <v>183</v>
      </c>
      <c r="C10" s="23" t="s">
        <v>175</v>
      </c>
      <c r="D10" s="23" t="s">
        <v>186</v>
      </c>
      <c r="E10" s="23" t="s">
        <v>123</v>
      </c>
      <c r="F10" s="23" t="s">
        <v>37</v>
      </c>
      <c r="G10" s="23" t="s">
        <v>243</v>
      </c>
      <c r="H10" s="23" t="s">
        <v>176</v>
      </c>
      <c r="I10" s="77">
        <v>0.55399999999999994</v>
      </c>
      <c r="J10" s="23">
        <v>1</v>
      </c>
      <c r="M10" s="23" t="s">
        <v>201</v>
      </c>
      <c r="N10" s="23" t="s">
        <v>193</v>
      </c>
      <c r="O10" s="23" t="s">
        <v>203</v>
      </c>
    </row>
    <row r="11" spans="1:16" x14ac:dyDescent="0.2">
      <c r="A11" s="23" t="s">
        <v>187</v>
      </c>
      <c r="B11" s="23" t="s">
        <v>184</v>
      </c>
      <c r="C11" s="23" t="s">
        <v>175</v>
      </c>
      <c r="D11" s="23" t="s">
        <v>186</v>
      </c>
      <c r="E11" s="23" t="s">
        <v>123</v>
      </c>
      <c r="F11" s="23" t="s">
        <v>37</v>
      </c>
      <c r="G11" s="23" t="s">
        <v>243</v>
      </c>
      <c r="H11" s="23" t="s">
        <v>176</v>
      </c>
      <c r="I11" s="77">
        <v>0.495</v>
      </c>
      <c r="J11" s="23">
        <v>1</v>
      </c>
      <c r="M11" s="23" t="s">
        <v>202</v>
      </c>
      <c r="N11" s="23" t="s">
        <v>194</v>
      </c>
      <c r="O11" s="23" t="s">
        <v>203</v>
      </c>
    </row>
    <row r="12" spans="1:16" x14ac:dyDescent="0.2">
      <c r="A12" s="23" t="s">
        <v>187</v>
      </c>
      <c r="B12" s="23" t="s">
        <v>185</v>
      </c>
      <c r="C12" s="23" t="s">
        <v>175</v>
      </c>
      <c r="D12" s="23" t="s">
        <v>186</v>
      </c>
      <c r="E12" s="23" t="s">
        <v>123</v>
      </c>
      <c r="F12" s="23" t="s">
        <v>37</v>
      </c>
      <c r="G12" s="23" t="s">
        <v>243</v>
      </c>
      <c r="H12" s="23" t="s">
        <v>176</v>
      </c>
      <c r="I12" s="77">
        <v>0.54499999999999993</v>
      </c>
      <c r="J12" s="23">
        <v>1</v>
      </c>
      <c r="M12" s="23" t="s">
        <v>197</v>
      </c>
      <c r="N12" s="23" t="s">
        <v>195</v>
      </c>
      <c r="O12" s="23" t="s">
        <v>203</v>
      </c>
    </row>
    <row r="13" spans="1:16" x14ac:dyDescent="0.2">
      <c r="A13" s="23" t="s">
        <v>187</v>
      </c>
      <c r="B13" s="23" t="s">
        <v>174</v>
      </c>
      <c r="C13" s="23" t="s">
        <v>175</v>
      </c>
      <c r="D13" s="23" t="s">
        <v>186</v>
      </c>
      <c r="E13" s="23" t="s">
        <v>212</v>
      </c>
      <c r="F13" s="23" t="s">
        <v>37</v>
      </c>
      <c r="G13" s="23" t="s">
        <v>243</v>
      </c>
      <c r="H13" s="23" t="s">
        <v>176</v>
      </c>
      <c r="I13" s="77">
        <v>0.56999999999999995</v>
      </c>
      <c r="J13" s="23">
        <v>1</v>
      </c>
      <c r="M13" s="23" t="s">
        <v>218</v>
      </c>
      <c r="N13" s="23" t="s">
        <v>215</v>
      </c>
      <c r="O13" s="23" t="s">
        <v>203</v>
      </c>
    </row>
    <row r="14" spans="1:16" x14ac:dyDescent="0.2">
      <c r="A14" s="23" t="s">
        <v>187</v>
      </c>
      <c r="B14" s="23" t="s">
        <v>174</v>
      </c>
      <c r="C14" s="23" t="s">
        <v>175</v>
      </c>
      <c r="D14" s="23" t="s">
        <v>186</v>
      </c>
      <c r="E14" s="23" t="s">
        <v>213</v>
      </c>
      <c r="F14" s="23" t="s">
        <v>37</v>
      </c>
      <c r="G14" s="23" t="s">
        <v>243</v>
      </c>
      <c r="H14" s="23" t="s">
        <v>176</v>
      </c>
      <c r="I14" s="77">
        <v>0.54</v>
      </c>
      <c r="J14" s="23">
        <v>1</v>
      </c>
      <c r="M14" s="23" t="s">
        <v>219</v>
      </c>
      <c r="N14" s="23" t="s">
        <v>216</v>
      </c>
      <c r="O14" s="23" t="s">
        <v>203</v>
      </c>
    </row>
    <row r="15" spans="1:16" x14ac:dyDescent="0.2">
      <c r="A15" s="23" t="s">
        <v>187</v>
      </c>
      <c r="B15" s="23" t="s">
        <v>174</v>
      </c>
      <c r="C15" s="23" t="s">
        <v>175</v>
      </c>
      <c r="D15" s="23" t="s">
        <v>186</v>
      </c>
      <c r="E15" s="23" t="s">
        <v>214</v>
      </c>
      <c r="F15" s="23" t="s">
        <v>37</v>
      </c>
      <c r="G15" s="23" t="s">
        <v>243</v>
      </c>
      <c r="H15" s="23" t="s">
        <v>176</v>
      </c>
      <c r="I15" s="77">
        <v>0.59</v>
      </c>
      <c r="J15" s="23">
        <v>1</v>
      </c>
      <c r="M15" s="23" t="s">
        <v>201</v>
      </c>
      <c r="N15" s="23" t="s">
        <v>217</v>
      </c>
      <c r="O15" s="23" t="s">
        <v>203</v>
      </c>
    </row>
  </sheetData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G15" sqref="G15"/>
    </sheetView>
  </sheetViews>
  <sheetFormatPr baseColWidth="10" defaultColWidth="9" defaultRowHeight="15" x14ac:dyDescent="0.2"/>
  <cols>
    <col min="1" max="1" width="33.83203125" customWidth="1"/>
    <col min="2" max="2" width="37.1640625" customWidth="1"/>
    <col min="3" max="3" width="20" customWidth="1"/>
    <col min="4" max="4" width="15.83203125" customWidth="1"/>
    <col min="5" max="5" width="20.1640625" customWidth="1"/>
    <col min="6" max="6" width="24" customWidth="1"/>
    <col min="7" max="7" width="11.83203125" customWidth="1"/>
  </cols>
  <sheetData>
    <row r="1" spans="1:7" s="29" customFormat="1" ht="64" x14ac:dyDescent="0.2">
      <c r="A1" s="59" t="s">
        <v>132</v>
      </c>
      <c r="B1" s="57" t="s">
        <v>133</v>
      </c>
      <c r="C1" s="57" t="s">
        <v>134</v>
      </c>
      <c r="D1" s="57" t="s">
        <v>135</v>
      </c>
      <c r="E1" s="57" t="s">
        <v>136</v>
      </c>
      <c r="F1" s="57" t="s">
        <v>137</v>
      </c>
      <c r="G1" s="57" t="s">
        <v>138</v>
      </c>
    </row>
    <row r="2" spans="1:7" ht="56" customHeight="1" x14ac:dyDescent="0.2">
      <c r="A2" s="23" t="s">
        <v>125</v>
      </c>
      <c r="B2" s="23" t="s">
        <v>139</v>
      </c>
      <c r="C2" s="23" t="s">
        <v>140</v>
      </c>
      <c r="D2" s="60">
        <v>45265</v>
      </c>
      <c r="E2" s="23" t="s">
        <v>141</v>
      </c>
      <c r="F2" s="23" t="s">
        <v>142</v>
      </c>
      <c r="G2" s="23">
        <v>2</v>
      </c>
    </row>
    <row r="3" spans="1:7" x14ac:dyDescent="0.2">
      <c r="A3" s="23"/>
      <c r="B3" s="23"/>
      <c r="C3" s="23"/>
      <c r="D3" s="23"/>
      <c r="E3" s="23"/>
      <c r="F3" s="58" t="s">
        <v>143</v>
      </c>
      <c r="G3" s="23"/>
    </row>
    <row r="4" spans="1:7" x14ac:dyDescent="0.2">
      <c r="A4" s="23"/>
      <c r="B4" s="23"/>
      <c r="C4" s="23"/>
      <c r="D4" s="23"/>
      <c r="E4" s="23"/>
      <c r="F4" s="23" t="s">
        <v>144</v>
      </c>
      <c r="G4" s="23"/>
    </row>
    <row r="5" spans="1:7" x14ac:dyDescent="0.2">
      <c r="A5" s="23"/>
      <c r="B5" s="23"/>
      <c r="C5" s="23"/>
      <c r="D5" s="23"/>
      <c r="E5" s="23"/>
      <c r="F5" s="58" t="s">
        <v>145</v>
      </c>
      <c r="G5" s="23"/>
    </row>
    <row r="6" spans="1:7" x14ac:dyDescent="0.2">
      <c r="A6" s="23"/>
      <c r="B6" s="23"/>
      <c r="C6" s="23"/>
      <c r="D6" s="23"/>
      <c r="E6" s="23"/>
      <c r="F6" s="23" t="s">
        <v>144</v>
      </c>
      <c r="G6" s="23"/>
    </row>
    <row r="8" spans="1:7" x14ac:dyDescent="0.2">
      <c r="A8" s="23" t="s">
        <v>130</v>
      </c>
      <c r="B8" s="23" t="s">
        <v>146</v>
      </c>
      <c r="C8" s="23" t="s">
        <v>128</v>
      </c>
      <c r="D8" s="60">
        <v>45342</v>
      </c>
      <c r="E8" s="23" t="s">
        <v>147</v>
      </c>
      <c r="F8" s="23" t="s">
        <v>148</v>
      </c>
      <c r="G8" s="23" t="s">
        <v>149</v>
      </c>
    </row>
    <row r="9" spans="1:7" x14ac:dyDescent="0.2">
      <c r="A9" s="23"/>
      <c r="B9" s="23"/>
      <c r="C9" s="23"/>
      <c r="D9" s="23"/>
      <c r="E9" s="23"/>
      <c r="F9" s="58" t="s">
        <v>143</v>
      </c>
    </row>
    <row r="10" spans="1:7" x14ac:dyDescent="0.2">
      <c r="A10" s="23"/>
      <c r="B10" s="23"/>
      <c r="C10" s="23"/>
      <c r="D10" s="23"/>
      <c r="E10" s="23"/>
      <c r="F10" s="23" t="s">
        <v>144</v>
      </c>
    </row>
    <row r="11" spans="1:7" x14ac:dyDescent="0.2">
      <c r="A11" s="23"/>
      <c r="B11" s="23"/>
      <c r="C11" s="23"/>
      <c r="D11" s="23"/>
      <c r="E11" s="23"/>
      <c r="F11" s="58" t="s">
        <v>145</v>
      </c>
    </row>
    <row r="12" spans="1:7" x14ac:dyDescent="0.2">
      <c r="A12" s="23"/>
      <c r="B12" s="23"/>
      <c r="C12" s="23"/>
      <c r="D12" s="23"/>
      <c r="E12" s="23"/>
      <c r="F12" s="23" t="s">
        <v>144</v>
      </c>
    </row>
    <row r="14" spans="1:7" x14ac:dyDescent="0.2">
      <c r="A14" s="23" t="s">
        <v>203</v>
      </c>
      <c r="B14" s="23" t="s">
        <v>175</v>
      </c>
      <c r="C14" s="23" t="s">
        <v>204</v>
      </c>
      <c r="D14" s="60">
        <v>45366</v>
      </c>
      <c r="E14" s="23" t="s">
        <v>205</v>
      </c>
      <c r="F14" s="23" t="s">
        <v>207</v>
      </c>
      <c r="G14" s="23">
        <v>4</v>
      </c>
    </row>
    <row r="15" spans="1:7" x14ac:dyDescent="0.2">
      <c r="A15" s="23"/>
      <c r="B15" s="23"/>
      <c r="C15" s="23"/>
      <c r="D15" s="23"/>
      <c r="E15" s="23"/>
      <c r="F15" s="58" t="s">
        <v>143</v>
      </c>
    </row>
    <row r="16" spans="1:7" x14ac:dyDescent="0.2">
      <c r="A16" s="23"/>
      <c r="B16" s="23"/>
      <c r="C16" s="23"/>
      <c r="D16" s="23"/>
      <c r="E16" s="23"/>
      <c r="F16" s="23" t="s">
        <v>206</v>
      </c>
    </row>
    <row r="17" spans="1:6" x14ac:dyDescent="0.2">
      <c r="A17" s="23"/>
      <c r="B17" s="23"/>
      <c r="C17" s="23"/>
      <c r="D17" s="23"/>
      <c r="E17" s="23"/>
      <c r="F17" s="58" t="s">
        <v>145</v>
      </c>
    </row>
    <row r="18" spans="1:6" x14ac:dyDescent="0.2">
      <c r="A18" s="23"/>
      <c r="B18" s="23"/>
      <c r="C18" s="23"/>
      <c r="D18" s="23"/>
      <c r="E18" s="23"/>
      <c r="F18" s="23" t="s">
        <v>144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topLeftCell="B1" workbookViewId="0">
      <selection activeCell="E25" sqref="E25"/>
    </sheetView>
  </sheetViews>
  <sheetFormatPr baseColWidth="10" defaultColWidth="10.83203125" defaultRowHeight="15" x14ac:dyDescent="0.2"/>
  <cols>
    <col min="2" max="2" width="35.5" customWidth="1"/>
  </cols>
  <sheetData>
    <row r="1" spans="2:14" s="29" customFormat="1" ht="112" x14ac:dyDescent="0.2">
      <c r="B1" s="27" t="s">
        <v>150</v>
      </c>
      <c r="C1" s="28" t="s">
        <v>151</v>
      </c>
      <c r="D1" s="28" t="s">
        <v>152</v>
      </c>
      <c r="E1" s="27" t="s">
        <v>153</v>
      </c>
      <c r="F1" s="27" t="s">
        <v>154</v>
      </c>
      <c r="G1" s="27" t="s">
        <v>155</v>
      </c>
      <c r="H1" s="27" t="s">
        <v>156</v>
      </c>
      <c r="I1" s="27" t="s">
        <v>157</v>
      </c>
      <c r="J1" s="27" t="s">
        <v>158</v>
      </c>
      <c r="K1" s="27" t="s">
        <v>159</v>
      </c>
      <c r="L1" s="27" t="s">
        <v>160</v>
      </c>
      <c r="M1" s="27" t="s">
        <v>161</v>
      </c>
      <c r="N1" s="27" t="s">
        <v>162</v>
      </c>
    </row>
    <row r="2" spans="2:14" x14ac:dyDescent="0.2">
      <c r="B2" s="4" t="s">
        <v>10</v>
      </c>
      <c r="C2" s="30">
        <v>1</v>
      </c>
      <c r="D2" s="15" t="s">
        <v>163</v>
      </c>
      <c r="E2" t="s">
        <v>164</v>
      </c>
      <c r="F2" s="4" t="s">
        <v>165</v>
      </c>
      <c r="G2" s="4">
        <v>2020</v>
      </c>
      <c r="H2" s="4" t="s">
        <v>166</v>
      </c>
      <c r="I2" s="4"/>
      <c r="J2" t="s">
        <v>233</v>
      </c>
      <c r="K2" s="4"/>
      <c r="L2" s="4"/>
      <c r="M2" s="4"/>
      <c r="N2" s="4"/>
    </row>
    <row r="3" spans="2:14" x14ac:dyDescent="0.2">
      <c r="B3" s="4" t="s">
        <v>10</v>
      </c>
      <c r="C3" s="30">
        <v>2</v>
      </c>
      <c r="D3" s="15" t="s">
        <v>163</v>
      </c>
      <c r="E3" t="s">
        <v>167</v>
      </c>
      <c r="F3" t="s">
        <v>168</v>
      </c>
      <c r="G3">
        <v>2022</v>
      </c>
      <c r="H3" t="s">
        <v>169</v>
      </c>
      <c r="J3" t="s">
        <v>232</v>
      </c>
    </row>
    <row r="4" spans="2:14" x14ac:dyDescent="0.2">
      <c r="B4" s="4" t="s">
        <v>10</v>
      </c>
      <c r="C4" s="30">
        <v>3</v>
      </c>
      <c r="D4" s="15" t="s">
        <v>163</v>
      </c>
      <c r="E4" t="s">
        <v>170</v>
      </c>
      <c r="F4" t="s">
        <v>171</v>
      </c>
      <c r="G4">
        <v>2023</v>
      </c>
      <c r="H4" t="s">
        <v>172</v>
      </c>
      <c r="J4" t="s">
        <v>234</v>
      </c>
      <c r="N4" s="18"/>
    </row>
    <row r="5" spans="2:14" x14ac:dyDescent="0.2">
      <c r="B5" s="4" t="s">
        <v>10</v>
      </c>
      <c r="C5" s="30">
        <v>4</v>
      </c>
      <c r="D5" s="15" t="s">
        <v>163</v>
      </c>
      <c r="E5" t="s">
        <v>208</v>
      </c>
      <c r="F5" t="s">
        <v>209</v>
      </c>
      <c r="G5">
        <v>2017</v>
      </c>
      <c r="H5" t="s">
        <v>210</v>
      </c>
      <c r="J5" s="61" t="s">
        <v>211</v>
      </c>
    </row>
  </sheetData>
  <hyperlinks>
    <hyperlink ref="J5" r:id="rId1" xr:uid="{5C732D6B-5ED5-48DD-82D9-A0842C842011}"/>
  </hyperlinks>
  <pageMargins left="0.7" right="0.7" top="0.78740157499999996" bottom="0.78740157499999996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workbookViewId="0">
      <selection activeCell="B5" sqref="B5:J5"/>
    </sheetView>
  </sheetViews>
  <sheetFormatPr baseColWidth="10" defaultColWidth="9" defaultRowHeight="15" x14ac:dyDescent="0.2"/>
  <cols>
    <col min="1" max="1" width="44.1640625" customWidth="1"/>
  </cols>
  <sheetData>
    <row r="1" spans="1:10" x14ac:dyDescent="0.2">
      <c r="A1" t="s">
        <v>173</v>
      </c>
    </row>
    <row r="4" spans="1:10" ht="16" x14ac:dyDescent="0.2">
      <c r="A4" s="28" t="s">
        <v>220</v>
      </c>
      <c r="B4" s="62" t="s">
        <v>221</v>
      </c>
      <c r="C4" s="62" t="s">
        <v>222</v>
      </c>
      <c r="D4" s="62" t="s">
        <v>223</v>
      </c>
      <c r="E4" s="62" t="s">
        <v>224</v>
      </c>
      <c r="F4" s="62" t="s">
        <v>225</v>
      </c>
      <c r="G4" s="62" t="s">
        <v>226</v>
      </c>
      <c r="H4" s="62" t="s">
        <v>227</v>
      </c>
      <c r="I4" s="62" t="s">
        <v>228</v>
      </c>
      <c r="J4" s="62" t="s">
        <v>229</v>
      </c>
    </row>
    <row r="5" spans="1:10" x14ac:dyDescent="0.2">
      <c r="A5" s="28"/>
      <c r="B5" s="62">
        <f>COUNT(B7:B18)</f>
        <v>1</v>
      </c>
      <c r="C5" s="62">
        <f t="shared" ref="C5:J5" si="0">COUNT(C7:C18)</f>
        <v>4</v>
      </c>
      <c r="D5" s="62">
        <f t="shared" si="0"/>
        <v>12</v>
      </c>
      <c r="E5" s="62">
        <f t="shared" si="0"/>
        <v>7</v>
      </c>
      <c r="F5" s="62">
        <f t="shared" si="0"/>
        <v>4</v>
      </c>
      <c r="G5" s="62">
        <f t="shared" si="0"/>
        <v>6</v>
      </c>
      <c r="H5" s="62">
        <f t="shared" si="0"/>
        <v>5</v>
      </c>
      <c r="I5" s="62">
        <f t="shared" si="0"/>
        <v>2</v>
      </c>
      <c r="J5" s="62">
        <f t="shared" si="0"/>
        <v>4</v>
      </c>
    </row>
    <row r="6" spans="1:10" x14ac:dyDescent="0.2">
      <c r="A6" s="28"/>
      <c r="B6" s="62"/>
      <c r="C6" s="62"/>
      <c r="D6" s="62"/>
      <c r="E6" s="62"/>
      <c r="F6" s="62"/>
      <c r="G6" s="62"/>
      <c r="H6" s="62"/>
      <c r="I6" s="62"/>
      <c r="J6" s="62"/>
    </row>
    <row r="7" spans="1:10" x14ac:dyDescent="0.2">
      <c r="A7" s="63" t="s">
        <v>230</v>
      </c>
      <c r="B7" s="64">
        <v>0.6</v>
      </c>
      <c r="C7" s="64">
        <v>0.54</v>
      </c>
      <c r="D7" s="64">
        <v>0.43</v>
      </c>
      <c r="E7" s="64">
        <v>0.52</v>
      </c>
      <c r="F7" s="64">
        <v>0.47</v>
      </c>
      <c r="G7" s="64">
        <v>0.5</v>
      </c>
      <c r="H7" s="64">
        <v>0.47</v>
      </c>
      <c r="I7" s="64">
        <v>0.39</v>
      </c>
      <c r="J7" s="65">
        <v>0.37</v>
      </c>
    </row>
    <row r="8" spans="1:10" x14ac:dyDescent="0.2">
      <c r="A8" s="66"/>
      <c r="B8" s="67"/>
      <c r="C8" s="67">
        <v>0.56000000000000005</v>
      </c>
      <c r="D8" s="67">
        <v>0.45</v>
      </c>
      <c r="E8" s="67">
        <v>0.54</v>
      </c>
      <c r="F8" s="67">
        <v>0.55000000000000004</v>
      </c>
      <c r="G8" s="67">
        <v>0.53</v>
      </c>
      <c r="H8" s="67">
        <v>0.5</v>
      </c>
      <c r="I8" s="67">
        <v>0.6</v>
      </c>
      <c r="J8" s="68">
        <v>0.54</v>
      </c>
    </row>
    <row r="9" spans="1:10" x14ac:dyDescent="0.2">
      <c r="A9" s="66"/>
      <c r="B9" s="67"/>
      <c r="C9" s="67">
        <v>0.63</v>
      </c>
      <c r="D9" s="67">
        <v>0.47</v>
      </c>
      <c r="E9" s="67">
        <v>0.57999999999999996</v>
      </c>
      <c r="F9" s="67">
        <v>0.55000000000000004</v>
      </c>
      <c r="G9" s="67">
        <v>0.55000000000000004</v>
      </c>
      <c r="H9" s="67">
        <v>0.5</v>
      </c>
      <c r="I9" s="67"/>
      <c r="J9" s="68">
        <v>0.57999999999999996</v>
      </c>
    </row>
    <row r="10" spans="1:10" x14ac:dyDescent="0.2">
      <c r="A10" s="66"/>
      <c r="B10" s="67"/>
      <c r="C10" s="67">
        <v>0.71</v>
      </c>
      <c r="D10" s="67">
        <v>0.49</v>
      </c>
      <c r="E10" s="67">
        <v>0.57999999999999996</v>
      </c>
      <c r="F10" s="67">
        <v>0.55000000000000004</v>
      </c>
      <c r="G10" s="67">
        <v>0.56000000000000005</v>
      </c>
      <c r="H10" s="67">
        <v>0.6</v>
      </c>
      <c r="I10" s="67"/>
      <c r="J10" s="68">
        <v>0.69</v>
      </c>
    </row>
    <row r="11" spans="1:10" x14ac:dyDescent="0.2">
      <c r="A11" s="66"/>
      <c r="B11" s="67"/>
      <c r="C11" s="67"/>
      <c r="D11" s="67">
        <v>0.54</v>
      </c>
      <c r="E11" s="67">
        <v>0.57999999999999996</v>
      </c>
      <c r="F11" s="67"/>
      <c r="G11" s="67">
        <v>0.57999999999999996</v>
      </c>
      <c r="H11" s="67">
        <v>0.7</v>
      </c>
      <c r="I11" s="67"/>
      <c r="J11" s="68"/>
    </row>
    <row r="12" spans="1:10" x14ac:dyDescent="0.2">
      <c r="A12" s="66"/>
      <c r="B12" s="67"/>
      <c r="C12" s="67"/>
      <c r="D12" s="67">
        <v>0.56999999999999995</v>
      </c>
      <c r="E12" s="67">
        <v>0.59</v>
      </c>
      <c r="F12" s="67"/>
      <c r="G12" s="67">
        <v>0.59</v>
      </c>
      <c r="H12" s="67"/>
      <c r="I12" s="67"/>
      <c r="J12" s="68"/>
    </row>
    <row r="13" spans="1:10" x14ac:dyDescent="0.2">
      <c r="A13" s="66"/>
      <c r="D13" s="67">
        <v>0.57999999999999996</v>
      </c>
      <c r="E13" s="67">
        <v>0.59</v>
      </c>
      <c r="J13" s="35"/>
    </row>
    <row r="14" spans="1:10" x14ac:dyDescent="0.2">
      <c r="A14" s="66"/>
      <c r="D14" s="67">
        <v>0.59</v>
      </c>
      <c r="J14" s="35"/>
    </row>
    <row r="15" spans="1:10" x14ac:dyDescent="0.2">
      <c r="A15" s="66"/>
      <c r="D15" s="67">
        <v>0.59</v>
      </c>
      <c r="J15" s="35"/>
    </row>
    <row r="16" spans="1:10" x14ac:dyDescent="0.2">
      <c r="A16" s="66"/>
      <c r="D16" s="67">
        <v>0.6</v>
      </c>
      <c r="J16" s="35"/>
    </row>
    <row r="17" spans="1:10" x14ac:dyDescent="0.2">
      <c r="A17" s="66"/>
      <c r="D17" s="67">
        <v>0.6</v>
      </c>
      <c r="J17" s="35"/>
    </row>
    <row r="18" spans="1:10" x14ac:dyDescent="0.2">
      <c r="A18" s="69"/>
      <c r="B18" s="41"/>
      <c r="C18" s="41"/>
      <c r="D18" s="70">
        <v>0.65</v>
      </c>
      <c r="E18" s="41"/>
      <c r="F18" s="41"/>
      <c r="G18" s="41"/>
      <c r="H18" s="41"/>
      <c r="I18" s="41"/>
      <c r="J18" s="42"/>
    </row>
    <row r="20" spans="1:10" x14ac:dyDescent="0.2">
      <c r="A20" s="58" t="s">
        <v>231</v>
      </c>
      <c r="B20" s="62"/>
      <c r="C20" s="62"/>
      <c r="D20" s="62"/>
    </row>
    <row r="21" spans="1:10" x14ac:dyDescent="0.2">
      <c r="A21" s="58"/>
      <c r="B21" s="62" t="s">
        <v>212</v>
      </c>
      <c r="C21" s="62" t="s">
        <v>213</v>
      </c>
      <c r="D21" s="62" t="s">
        <v>214</v>
      </c>
    </row>
    <row r="22" spans="1:10" x14ac:dyDescent="0.2">
      <c r="B22">
        <f>COUNT(B24:B56)</f>
        <v>11</v>
      </c>
      <c r="C22">
        <f t="shared" ref="C22:D22" si="1">COUNT(C24:C56)</f>
        <v>29</v>
      </c>
      <c r="D22">
        <f t="shared" si="1"/>
        <v>5</v>
      </c>
    </row>
    <row r="24" spans="1:10" x14ac:dyDescent="0.2">
      <c r="A24" s="63" t="s">
        <v>230</v>
      </c>
      <c r="B24" s="64">
        <v>0.43</v>
      </c>
      <c r="C24" s="64">
        <v>0.36</v>
      </c>
      <c r="D24" s="65">
        <v>0.56000000000000005</v>
      </c>
    </row>
    <row r="25" spans="1:10" x14ac:dyDescent="0.2">
      <c r="A25" s="66"/>
      <c r="B25" s="67">
        <v>0.45</v>
      </c>
      <c r="C25" s="67">
        <v>0.39</v>
      </c>
      <c r="D25" s="68">
        <v>0.56999999999999995</v>
      </c>
    </row>
    <row r="26" spans="1:10" x14ac:dyDescent="0.2">
      <c r="A26" s="66"/>
      <c r="B26" s="67">
        <v>0.47</v>
      </c>
      <c r="C26" s="67">
        <v>0.47</v>
      </c>
      <c r="D26" s="68">
        <v>0.57999999999999996</v>
      </c>
    </row>
    <row r="27" spans="1:10" x14ac:dyDescent="0.2">
      <c r="A27" s="66"/>
      <c r="B27" s="67">
        <v>0.52</v>
      </c>
      <c r="C27" s="67">
        <v>0.47</v>
      </c>
      <c r="D27" s="68">
        <v>0.59</v>
      </c>
    </row>
    <row r="28" spans="1:10" x14ac:dyDescent="0.2">
      <c r="A28" s="66"/>
      <c r="B28" s="67">
        <v>0.54</v>
      </c>
      <c r="C28" s="67">
        <v>0.49</v>
      </c>
      <c r="D28" s="68">
        <v>0.65</v>
      </c>
    </row>
    <row r="29" spans="1:10" x14ac:dyDescent="0.2">
      <c r="A29" s="66"/>
      <c r="B29" s="67">
        <v>0.54</v>
      </c>
      <c r="C29" s="67">
        <v>0.5</v>
      </c>
      <c r="D29" s="68"/>
    </row>
    <row r="30" spans="1:10" x14ac:dyDescent="0.2">
      <c r="A30" s="66"/>
      <c r="B30" s="67">
        <v>0.57999999999999996</v>
      </c>
      <c r="C30" s="67">
        <v>0.5</v>
      </c>
      <c r="D30" s="68"/>
    </row>
    <row r="31" spans="1:10" x14ac:dyDescent="0.2">
      <c r="A31" s="66"/>
      <c r="B31" s="67">
        <v>0.6</v>
      </c>
      <c r="C31" s="67">
        <v>0.5</v>
      </c>
      <c r="D31" s="68"/>
    </row>
    <row r="32" spans="1:10" x14ac:dyDescent="0.2">
      <c r="A32" s="66"/>
      <c r="B32" s="67">
        <v>0.68</v>
      </c>
      <c r="C32" s="67">
        <v>0.53</v>
      </c>
      <c r="D32" s="68"/>
    </row>
    <row r="33" spans="1:4" x14ac:dyDescent="0.2">
      <c r="A33" s="66"/>
      <c r="B33" s="67">
        <v>0.7</v>
      </c>
      <c r="C33" s="67">
        <v>0.54</v>
      </c>
      <c r="D33" s="68"/>
    </row>
    <row r="34" spans="1:4" x14ac:dyDescent="0.2">
      <c r="A34" s="66"/>
      <c r="B34" s="67">
        <v>0.71</v>
      </c>
      <c r="C34" s="67">
        <v>0.54</v>
      </c>
      <c r="D34" s="68"/>
    </row>
    <row r="35" spans="1:4" x14ac:dyDescent="0.2">
      <c r="A35" s="66"/>
      <c r="B35" s="67"/>
      <c r="C35" s="67">
        <v>0.55000000000000004</v>
      </c>
      <c r="D35" s="68"/>
    </row>
    <row r="36" spans="1:4" x14ac:dyDescent="0.2">
      <c r="A36" s="66"/>
      <c r="B36" s="67"/>
      <c r="C36" s="67">
        <v>0.55000000000000004</v>
      </c>
      <c r="D36" s="68"/>
    </row>
    <row r="37" spans="1:4" x14ac:dyDescent="0.2">
      <c r="A37" s="66"/>
      <c r="B37" s="67"/>
      <c r="C37" s="67">
        <v>0.55000000000000004</v>
      </c>
      <c r="D37" s="68"/>
    </row>
    <row r="38" spans="1:4" x14ac:dyDescent="0.2">
      <c r="A38" s="66"/>
      <c r="B38" s="67"/>
      <c r="C38" s="67">
        <v>0.55000000000000004</v>
      </c>
      <c r="D38" s="68"/>
    </row>
    <row r="39" spans="1:4" x14ac:dyDescent="0.2">
      <c r="A39" s="66"/>
      <c r="B39" s="67"/>
      <c r="C39" s="67">
        <v>0.56000000000000005</v>
      </c>
      <c r="D39" s="68"/>
    </row>
    <row r="40" spans="1:4" x14ac:dyDescent="0.2">
      <c r="A40" s="66"/>
      <c r="B40" s="67"/>
      <c r="C40" s="67">
        <v>0.56999999999999995</v>
      </c>
      <c r="D40" s="68"/>
    </row>
    <row r="41" spans="1:4" x14ac:dyDescent="0.2">
      <c r="A41" s="66"/>
      <c r="B41" s="67"/>
      <c r="C41" s="67">
        <v>0.57999999999999996</v>
      </c>
      <c r="D41" s="68"/>
    </row>
    <row r="42" spans="1:4" x14ac:dyDescent="0.2">
      <c r="A42" s="66"/>
      <c r="B42" s="67"/>
      <c r="C42" s="67">
        <v>0.57999999999999996</v>
      </c>
      <c r="D42" s="68"/>
    </row>
    <row r="43" spans="1:4" x14ac:dyDescent="0.2">
      <c r="A43" s="66"/>
      <c r="B43" s="67"/>
      <c r="C43" s="67">
        <v>0.57999999999999996</v>
      </c>
      <c r="D43" s="68"/>
    </row>
    <row r="44" spans="1:4" x14ac:dyDescent="0.2">
      <c r="A44" s="66"/>
      <c r="B44" s="67"/>
      <c r="C44" s="67">
        <v>0.59</v>
      </c>
      <c r="D44" s="68"/>
    </row>
    <row r="45" spans="1:4" x14ac:dyDescent="0.2">
      <c r="A45" s="66"/>
      <c r="B45" s="67"/>
      <c r="C45" s="67">
        <v>0.59</v>
      </c>
      <c r="D45" s="68"/>
    </row>
    <row r="46" spans="1:4" x14ac:dyDescent="0.2">
      <c r="A46" s="66"/>
      <c r="B46" s="67"/>
      <c r="C46" s="67">
        <v>0.59</v>
      </c>
      <c r="D46" s="68"/>
    </row>
    <row r="47" spans="1:4" x14ac:dyDescent="0.2">
      <c r="A47" s="66"/>
      <c r="B47" s="67"/>
      <c r="C47" s="67">
        <v>0.59</v>
      </c>
      <c r="D47" s="68"/>
    </row>
    <row r="48" spans="1:4" x14ac:dyDescent="0.2">
      <c r="A48" s="66"/>
      <c r="B48" s="67"/>
      <c r="C48" s="67">
        <v>0.6</v>
      </c>
      <c r="D48" s="68"/>
    </row>
    <row r="49" spans="1:4" x14ac:dyDescent="0.2">
      <c r="A49" s="66"/>
      <c r="B49" s="67"/>
      <c r="C49" s="67">
        <v>0.6</v>
      </c>
      <c r="D49" s="68"/>
    </row>
    <row r="50" spans="1:4" x14ac:dyDescent="0.2">
      <c r="A50" s="66"/>
      <c r="B50" s="67"/>
      <c r="C50" s="67">
        <v>0.60499999999999998</v>
      </c>
      <c r="D50" s="68"/>
    </row>
    <row r="51" spans="1:4" x14ac:dyDescent="0.2">
      <c r="A51" s="66"/>
      <c r="C51" s="71">
        <v>0.61</v>
      </c>
      <c r="D51" s="35"/>
    </row>
    <row r="52" spans="1:4" x14ac:dyDescent="0.2">
      <c r="A52" s="66"/>
      <c r="C52" s="71">
        <v>0.64</v>
      </c>
      <c r="D52" s="35"/>
    </row>
    <row r="53" spans="1:4" x14ac:dyDescent="0.2">
      <c r="A53" s="66"/>
      <c r="D53" s="35"/>
    </row>
    <row r="54" spans="1:4" x14ac:dyDescent="0.2">
      <c r="A54" s="66"/>
      <c r="D54" s="35"/>
    </row>
    <row r="55" spans="1:4" x14ac:dyDescent="0.2">
      <c r="A55" s="66"/>
      <c r="D55" s="35"/>
    </row>
    <row r="56" spans="1:4" x14ac:dyDescent="0.2">
      <c r="A56" s="69"/>
      <c r="B56" s="41"/>
      <c r="C56" s="41"/>
      <c r="D56" s="4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9F9AD-9826-4275-8CAC-04A63EEBC2EE}">
  <ds:schemaRefs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purl.org/dc/elements/1.1/"/>
    <ds:schemaRef ds:uri="a4e2c5e2-cb1f-48cf-889d-fca67caa39a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BFE9B8-7B0B-4F26-9481-5D3591F35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9449</cp:lastModifiedBy>
  <cp:revision/>
  <dcterms:created xsi:type="dcterms:W3CDTF">2006-09-16T00:00:00Z</dcterms:created>
  <dcterms:modified xsi:type="dcterms:W3CDTF">2025-02-20T10:58:39Z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910580158233642</vt:r8>
  </property>
</Properties>
</file>