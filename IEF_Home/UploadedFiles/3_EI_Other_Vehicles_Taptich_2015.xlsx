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filterPrivacy="1" defaultThemeVersion="124226"/>
  <xr:revisionPtr revIDLastSave="0" documentId="13_ncr:1_{D0BBFFFA-F8B1-4589-95EE-183D46734BA6}" xr6:coauthVersionLast="36" xr6:coauthVersionMax="47" xr10:uidLastSave="{00000000-0000-0000-0000-000000000000}"/>
  <bookViews>
    <workbookView xWindow="0" yWindow="0" windowWidth="20922" windowHeight="9372" activeTab="1" xr2:uid="{00000000-000D-0000-FFFF-FFFF00000000}"/>
  </bookViews>
  <sheets>
    <sheet name="Cover" sheetId="1" r:id="rId1"/>
    <sheet name="Data" sheetId="2" r:id="rId2"/>
    <sheet name="___" sheetId="10" r:id="rId3"/>
    <sheet name="Raw_Data" sheetId="5" r:id="rId4"/>
    <sheet name="Unit_Conversion" sheetId="3" r:id="rId5"/>
    <sheet name="Light Commercial Vehicles" sheetId="7" state="hidden" r:id="rId6"/>
    <sheet name="Medium &amp; Heavy Commercial vehic" sheetId="8" state="hidden" r:id="rId7"/>
    <sheet name="Buses" sheetId="9" state="hidden" r:id="rId8"/>
    <sheet name="Other_Raw_Data" sheetId="4" state="hidden" r:id="rId9"/>
  </sheets>
  <calcPr calcId="191029" concurrentCalc="0"/>
</workbook>
</file>

<file path=xl/calcChain.xml><?xml version="1.0" encoding="utf-8"?>
<calcChain xmlns="http://schemas.openxmlformats.org/spreadsheetml/2006/main">
  <c r="H86" i="5" l="1"/>
  <c r="I86" i="5"/>
  <c r="J86" i="5"/>
  <c r="H87" i="5"/>
  <c r="I87" i="5"/>
  <c r="J87" i="5"/>
  <c r="H88" i="5"/>
  <c r="I88" i="5"/>
  <c r="J88" i="5"/>
  <c r="H89" i="5"/>
  <c r="I89" i="5"/>
  <c r="J89" i="5"/>
  <c r="H90" i="5"/>
  <c r="I90" i="5"/>
  <c r="J90" i="5"/>
  <c r="H91" i="5"/>
  <c r="I91" i="5"/>
  <c r="J91" i="5"/>
  <c r="H92" i="5"/>
  <c r="I92" i="5"/>
  <c r="J92" i="5"/>
  <c r="I85" i="5"/>
  <c r="J85" i="5"/>
  <c r="H85" i="5"/>
  <c r="H95" i="5"/>
  <c r="I95" i="5"/>
  <c r="J95" i="5"/>
  <c r="H96" i="5"/>
  <c r="I96" i="5"/>
  <c r="J96" i="5"/>
  <c r="H97" i="5"/>
  <c r="I97" i="5"/>
  <c r="J97" i="5"/>
  <c r="H98" i="5"/>
  <c r="I98" i="5"/>
  <c r="J98" i="5"/>
  <c r="H99" i="5"/>
  <c r="I99" i="5"/>
  <c r="J99" i="5"/>
  <c r="H100" i="5"/>
  <c r="I100" i="5"/>
  <c r="J100" i="5"/>
  <c r="H101" i="5"/>
  <c r="I101" i="5"/>
  <c r="J101" i="5"/>
  <c r="I94" i="5"/>
  <c r="J94" i="5"/>
  <c r="H94" i="5"/>
  <c r="G29" i="5"/>
  <c r="I9" i="5"/>
  <c r="I10" i="5"/>
  <c r="I11" i="5"/>
  <c r="H121" i="5"/>
  <c r="H131" i="5"/>
  <c r="O131" i="5"/>
  <c r="I131" i="5"/>
  <c r="P131" i="5"/>
  <c r="J131" i="5"/>
  <c r="Q131" i="5"/>
  <c r="R131" i="5"/>
  <c r="H132" i="5"/>
  <c r="O132" i="5"/>
  <c r="I132" i="5"/>
  <c r="P132" i="5"/>
  <c r="J132" i="5"/>
  <c r="Q132" i="5"/>
  <c r="R132" i="5"/>
  <c r="H133" i="5"/>
  <c r="O133" i="5"/>
  <c r="I133" i="5"/>
  <c r="P133" i="5"/>
  <c r="J133" i="5"/>
  <c r="Q133" i="5"/>
  <c r="R133" i="5"/>
  <c r="H134" i="5"/>
  <c r="O134" i="5"/>
  <c r="I134" i="5"/>
  <c r="P134" i="5"/>
  <c r="J134" i="5"/>
  <c r="Q134" i="5"/>
  <c r="R134" i="5"/>
  <c r="H135" i="5"/>
  <c r="O135" i="5"/>
  <c r="I135" i="5"/>
  <c r="P135" i="5"/>
  <c r="J135" i="5"/>
  <c r="Q135" i="5"/>
  <c r="R135" i="5"/>
  <c r="H136" i="5"/>
  <c r="O136" i="5"/>
  <c r="I136" i="5"/>
  <c r="P136" i="5"/>
  <c r="J136" i="5"/>
  <c r="Q136" i="5"/>
  <c r="R136" i="5"/>
  <c r="H137" i="5"/>
  <c r="O137" i="5"/>
  <c r="I137" i="5"/>
  <c r="P137" i="5"/>
  <c r="J137" i="5"/>
  <c r="Q137" i="5"/>
  <c r="R137" i="5"/>
  <c r="H130" i="5"/>
  <c r="O130" i="5"/>
  <c r="I130" i="5"/>
  <c r="P130" i="5"/>
  <c r="J130" i="5"/>
  <c r="Q130" i="5"/>
  <c r="R130" i="5"/>
  <c r="G131" i="5"/>
  <c r="G132" i="5"/>
  <c r="G133" i="5"/>
  <c r="G134" i="5"/>
  <c r="G135" i="5"/>
  <c r="G136" i="5"/>
  <c r="G137" i="5"/>
  <c r="G130" i="5"/>
  <c r="H127" i="5"/>
  <c r="O127" i="5"/>
  <c r="I127" i="5"/>
  <c r="P127" i="5"/>
  <c r="J127" i="5"/>
  <c r="Q127" i="5"/>
  <c r="R127" i="5"/>
  <c r="I121" i="5"/>
  <c r="P121" i="5"/>
  <c r="J121" i="5"/>
  <c r="Q121" i="5"/>
  <c r="I122" i="5"/>
  <c r="P122" i="5"/>
  <c r="J122" i="5"/>
  <c r="Q122" i="5"/>
  <c r="I123" i="5"/>
  <c r="P123" i="5"/>
  <c r="J123" i="5"/>
  <c r="Q123" i="5"/>
  <c r="I124" i="5"/>
  <c r="P124" i="5"/>
  <c r="H124" i="5"/>
  <c r="O124" i="5"/>
  <c r="J124" i="5"/>
  <c r="Q124" i="5"/>
  <c r="R124" i="5"/>
  <c r="I125" i="5"/>
  <c r="P125" i="5"/>
  <c r="H125" i="5"/>
  <c r="O125" i="5"/>
  <c r="J125" i="5"/>
  <c r="Q125" i="5"/>
  <c r="R125" i="5"/>
  <c r="I126" i="5"/>
  <c r="P126" i="5"/>
  <c r="H126" i="5"/>
  <c r="O126" i="5"/>
  <c r="J126" i="5"/>
  <c r="Q126" i="5"/>
  <c r="R126" i="5"/>
  <c r="I128" i="5"/>
  <c r="P128" i="5"/>
  <c r="J128" i="5"/>
  <c r="Q128" i="5"/>
  <c r="H128" i="5"/>
  <c r="O128" i="5"/>
  <c r="R128" i="5"/>
  <c r="H122" i="5"/>
  <c r="O122" i="5"/>
  <c r="H123" i="5"/>
  <c r="O123" i="5"/>
  <c r="R123" i="5"/>
  <c r="O121" i="5"/>
  <c r="G122" i="5"/>
  <c r="G123" i="5"/>
  <c r="G124" i="5"/>
  <c r="G125" i="5"/>
  <c r="G126" i="5"/>
  <c r="G127" i="5"/>
  <c r="G128" i="5"/>
  <c r="G121" i="5"/>
  <c r="H113" i="5"/>
  <c r="O113" i="5"/>
  <c r="I113" i="5"/>
  <c r="P113" i="5"/>
  <c r="J113" i="5"/>
  <c r="Q113" i="5"/>
  <c r="R113" i="5"/>
  <c r="H114" i="5"/>
  <c r="O114" i="5"/>
  <c r="I114" i="5"/>
  <c r="P114" i="5"/>
  <c r="J114" i="5"/>
  <c r="Q114" i="5"/>
  <c r="R114" i="5"/>
  <c r="H115" i="5"/>
  <c r="O115" i="5"/>
  <c r="I115" i="5"/>
  <c r="P115" i="5"/>
  <c r="J115" i="5"/>
  <c r="Q115" i="5"/>
  <c r="R115" i="5"/>
  <c r="H116" i="5"/>
  <c r="O116" i="5"/>
  <c r="I116" i="5"/>
  <c r="P116" i="5"/>
  <c r="J116" i="5"/>
  <c r="Q116" i="5"/>
  <c r="R116" i="5"/>
  <c r="H117" i="5"/>
  <c r="O117" i="5"/>
  <c r="I117" i="5"/>
  <c r="P117" i="5"/>
  <c r="J117" i="5"/>
  <c r="Q117" i="5"/>
  <c r="R117" i="5"/>
  <c r="H118" i="5"/>
  <c r="O118" i="5"/>
  <c r="I118" i="5"/>
  <c r="P118" i="5"/>
  <c r="J118" i="5"/>
  <c r="Q118" i="5"/>
  <c r="R118" i="5"/>
  <c r="H119" i="5"/>
  <c r="O119" i="5"/>
  <c r="I119" i="5"/>
  <c r="P119" i="5"/>
  <c r="J119" i="5"/>
  <c r="Q119" i="5"/>
  <c r="R119" i="5"/>
  <c r="H112" i="5"/>
  <c r="O112" i="5"/>
  <c r="I112" i="5"/>
  <c r="P112" i="5"/>
  <c r="J112" i="5"/>
  <c r="Q112" i="5"/>
  <c r="R112" i="5"/>
  <c r="G113" i="5"/>
  <c r="G114" i="5"/>
  <c r="G115" i="5"/>
  <c r="G116" i="5"/>
  <c r="G117" i="5"/>
  <c r="G118" i="5"/>
  <c r="G119" i="5"/>
  <c r="G112" i="5"/>
  <c r="H104" i="5"/>
  <c r="O104" i="5"/>
  <c r="I104" i="5"/>
  <c r="P104" i="5"/>
  <c r="J104" i="5"/>
  <c r="Q104" i="5"/>
  <c r="H105" i="5"/>
  <c r="O105" i="5"/>
  <c r="I105" i="5"/>
  <c r="P105" i="5"/>
  <c r="J105" i="5"/>
  <c r="Q105" i="5"/>
  <c r="H106" i="5"/>
  <c r="O106" i="5"/>
  <c r="I106" i="5"/>
  <c r="P106" i="5"/>
  <c r="J106" i="5"/>
  <c r="Q106" i="5"/>
  <c r="H107" i="5"/>
  <c r="O107" i="5"/>
  <c r="I107" i="5"/>
  <c r="P107" i="5"/>
  <c r="J107" i="5"/>
  <c r="Q107" i="5"/>
  <c r="R107" i="5"/>
  <c r="H108" i="5"/>
  <c r="O108" i="5"/>
  <c r="I108" i="5"/>
  <c r="P108" i="5"/>
  <c r="J108" i="5"/>
  <c r="Q108" i="5"/>
  <c r="H109" i="5"/>
  <c r="O109" i="5"/>
  <c r="I109" i="5"/>
  <c r="P109" i="5"/>
  <c r="J109" i="5"/>
  <c r="Q109" i="5"/>
  <c r="R109" i="5"/>
  <c r="H110" i="5"/>
  <c r="O110" i="5"/>
  <c r="I110" i="5"/>
  <c r="P110" i="5"/>
  <c r="J110" i="5"/>
  <c r="Q110" i="5"/>
  <c r="I103" i="5"/>
  <c r="P103" i="5"/>
  <c r="H103" i="5"/>
  <c r="O103" i="5"/>
  <c r="J103" i="5"/>
  <c r="Q103" i="5"/>
  <c r="R103" i="5"/>
  <c r="G104" i="5"/>
  <c r="G105" i="5"/>
  <c r="G106" i="5"/>
  <c r="G107" i="5"/>
  <c r="G108" i="5"/>
  <c r="G109" i="5"/>
  <c r="G110" i="5"/>
  <c r="G103" i="5"/>
  <c r="H76" i="5"/>
  <c r="O76" i="5"/>
  <c r="I76" i="5"/>
  <c r="P76" i="5"/>
  <c r="J76" i="5"/>
  <c r="Q76" i="5"/>
  <c r="R76" i="5"/>
  <c r="I77" i="5"/>
  <c r="P77" i="5"/>
  <c r="J77" i="5"/>
  <c r="Q77" i="5"/>
  <c r="I78" i="5"/>
  <c r="P78" i="5"/>
  <c r="J78" i="5"/>
  <c r="Q78" i="5"/>
  <c r="I79" i="5"/>
  <c r="P79" i="5"/>
  <c r="J79" i="5"/>
  <c r="Q79" i="5"/>
  <c r="I80" i="5"/>
  <c r="P80" i="5"/>
  <c r="J80" i="5"/>
  <c r="Q80" i="5"/>
  <c r="I81" i="5"/>
  <c r="P81" i="5"/>
  <c r="J81" i="5"/>
  <c r="Q81" i="5"/>
  <c r="I82" i="5"/>
  <c r="P82" i="5"/>
  <c r="J82" i="5"/>
  <c r="Q82" i="5"/>
  <c r="I83" i="5"/>
  <c r="P83" i="5"/>
  <c r="J83" i="5"/>
  <c r="Q83" i="5"/>
  <c r="H77" i="5"/>
  <c r="O77" i="5"/>
  <c r="R77" i="5"/>
  <c r="H78" i="5"/>
  <c r="O78" i="5"/>
  <c r="R78" i="5"/>
  <c r="H79" i="5"/>
  <c r="O79" i="5"/>
  <c r="R79" i="5"/>
  <c r="H80" i="5"/>
  <c r="O80" i="5"/>
  <c r="R80" i="5"/>
  <c r="H81" i="5"/>
  <c r="O81" i="5"/>
  <c r="R81" i="5"/>
  <c r="H82" i="5"/>
  <c r="O82" i="5"/>
  <c r="R82" i="5"/>
  <c r="H83" i="5"/>
  <c r="O83" i="5"/>
  <c r="R83" i="5"/>
  <c r="H31" i="5"/>
  <c r="G77" i="5"/>
  <c r="G78" i="5"/>
  <c r="G79" i="5"/>
  <c r="G80" i="5"/>
  <c r="G81" i="5"/>
  <c r="G82" i="5"/>
  <c r="G83" i="5"/>
  <c r="G76" i="5"/>
  <c r="H71" i="5"/>
  <c r="O71" i="5"/>
  <c r="I71" i="5"/>
  <c r="P71" i="5"/>
  <c r="J71" i="5"/>
  <c r="Q71" i="5"/>
  <c r="R71" i="5"/>
  <c r="H73" i="5"/>
  <c r="O73" i="5"/>
  <c r="I73" i="5"/>
  <c r="P73" i="5"/>
  <c r="J73" i="5"/>
  <c r="Q73" i="5"/>
  <c r="R73" i="5"/>
  <c r="H74" i="5"/>
  <c r="O74" i="5"/>
  <c r="I74" i="5"/>
  <c r="P74" i="5"/>
  <c r="J74" i="5"/>
  <c r="Q74" i="5"/>
  <c r="R74" i="5"/>
  <c r="H68" i="5"/>
  <c r="O68" i="5"/>
  <c r="I68" i="5"/>
  <c r="P68" i="5"/>
  <c r="J68" i="5"/>
  <c r="Q68" i="5"/>
  <c r="R68" i="5"/>
  <c r="H69" i="5"/>
  <c r="O69" i="5"/>
  <c r="I69" i="5"/>
  <c r="P69" i="5"/>
  <c r="J69" i="5"/>
  <c r="Q69" i="5"/>
  <c r="R69" i="5"/>
  <c r="H70" i="5"/>
  <c r="O70" i="5"/>
  <c r="I70" i="5"/>
  <c r="P70" i="5"/>
  <c r="J70" i="5"/>
  <c r="Q70" i="5"/>
  <c r="R70" i="5"/>
  <c r="H72" i="5"/>
  <c r="O72" i="5"/>
  <c r="I72" i="5"/>
  <c r="P72" i="5"/>
  <c r="J72" i="5"/>
  <c r="Q72" i="5"/>
  <c r="R72" i="5"/>
  <c r="I67" i="5"/>
  <c r="P67" i="5"/>
  <c r="J67" i="5"/>
  <c r="Q67" i="5"/>
  <c r="H67" i="5"/>
  <c r="O67" i="5"/>
  <c r="R67" i="5"/>
  <c r="G68" i="5"/>
  <c r="G69" i="5"/>
  <c r="G70" i="5"/>
  <c r="G71" i="5"/>
  <c r="G72" i="5"/>
  <c r="G73" i="5"/>
  <c r="G74" i="5"/>
  <c r="G67" i="5"/>
  <c r="H59" i="5"/>
  <c r="O59" i="5"/>
  <c r="I59" i="5"/>
  <c r="P59" i="5"/>
  <c r="J59" i="5"/>
  <c r="Q59" i="5"/>
  <c r="H60" i="5"/>
  <c r="O60" i="5"/>
  <c r="I60" i="5"/>
  <c r="P60" i="5"/>
  <c r="J60" i="5"/>
  <c r="Q60" i="5"/>
  <c r="R60" i="5"/>
  <c r="H61" i="5"/>
  <c r="O61" i="5"/>
  <c r="I61" i="5"/>
  <c r="P61" i="5"/>
  <c r="J61" i="5"/>
  <c r="Q61" i="5"/>
  <c r="H62" i="5"/>
  <c r="O62" i="5"/>
  <c r="I62" i="5"/>
  <c r="P62" i="5"/>
  <c r="J62" i="5"/>
  <c r="Q62" i="5"/>
  <c r="H63" i="5"/>
  <c r="O63" i="5"/>
  <c r="I63" i="5"/>
  <c r="P63" i="5"/>
  <c r="J63" i="5"/>
  <c r="Q63" i="5"/>
  <c r="R63" i="5"/>
  <c r="H64" i="5"/>
  <c r="O64" i="5"/>
  <c r="I64" i="5"/>
  <c r="P64" i="5"/>
  <c r="J64" i="5"/>
  <c r="Q64" i="5"/>
  <c r="H65" i="5"/>
  <c r="O65" i="5"/>
  <c r="I65" i="5"/>
  <c r="P65" i="5"/>
  <c r="J65" i="5"/>
  <c r="Q65" i="5"/>
  <c r="I58" i="5"/>
  <c r="P58" i="5"/>
  <c r="J58" i="5"/>
  <c r="Q58" i="5"/>
  <c r="H58" i="5"/>
  <c r="O58" i="5"/>
  <c r="R58" i="5"/>
  <c r="G59" i="5"/>
  <c r="G60" i="5"/>
  <c r="G61" i="5"/>
  <c r="G62" i="5"/>
  <c r="G63" i="5"/>
  <c r="G64" i="5"/>
  <c r="G65" i="5"/>
  <c r="G58" i="5"/>
  <c r="R121" i="5"/>
  <c r="R122" i="5"/>
  <c r="R106" i="5"/>
  <c r="R110" i="5"/>
  <c r="R108" i="5"/>
  <c r="R105" i="5"/>
  <c r="R104" i="5"/>
  <c r="R65" i="5"/>
  <c r="R64" i="5"/>
  <c r="R62" i="5"/>
  <c r="R61" i="5"/>
  <c r="R59" i="5"/>
  <c r="J50" i="5"/>
  <c r="J51" i="5"/>
  <c r="J52" i="5"/>
  <c r="J53" i="5"/>
  <c r="J54" i="5"/>
  <c r="J55" i="5"/>
  <c r="J56" i="5"/>
  <c r="Q56" i="5"/>
  <c r="J49" i="5"/>
  <c r="I56" i="5"/>
  <c r="I50" i="5"/>
  <c r="P50" i="5"/>
  <c r="I51" i="5"/>
  <c r="P51" i="5"/>
  <c r="I52" i="5"/>
  <c r="P52" i="5"/>
  <c r="I53" i="5"/>
  <c r="P53" i="5"/>
  <c r="I54" i="5"/>
  <c r="P54" i="5"/>
  <c r="I55" i="5"/>
  <c r="P55" i="5"/>
  <c r="I49" i="5"/>
  <c r="H50" i="5"/>
  <c r="H51" i="5"/>
  <c r="H52" i="5"/>
  <c r="O52" i="5"/>
  <c r="H53" i="5"/>
  <c r="H54" i="5"/>
  <c r="H55" i="5"/>
  <c r="O55" i="5"/>
  <c r="H56" i="5"/>
  <c r="O56" i="5"/>
  <c r="H49" i="5"/>
  <c r="J41" i="5"/>
  <c r="J42" i="5"/>
  <c r="J43" i="5"/>
  <c r="J44" i="5"/>
  <c r="Q44" i="5"/>
  <c r="J45" i="5"/>
  <c r="Q45" i="5"/>
  <c r="J46" i="5"/>
  <c r="Q46" i="5"/>
  <c r="J47" i="5"/>
  <c r="Q47" i="5"/>
  <c r="J40" i="5"/>
  <c r="I47" i="5"/>
  <c r="I41" i="5"/>
  <c r="P41" i="5"/>
  <c r="I42" i="5"/>
  <c r="P42" i="5"/>
  <c r="I43" i="5"/>
  <c r="I44" i="5"/>
  <c r="P44" i="5"/>
  <c r="I45" i="5"/>
  <c r="P45" i="5"/>
  <c r="I46" i="5"/>
  <c r="P46" i="5"/>
  <c r="I40" i="5"/>
  <c r="H41" i="5"/>
  <c r="H42" i="5"/>
  <c r="O42" i="5"/>
  <c r="H43" i="5"/>
  <c r="O43" i="5"/>
  <c r="H44" i="5"/>
  <c r="O44" i="5"/>
  <c r="H45" i="5"/>
  <c r="O45" i="5"/>
  <c r="H46" i="5"/>
  <c r="O46" i="5"/>
  <c r="H47" i="5"/>
  <c r="O47" i="5"/>
  <c r="H40" i="5"/>
  <c r="O40" i="5"/>
  <c r="H13" i="5"/>
  <c r="P17" i="5"/>
  <c r="P15" i="5"/>
  <c r="P14" i="5"/>
  <c r="P13" i="5"/>
  <c r="Q14" i="5"/>
  <c r="Q15" i="5"/>
  <c r="H14" i="5"/>
  <c r="H15" i="5"/>
  <c r="H16" i="5"/>
  <c r="H17" i="5"/>
  <c r="O17" i="5"/>
  <c r="H18" i="5"/>
  <c r="O18" i="5"/>
  <c r="H19" i="5"/>
  <c r="O19" i="5"/>
  <c r="H20" i="5"/>
  <c r="O20" i="5"/>
  <c r="J5" i="5"/>
  <c r="Q5" i="5"/>
  <c r="J6" i="5"/>
  <c r="J7" i="5"/>
  <c r="J8" i="5"/>
  <c r="J9" i="5"/>
  <c r="Q9" i="5"/>
  <c r="J10" i="5"/>
  <c r="Q10" i="5"/>
  <c r="J11" i="5"/>
  <c r="Q11" i="5"/>
  <c r="J4" i="5"/>
  <c r="Q4" i="5"/>
  <c r="I5" i="5"/>
  <c r="P5" i="5"/>
  <c r="I6" i="5"/>
  <c r="I7" i="5"/>
  <c r="I8" i="5"/>
  <c r="P9" i="5"/>
  <c r="P11" i="5"/>
  <c r="I4" i="5"/>
  <c r="P4" i="5"/>
  <c r="H5" i="5"/>
  <c r="O5" i="5"/>
  <c r="H6" i="5"/>
  <c r="H7" i="5"/>
  <c r="H8" i="5"/>
  <c r="H9" i="5"/>
  <c r="O9" i="5"/>
  <c r="H10" i="5"/>
  <c r="O10" i="5"/>
  <c r="H11" i="5"/>
  <c r="O11" i="5"/>
  <c r="H4" i="5"/>
  <c r="O4" i="5"/>
  <c r="Q13" i="5"/>
  <c r="P16" i="5"/>
  <c r="Q16" i="5"/>
  <c r="Q17" i="5"/>
  <c r="P18" i="5"/>
  <c r="Q18" i="5"/>
  <c r="P19" i="5"/>
  <c r="Q19" i="5"/>
  <c r="P20" i="5"/>
  <c r="Q20" i="5"/>
  <c r="Q8" i="5"/>
  <c r="P8" i="5"/>
  <c r="O8" i="5"/>
  <c r="R8" i="5"/>
  <c r="E31" i="4"/>
  <c r="Q50" i="5"/>
  <c r="Q51" i="5"/>
  <c r="Q52" i="5"/>
  <c r="Q53" i="5"/>
  <c r="Q54" i="5"/>
  <c r="Q55" i="5"/>
  <c r="Q49" i="5"/>
  <c r="P56" i="5"/>
  <c r="P49" i="5"/>
  <c r="O50" i="5"/>
  <c r="O51" i="5"/>
  <c r="O53" i="5"/>
  <c r="O54" i="5"/>
  <c r="O49" i="5"/>
  <c r="G50" i="5"/>
  <c r="G51" i="5"/>
  <c r="G52" i="5"/>
  <c r="G53" i="5"/>
  <c r="G54" i="5"/>
  <c r="G55" i="5"/>
  <c r="G56" i="5"/>
  <c r="G49" i="5"/>
  <c r="P40" i="5"/>
  <c r="Q41" i="5"/>
  <c r="Q42" i="5"/>
  <c r="Q43" i="5"/>
  <c r="Q40" i="5"/>
  <c r="P43" i="5"/>
  <c r="P47" i="5"/>
  <c r="O41" i="5"/>
  <c r="G41" i="5"/>
  <c r="G42" i="5"/>
  <c r="G43" i="5"/>
  <c r="G44" i="5"/>
  <c r="G45" i="5"/>
  <c r="G46" i="5"/>
  <c r="G47" i="5"/>
  <c r="G40" i="5"/>
  <c r="J32" i="5"/>
  <c r="Q32" i="5"/>
  <c r="J33" i="5"/>
  <c r="Q33" i="5"/>
  <c r="J34" i="5"/>
  <c r="Q34" i="5"/>
  <c r="J35" i="5"/>
  <c r="Q35" i="5"/>
  <c r="J36" i="5"/>
  <c r="Q36" i="5"/>
  <c r="J37" i="5"/>
  <c r="Q37" i="5"/>
  <c r="J38" i="5"/>
  <c r="Q38" i="5"/>
  <c r="J31" i="5"/>
  <c r="Q31" i="5"/>
  <c r="O31" i="5"/>
  <c r="I31" i="5"/>
  <c r="P31" i="5"/>
  <c r="I32" i="5"/>
  <c r="P32" i="5"/>
  <c r="I33" i="5"/>
  <c r="P33" i="5"/>
  <c r="I34" i="5"/>
  <c r="P34" i="5"/>
  <c r="I35" i="5"/>
  <c r="P35" i="5"/>
  <c r="I36" i="5"/>
  <c r="P36" i="5"/>
  <c r="I37" i="5"/>
  <c r="P37" i="5"/>
  <c r="I38" i="5"/>
  <c r="P38" i="5"/>
  <c r="H32" i="5"/>
  <c r="O32" i="5"/>
  <c r="R32" i="5" a="1"/>
  <c r="R32" i="5"/>
  <c r="H33" i="5"/>
  <c r="O33" i="5"/>
  <c r="R33" i="5" a="1"/>
  <c r="R33" i="5"/>
  <c r="H34" i="5"/>
  <c r="O34" i="5"/>
  <c r="H35" i="5"/>
  <c r="O35" i="5"/>
  <c r="H36" i="5"/>
  <c r="O36" i="5"/>
  <c r="H37" i="5"/>
  <c r="O37" i="5"/>
  <c r="R37" i="5" a="1"/>
  <c r="R37" i="5"/>
  <c r="H38" i="5"/>
  <c r="O38" i="5"/>
  <c r="G32" i="5"/>
  <c r="G33" i="5"/>
  <c r="G34" i="5"/>
  <c r="G35" i="5"/>
  <c r="G36" i="5"/>
  <c r="G37" i="5"/>
  <c r="G38" i="5"/>
  <c r="G31" i="5"/>
  <c r="J23" i="5"/>
  <c r="Q23" i="5"/>
  <c r="J24" i="5"/>
  <c r="Q24" i="5"/>
  <c r="J25" i="5"/>
  <c r="Q25" i="5"/>
  <c r="J26" i="5"/>
  <c r="Q26" i="5"/>
  <c r="J27" i="5"/>
  <c r="Q27" i="5"/>
  <c r="J28" i="5"/>
  <c r="Q28" i="5"/>
  <c r="J29" i="5"/>
  <c r="Q29" i="5"/>
  <c r="J22" i="5"/>
  <c r="Q22" i="5"/>
  <c r="I23" i="5"/>
  <c r="P23" i="5"/>
  <c r="I24" i="5"/>
  <c r="P24" i="5"/>
  <c r="I25" i="5"/>
  <c r="P25" i="5"/>
  <c r="I26" i="5"/>
  <c r="P26" i="5"/>
  <c r="I27" i="5"/>
  <c r="P27" i="5"/>
  <c r="I28" i="5"/>
  <c r="P28" i="5"/>
  <c r="I29" i="5"/>
  <c r="P29" i="5"/>
  <c r="I22" i="5"/>
  <c r="P22" i="5"/>
  <c r="H23" i="5"/>
  <c r="O23" i="5"/>
  <c r="H24" i="5"/>
  <c r="O24" i="5"/>
  <c r="R24" i="5"/>
  <c r="H25" i="5"/>
  <c r="O25" i="5"/>
  <c r="R25" i="5"/>
  <c r="H26" i="5"/>
  <c r="O26" i="5"/>
  <c r="R26" i="5"/>
  <c r="H27" i="5"/>
  <c r="O27" i="5"/>
  <c r="R27" i="5"/>
  <c r="H28" i="5"/>
  <c r="O28" i="5"/>
  <c r="H29" i="5"/>
  <c r="O29" i="5"/>
  <c r="R29" i="5"/>
  <c r="H22" i="5"/>
  <c r="O22" i="5"/>
  <c r="R22" i="5"/>
  <c r="G23" i="5"/>
  <c r="G24" i="5"/>
  <c r="G25" i="5"/>
  <c r="G26" i="5"/>
  <c r="G27" i="5"/>
  <c r="G28" i="5"/>
  <c r="G22" i="5"/>
  <c r="O14" i="5"/>
  <c r="O15" i="5"/>
  <c r="O16" i="5"/>
  <c r="O13" i="5"/>
  <c r="Q6" i="5"/>
  <c r="Q7" i="5"/>
  <c r="P6" i="5"/>
  <c r="P7" i="5"/>
  <c r="P10" i="5"/>
  <c r="O6" i="5"/>
  <c r="O7" i="5"/>
  <c r="G5" i="5"/>
  <c r="G6" i="5"/>
  <c r="G7" i="5"/>
  <c r="G8" i="5"/>
  <c r="G9" i="5"/>
  <c r="G10" i="5"/>
  <c r="G11" i="5"/>
  <c r="G4" i="5"/>
  <c r="R34" i="5" a="1"/>
  <c r="R34" i="5"/>
  <c r="R28" i="5"/>
  <c r="R35" i="5" a="1"/>
  <c r="R35" i="5"/>
  <c r="R49" i="5"/>
  <c r="R23" i="5"/>
  <c r="R56" i="5"/>
  <c r="R54" i="5"/>
  <c r="R50" i="5"/>
  <c r="R55" i="5"/>
  <c r="R53" i="5"/>
  <c r="R52" i="5"/>
  <c r="R51" i="5"/>
  <c r="R41" i="5"/>
  <c r="R47" i="5"/>
  <c r="R46" i="5"/>
  <c r="R45" i="5"/>
  <c r="R44" i="5"/>
  <c r="R42" i="5"/>
  <c r="R38" i="5" a="1"/>
  <c r="R38" i="5"/>
  <c r="R36" i="5" a="1"/>
  <c r="R36" i="5"/>
  <c r="R43" i="5"/>
  <c r="R40" i="5"/>
  <c r="R31" i="5" a="1"/>
  <c r="R31" i="5"/>
  <c r="R17" i="5"/>
  <c r="R13" i="5"/>
  <c r="R18" i="5"/>
  <c r="R20" i="5"/>
  <c r="R16" i="5"/>
  <c r="R14" i="5"/>
  <c r="R19" i="5"/>
  <c r="R15" i="5"/>
  <c r="R10" i="5"/>
  <c r="R9" i="5"/>
  <c r="R7" i="5"/>
  <c r="R4" i="5"/>
  <c r="R5" i="5"/>
  <c r="R11" i="5"/>
  <c r="R6" i="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<sst xmlns="http://schemas.openxmlformats.org/spreadsheetml/2006/main" count="3546" uniqueCount="413">
  <si>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</si>
  <si>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</si>
  <si>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</si>
  <si>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</si>
  <si>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</si>
  <si>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</si>
  <si>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</si>
  <si>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</si>
  <si>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</si>
  <si>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</si>
  <si>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</si>
  <si>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IEDC_V1</t>
  </si>
  <si>
    <t>Aspects_Attribute_No</t>
  </si>
  <si>
    <t>age-cohort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</si>
  <si>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</si>
  <si>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</si>
  <si>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</si>
  <si>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</si>
  <si>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</si>
  <si>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</si>
  <si>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</si>
  <si>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</si>
  <si>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</si>
  <si>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</si>
  <si>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</si>
  <si>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</si>
  <si>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</si>
  <si>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</si>
  <si>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</si>
  <si>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</si>
  <si>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</si>
  <si>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</si>
  <si>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</si>
  <si>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</si>
  <si>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</si>
  <si>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</si>
  <si>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</si>
  <si>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</si>
  <si>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</si>
  <si>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</si>
  <si>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</si>
  <si>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</si>
  <si>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</si>
  <si>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</si>
  <si>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</si>
  <si>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</si>
  <si>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</si>
  <si>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</si>
  <si>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</si>
  <si>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</si>
  <si>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</si>
  <si>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</si>
  <si>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</si>
  <si>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</si>
  <si>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</si>
  <si>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</si>
  <si>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</si>
  <si>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</si>
  <si>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</si>
  <si>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</si>
  <si>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</si>
  <si>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</si>
  <si>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</si>
  <si>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</si>
  <si>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</si>
  <si>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</si>
  <si>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</si>
  <si>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</si>
  <si>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</si>
  <si>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</si>
  <si>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</si>
  <si>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</si>
  <si>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</si>
  <si>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</si>
  <si>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</si>
  <si>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</si>
  <si>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</si>
  <si>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</si>
  <si>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</si>
  <si>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</si>
  <si>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</si>
  <si>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</si>
  <si>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</si>
  <si>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</si>
  <si>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</si>
  <si>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</si>
  <si>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</si>
  <si>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</si>
  <si>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</si>
  <si>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</si>
  <si>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</si>
  <si>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</si>
  <si>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</si>
  <si>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</si>
  <si>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</si>
  <si>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</si>
  <si>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</si>
  <si>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</si>
  <si>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</si>
  <si>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</si>
  <si>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</si>
  <si>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</si>
  <si>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</si>
  <si>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global</t>
  </si>
  <si>
    <t>all rights reserved</t>
  </si>
  <si>
    <t>energy_carrier</t>
  </si>
  <si>
    <t>MJ</t>
  </si>
  <si>
    <t>km</t>
  </si>
  <si>
    <t>gasoline</t>
  </si>
  <si>
    <t>diesel</t>
  </si>
  <si>
    <t>electricity</t>
  </si>
  <si>
    <t>Ilham Chekrad</t>
  </si>
  <si>
    <t>Transit Buses</t>
  </si>
  <si>
    <t>USA</t>
  </si>
  <si>
    <t>1996-2021</t>
  </si>
  <si>
    <t>2.01</t>
  </si>
  <si>
    <t>Compressed Natural Gas</t>
  </si>
  <si>
    <t>Bio-diesel</t>
  </si>
  <si>
    <t>2002-2021</t>
  </si>
  <si>
    <t>Liquefied natural gas</t>
  </si>
  <si>
    <t>Gasoline</t>
  </si>
  <si>
    <t>1997-2021</t>
  </si>
  <si>
    <t>1998-2021</t>
  </si>
  <si>
    <t xml:space="preserve">Motorcycle </t>
  </si>
  <si>
    <t>2001-2016</t>
  </si>
  <si>
    <t xml:space="preserve">Light duty Vehicle Short </t>
  </si>
  <si>
    <t>light duty Vehicle long</t>
  </si>
  <si>
    <t>2001-2017</t>
  </si>
  <si>
    <t>2001-2018</t>
  </si>
  <si>
    <t>Diesel</t>
  </si>
  <si>
    <t>Class I Railroad Freight Service</t>
  </si>
  <si>
    <t>1990-2021</t>
  </si>
  <si>
    <t>1990-2022</t>
  </si>
  <si>
    <t xml:space="preserve">Regional rail passenger transport </t>
  </si>
  <si>
    <t>Passenger train</t>
  </si>
  <si>
    <t>Germany</t>
  </si>
  <si>
    <t>2020-2021</t>
  </si>
  <si>
    <t xml:space="preserve">Long-distance rail passenger transport </t>
  </si>
  <si>
    <t>Bus Transport</t>
  </si>
  <si>
    <t>Rail freight Transport</t>
  </si>
  <si>
    <t>Unkn</t>
  </si>
  <si>
    <t>Road freight Transport</t>
  </si>
  <si>
    <t>Energy Intensity; freight transport; passenger vehicles</t>
  </si>
  <si>
    <t>Passenger Vehicle</t>
  </si>
  <si>
    <t>Freight Vehicle</t>
  </si>
  <si>
    <t>MJ/pkm</t>
  </si>
  <si>
    <t>MJ/tkm</t>
  </si>
  <si>
    <t>pkm</t>
  </si>
  <si>
    <t>compresed Natural Gas</t>
  </si>
  <si>
    <t>Region</t>
  </si>
  <si>
    <t>OECD Pacific</t>
  </si>
  <si>
    <t>China</t>
  </si>
  <si>
    <t>India</t>
  </si>
  <si>
    <t>EIT</t>
  </si>
  <si>
    <t>Africa &amp; Middle East</t>
  </si>
  <si>
    <t>Latin America</t>
  </si>
  <si>
    <t>OECD Europe</t>
  </si>
  <si>
    <t>OECD North America</t>
  </si>
  <si>
    <t>Fuel Efficiency Estimates l/100km</t>
  </si>
  <si>
    <t>l/100km</t>
  </si>
  <si>
    <t>Average</t>
  </si>
  <si>
    <t>Passenger Bus</t>
  </si>
  <si>
    <t>Passenger Rail</t>
  </si>
  <si>
    <t>MJ/vkm</t>
  </si>
  <si>
    <t>Passenger Estimate</t>
  </si>
  <si>
    <t>Electric</t>
  </si>
  <si>
    <t>1 kwh = 3,6 MJ</t>
  </si>
  <si>
    <t>High-Speed Passenger Rail</t>
  </si>
  <si>
    <t>Pkm</t>
  </si>
  <si>
    <t>vkm*Occupency</t>
  </si>
  <si>
    <t>tkm</t>
  </si>
  <si>
    <t>vkm*load</t>
  </si>
  <si>
    <t>Medium Duty Truck</t>
  </si>
  <si>
    <t>Load Estimates (tonnes)</t>
  </si>
  <si>
    <t>Freight Rail</t>
  </si>
  <si>
    <t>vkm</t>
  </si>
  <si>
    <t>Bio_diesel</t>
  </si>
  <si>
    <t>Liquefied Natural Gas</t>
  </si>
  <si>
    <t>Power</t>
  </si>
  <si>
    <t>Use phase</t>
  </si>
  <si>
    <t>Numbers converted from PDF to Excel</t>
  </si>
  <si>
    <r>
      <rPr>
        <sz val="8.5"/>
        <color rgb="FF575756"/>
        <rFont val="Roboto Lt"/>
      </rPr>
      <t>4.1%         95.1%</t>
    </r>
  </si>
  <si>
    <r>
      <rPr>
        <b/>
        <sz val="8.5"/>
        <rFont val="Roboto Bk"/>
      </rPr>
      <t>United Kingdom</t>
    </r>
  </si>
  <si>
    <r>
      <rPr>
        <sz val="8.5"/>
        <color rgb="FF575756"/>
        <rFont val="Roboto Lt"/>
      </rPr>
      <t>13.8%         84.7%</t>
    </r>
  </si>
  <si>
    <r>
      <rPr>
        <b/>
        <sz val="8.5"/>
        <rFont val="Roboto Bk"/>
      </rPr>
      <t>Switzerland</t>
    </r>
  </si>
  <si>
    <r>
      <rPr>
        <sz val="8.5"/>
        <color rgb="FF575756"/>
        <rFont val="Roboto Lt"/>
      </rPr>
      <t>4.0%         93.0%</t>
    </r>
  </si>
  <si>
    <r>
      <rPr>
        <b/>
        <sz val="8.5"/>
        <rFont val="Roboto Bk"/>
      </rPr>
      <t>Norway</t>
    </r>
  </si>
  <si>
    <r>
      <rPr>
        <sz val="8.5"/>
        <color rgb="FF575756"/>
        <rFont val="Roboto Lt"/>
      </rPr>
      <t>14.4%         83.2%</t>
    </r>
  </si>
  <si>
    <r>
      <rPr>
        <b/>
        <sz val="8.5"/>
        <rFont val="Roboto Bk"/>
      </rPr>
      <t>Iceland</t>
    </r>
  </si>
  <si>
    <r>
      <rPr>
        <b/>
        <sz val="8.5"/>
        <color rgb="FFFFFFFF"/>
        <rFont val="Roboto Cn"/>
      </rPr>
      <t>6.0%         91.0%</t>
    </r>
  </si>
  <si>
    <r>
      <rPr>
        <b/>
        <sz val="8.5"/>
        <color rgb="FF002E40"/>
        <rFont val="Roboto Cn"/>
      </rPr>
      <t>EUROPEAN UNION</t>
    </r>
  </si>
  <si>
    <r>
      <rPr>
        <sz val="8.5"/>
        <color rgb="FF575756"/>
        <rFont val="Roboto Lt"/>
      </rPr>
      <t>7.3%         89.2%</t>
    </r>
  </si>
  <si>
    <r>
      <rPr>
        <b/>
        <sz val="8.5"/>
        <rFont val="Roboto Bk"/>
      </rPr>
      <t>Sweden</t>
    </r>
  </si>
  <si>
    <r>
      <rPr>
        <sz val="8.5"/>
        <color rgb="FF575756"/>
        <rFont val="Roboto Lt"/>
      </rPr>
      <t>4.9%         94.1%</t>
    </r>
  </si>
  <si>
    <r>
      <rPr>
        <b/>
        <sz val="8.5"/>
        <rFont val="Roboto Bk"/>
      </rPr>
      <t>Spain</t>
    </r>
  </si>
  <si>
    <r>
      <rPr>
        <sz val="8.5"/>
        <color rgb="FF575756"/>
        <rFont val="Roboto Lt"/>
      </rPr>
      <t>4.0%         95.2%</t>
    </r>
  </si>
  <si>
    <r>
      <rPr>
        <b/>
        <sz val="8.5"/>
        <rFont val="Roboto Bk"/>
      </rPr>
      <t>Slovenia</t>
    </r>
  </si>
  <si>
    <r>
      <rPr>
        <sz val="8.5"/>
        <color rgb="FF575756"/>
        <rFont val="Roboto Lt"/>
      </rPr>
      <t>13.6%         83.2%</t>
    </r>
  </si>
  <si>
    <r>
      <rPr>
        <b/>
        <sz val="8.5"/>
        <rFont val="Roboto Bk"/>
      </rPr>
      <t>Slovakia</t>
    </r>
  </si>
  <si>
    <r>
      <rPr>
        <sz val="8.5"/>
        <color rgb="FF575756"/>
        <rFont val="Roboto Lt"/>
      </rPr>
      <t>9.9%         86.0%</t>
    </r>
  </si>
  <si>
    <r>
      <rPr>
        <b/>
        <sz val="8.5"/>
        <rFont val="Roboto Bk"/>
      </rPr>
      <t>Romania</t>
    </r>
  </si>
  <si>
    <r>
      <rPr>
        <sz val="8.5"/>
        <color rgb="FF575756"/>
        <rFont val="Roboto Lt"/>
      </rPr>
      <t>0.2%         99.6%</t>
    </r>
  </si>
  <si>
    <r>
      <rPr>
        <b/>
        <sz val="8.5"/>
        <rFont val="Roboto Bk"/>
      </rPr>
      <t>Portugal</t>
    </r>
  </si>
  <si>
    <r>
      <rPr>
        <sz val="8.5"/>
        <color rgb="FF575756"/>
        <rFont val="Roboto Lt"/>
      </rPr>
      <t>6.6%         88.6%</t>
    </r>
  </si>
  <si>
    <r>
      <rPr>
        <b/>
        <sz val="8.5"/>
        <rFont val="Roboto Bk"/>
      </rPr>
      <t>Poland</t>
    </r>
  </si>
  <si>
    <r>
      <rPr>
        <sz val="8.5"/>
        <color rgb="FF575756"/>
        <rFont val="Roboto Lt"/>
      </rPr>
      <t>3.3%         93.3%</t>
    </r>
  </si>
  <si>
    <r>
      <rPr>
        <b/>
        <sz val="8.5"/>
        <rFont val="Roboto Bk"/>
      </rPr>
      <t>Netherlands</t>
    </r>
  </si>
  <si>
    <r>
      <rPr>
        <sz val="8.5"/>
        <color rgb="FF575756"/>
        <rFont val="Roboto Lt"/>
      </rPr>
      <t>3.6%         95.0%</t>
    </r>
  </si>
  <si>
    <r>
      <rPr>
        <b/>
        <sz val="8.5"/>
        <rFont val="Roboto Bk"/>
      </rPr>
      <t>Luxembourg</t>
    </r>
  </si>
  <si>
    <r>
      <rPr>
        <sz val="8.5"/>
        <color rgb="FF575756"/>
        <rFont val="Roboto Lt"/>
      </rPr>
      <t>2.0%         96.0%</t>
    </r>
  </si>
  <si>
    <r>
      <rPr>
        <b/>
        <sz val="8.5"/>
        <rFont val="Roboto Bk"/>
      </rPr>
      <t>Lithuania</t>
    </r>
  </si>
  <si>
    <r>
      <rPr>
        <sz val="8.5"/>
        <color rgb="FF575756"/>
        <rFont val="Roboto Lt"/>
      </rPr>
      <t>0,1%</t>
    </r>
  </si>
  <si>
    <r>
      <rPr>
        <sz val="8.5"/>
        <color rgb="FF575756"/>
        <rFont val="Roboto Lt"/>
      </rPr>
      <t>3.9%         95.4%</t>
    </r>
  </si>
  <si>
    <r>
      <rPr>
        <b/>
        <sz val="8.5"/>
        <rFont val="Roboto Bk"/>
      </rPr>
      <t>Latvia</t>
    </r>
  </si>
  <si>
    <r>
      <rPr>
        <sz val="8.5"/>
        <color rgb="FF575756"/>
        <rFont val="Roboto Lt"/>
      </rPr>
      <t>4.9%         90.7%</t>
    </r>
  </si>
  <si>
    <r>
      <rPr>
        <b/>
        <sz val="8.5"/>
        <rFont val="Roboto Bk"/>
      </rPr>
      <t>Italy</t>
    </r>
  </si>
  <si>
    <r>
      <rPr>
        <sz val="8.5"/>
        <color rgb="FF575756"/>
        <rFont val="Roboto Lt"/>
      </rPr>
      <t>0.6%         98.1%</t>
    </r>
  </si>
  <si>
    <r>
      <rPr>
        <b/>
        <sz val="8.5"/>
        <rFont val="Roboto Bk"/>
      </rPr>
      <t>Ireland</t>
    </r>
  </si>
  <si>
    <r>
      <rPr>
        <sz val="8.5"/>
        <color rgb="FF575756"/>
        <rFont val="Roboto Lt"/>
      </rPr>
      <t>3.4%         96.1%</t>
    </r>
  </si>
  <si>
    <r>
      <rPr>
        <b/>
        <sz val="8.5"/>
        <rFont val="Roboto Bk"/>
      </rPr>
      <t>Hungary</t>
    </r>
  </si>
  <si>
    <r>
      <rPr>
        <sz val="8.5"/>
        <color rgb="FF575756"/>
        <rFont val="Roboto Lt"/>
      </rPr>
      <t>38.8%         41.4%</t>
    </r>
  </si>
  <si>
    <r>
      <rPr>
        <b/>
        <sz val="8.5"/>
        <rFont val="Roboto Bk"/>
      </rPr>
      <t>Greece</t>
    </r>
  </si>
  <si>
    <r>
      <rPr>
        <sz val="8.5"/>
        <color rgb="FF575756"/>
        <rFont val="Roboto Lt"/>
      </rPr>
      <t>5.0%         92.4%</t>
    </r>
  </si>
  <si>
    <r>
      <rPr>
        <b/>
        <sz val="8.5"/>
        <rFont val="Roboto Bk"/>
      </rPr>
      <t>Germany</t>
    </r>
  </si>
  <si>
    <r>
      <rPr>
        <b/>
        <sz val="8.5"/>
        <rFont val="Roboto Bk"/>
      </rPr>
      <t>France</t>
    </r>
  </si>
  <si>
    <r>
      <rPr>
        <sz val="8.5"/>
        <color rgb="FF575756"/>
        <rFont val="Roboto Lt"/>
      </rPr>
      <t>2.7%         96.7%</t>
    </r>
  </si>
  <si>
    <r>
      <rPr>
        <b/>
        <sz val="8.5"/>
        <rFont val="Roboto Bk"/>
      </rPr>
      <t>Finland</t>
    </r>
  </si>
  <si>
    <r>
      <rPr>
        <sz val="8.5"/>
        <color rgb="FF575756"/>
        <rFont val="Roboto Lt"/>
      </rPr>
      <t>14.3%         85.2%</t>
    </r>
  </si>
  <si>
    <r>
      <rPr>
        <b/>
        <sz val="8.5"/>
        <rFont val="Roboto Bk"/>
      </rPr>
      <t>Estonia</t>
    </r>
  </si>
  <si>
    <r>
      <rPr>
        <sz val="8.5"/>
        <color rgb="FF575756"/>
        <rFont val="Roboto Lt"/>
      </rPr>
      <t>9.3%         89.1%</t>
    </r>
  </si>
  <si>
    <r>
      <rPr>
        <b/>
        <sz val="8.5"/>
        <rFont val="Roboto Bk"/>
      </rPr>
      <t>Denmark</t>
    </r>
  </si>
  <si>
    <r>
      <rPr>
        <sz val="8.5"/>
        <color rgb="FF575756"/>
        <rFont val="Roboto Lt"/>
      </rPr>
      <t>16.0%         80.3%</t>
    </r>
  </si>
  <si>
    <r>
      <rPr>
        <b/>
        <sz val="8.5"/>
        <rFont val="Roboto Bk"/>
      </rPr>
      <t>Czech Republic</t>
    </r>
  </si>
  <si>
    <r>
      <rPr>
        <sz val="8.5"/>
        <color rgb="FF575756"/>
        <rFont val="Roboto Lt"/>
      </rPr>
      <t>5.1%         94.8%</t>
    </r>
  </si>
  <si>
    <r>
      <rPr>
        <b/>
        <sz val="8.5"/>
        <rFont val="Roboto Bk"/>
      </rPr>
      <t>Cyprus</t>
    </r>
  </si>
  <si>
    <r>
      <rPr>
        <sz val="8.5"/>
        <color rgb="FF575756"/>
        <rFont val="Roboto Lt"/>
      </rPr>
      <t>3.0%         96.0%</t>
    </r>
  </si>
  <si>
    <r>
      <rPr>
        <b/>
        <sz val="8.5"/>
        <rFont val="Roboto Bk"/>
      </rPr>
      <t>Croatia</t>
    </r>
  </si>
  <si>
    <r>
      <rPr>
        <sz val="8.5"/>
        <color rgb="FF575756"/>
        <rFont val="Roboto Lt"/>
      </rPr>
      <t>6.3%         90.9%</t>
    </r>
  </si>
  <si>
    <r>
      <rPr>
        <b/>
        <sz val="8.5"/>
        <rFont val="Roboto Bk"/>
      </rPr>
      <t>Belgium</t>
    </r>
  </si>
  <si>
    <r>
      <rPr>
        <sz val="8.5"/>
        <color rgb="FF575756"/>
        <rFont val="Roboto Lt"/>
      </rPr>
      <t>4.3%         94.3%</t>
    </r>
  </si>
  <si>
    <r>
      <rPr>
        <b/>
        <sz val="8.5"/>
        <rFont val="Roboto Bk"/>
      </rPr>
      <t>Austria</t>
    </r>
  </si>
  <si>
    <r>
      <rPr>
        <b/>
        <sz val="8.5"/>
        <rFont val="Roboto Bk"/>
      </rPr>
      <t>Unknown</t>
    </r>
  </si>
  <si>
    <r>
      <rPr>
        <b/>
        <sz val="8.5"/>
        <rFont val="Roboto Bk"/>
      </rPr>
      <t>Other</t>
    </r>
  </si>
  <si>
    <r>
      <rPr>
        <b/>
        <sz val="8.5"/>
        <rFont val="Roboto Bk"/>
      </rPr>
      <t>LPG</t>
    </r>
  </si>
  <si>
    <r>
      <rPr>
        <b/>
        <sz val="8.5"/>
        <rFont val="Roboto Bk"/>
      </rPr>
      <t xml:space="preserve">Natural
</t>
    </r>
    <r>
      <rPr>
        <b/>
        <sz val="8.5"/>
        <rFont val="Roboto Bk"/>
      </rPr>
      <t>gas</t>
    </r>
  </si>
  <si>
    <r>
      <rPr>
        <b/>
        <sz val="8.5"/>
        <rFont val="Roboto Bk"/>
      </rPr>
      <t>Hybrid electric</t>
    </r>
  </si>
  <si>
    <r>
      <rPr>
        <b/>
        <sz val="8.5"/>
        <rFont val="Roboto Bk"/>
      </rPr>
      <t>Plug-in hybrid</t>
    </r>
  </si>
  <si>
    <r>
      <rPr>
        <b/>
        <sz val="8.5"/>
        <rFont val="Roboto Bk"/>
      </rPr>
      <t>Battery electric</t>
    </r>
  </si>
  <si>
    <r>
      <rPr>
        <b/>
        <sz val="8.5"/>
        <rFont val="Roboto Bk"/>
      </rPr>
      <t>Petrol        Diesel</t>
    </r>
  </si>
  <si>
    <t>Light Commercial Vehicles</t>
  </si>
  <si>
    <t>Source: https://www.acea.auto/files/ACEA-report-vehicles-in-use-europe-2023.pdf</t>
  </si>
  <si>
    <r>
      <rPr>
        <sz val="8.5"/>
        <color rgb="FF575756"/>
        <rFont val="Roboto Lt"/>
      </rPr>
      <t>0.0%         99.7%</t>
    </r>
  </si>
  <si>
    <r>
      <rPr>
        <sz val="8.5"/>
        <color rgb="FF575756"/>
        <rFont val="Roboto Lt"/>
      </rPr>
      <t>0.6%         95.8%</t>
    </r>
  </si>
  <si>
    <r>
      <rPr>
        <sz val="8.5"/>
        <color rgb="FF575756"/>
        <rFont val="Roboto Lt"/>
      </rPr>
      <t>0.0%         99.9%</t>
    </r>
  </si>
  <si>
    <r>
      <rPr>
        <sz val="8.5"/>
        <color rgb="FF575756"/>
        <rFont val="Roboto Lt"/>
      </rPr>
      <t>0.1%         99.9%</t>
    </r>
  </si>
  <si>
    <r>
      <rPr>
        <sz val="8.5"/>
        <color rgb="FF575756"/>
        <rFont val="Roboto Lt"/>
      </rPr>
      <t>0.6%         94.1%</t>
    </r>
  </si>
  <si>
    <r>
      <rPr>
        <sz val="8.5"/>
        <color rgb="FF575756"/>
        <rFont val="Roboto Lt"/>
      </rPr>
      <t>0.6%         98.5%</t>
    </r>
  </si>
  <si>
    <r>
      <rPr>
        <sz val="8.5"/>
        <color rgb="FF575756"/>
        <rFont val="Roboto Lt"/>
      </rPr>
      <t>14.3%         85.4%</t>
    </r>
  </si>
  <si>
    <r>
      <rPr>
        <sz val="8.5"/>
        <color rgb="FF575756"/>
        <rFont val="Roboto Lt"/>
      </rPr>
      <t>2.3%         97.1%</t>
    </r>
  </si>
  <si>
    <r>
      <rPr>
        <sz val="8.5"/>
        <color rgb="FF575756"/>
        <rFont val="Roboto Lt"/>
      </rPr>
      <t>0.0%         98.4%</t>
    </r>
  </si>
  <si>
    <r>
      <rPr>
        <sz val="8.5"/>
        <color rgb="FF575756"/>
        <rFont val="Roboto Lt"/>
      </rPr>
      <t>0.2%         99.4%</t>
    </r>
  </si>
  <si>
    <r>
      <rPr>
        <sz val="8.5"/>
        <color rgb="FF575756"/>
        <rFont val="Roboto Lt"/>
      </rPr>
      <t>0.1%         56.3%</t>
    </r>
  </si>
  <si>
    <r>
      <rPr>
        <sz val="8.5"/>
        <color rgb="FF575756"/>
        <rFont val="Roboto Lt"/>
      </rPr>
      <t>0.6%         99.3%</t>
    </r>
  </si>
  <si>
    <r>
      <rPr>
        <sz val="8.5"/>
        <color rgb="FF575756"/>
        <rFont val="Roboto Lt"/>
      </rPr>
      <t>0.1%         99.7%</t>
    </r>
  </si>
  <si>
    <r>
      <rPr>
        <sz val="8.5"/>
        <color rgb="FF575756"/>
        <rFont val="Roboto Lt"/>
      </rPr>
      <t>0.8%         98.3%</t>
    </r>
  </si>
  <si>
    <r>
      <rPr>
        <sz val="8.5"/>
        <color rgb="FF575756"/>
        <rFont val="Roboto Lt"/>
      </rPr>
      <t>2.1%         96.5%</t>
    </r>
  </si>
  <si>
    <r>
      <rPr>
        <sz val="8.5"/>
        <color rgb="FF575756"/>
        <rFont val="Roboto Lt"/>
      </rPr>
      <t>0.8%         98.1%</t>
    </r>
  </si>
  <si>
    <r>
      <rPr>
        <sz val="8.5"/>
        <color rgb="FF575756"/>
        <rFont val="Roboto Lt"/>
      </rPr>
      <t>0.3%         98.9%</t>
    </r>
  </si>
  <si>
    <r>
      <rPr>
        <sz val="8.5"/>
        <color rgb="FF575756"/>
        <rFont val="Roboto Lt"/>
      </rPr>
      <t>0.8%         97.7%</t>
    </r>
  </si>
  <si>
    <r>
      <rPr>
        <sz val="8.5"/>
        <color rgb="FF575756"/>
        <rFont val="Roboto Lt"/>
      </rPr>
      <t>0.2%         97.7%</t>
    </r>
  </si>
  <si>
    <r>
      <rPr>
        <sz val="8.5"/>
        <color rgb="FF575756"/>
        <rFont val="Roboto Lt"/>
      </rPr>
      <t>0.0%         99.6%</t>
    </r>
  </si>
  <si>
    <r>
      <rPr>
        <sz val="8.5"/>
        <color rgb="FF575756"/>
        <rFont val="Roboto Lt"/>
      </rPr>
      <t>0.7%         99.3%</t>
    </r>
  </si>
  <si>
    <r>
      <rPr>
        <sz val="8.5"/>
        <color rgb="FF575756"/>
        <rFont val="Roboto Lt"/>
      </rPr>
      <t>0.1%         96.2%</t>
    </r>
  </si>
  <si>
    <r>
      <rPr>
        <sz val="8.5"/>
        <color rgb="FF575756"/>
        <rFont val="Roboto Lt"/>
      </rPr>
      <t>0.1%         99.6%</t>
    </r>
  </si>
  <si>
    <r>
      <rPr>
        <sz val="8.5"/>
        <color rgb="FF575756"/>
        <rFont val="Roboto Lt"/>
      </rPr>
      <t>0.0%         99.1%</t>
    </r>
  </si>
  <si>
    <r>
      <rPr>
        <sz val="8.5"/>
        <color rgb="FF575756"/>
        <rFont val="Roboto Lt"/>
      </rPr>
      <t>1.1%         97.0%</t>
    </r>
  </si>
  <si>
    <r>
      <rPr>
        <b/>
        <sz val="8.5"/>
        <color rgb="FFFFFFFF"/>
        <rFont val="Roboto Cn"/>
      </rPr>
      <t>0.5%         96.4%</t>
    </r>
  </si>
  <si>
    <r>
      <rPr>
        <sz val="8.5"/>
        <color rgb="FF575756"/>
        <rFont val="Roboto Lt"/>
      </rPr>
      <t>2.4%         97.4%</t>
    </r>
  </si>
  <si>
    <r>
      <rPr>
        <sz val="8.5"/>
        <color rgb="FF575756"/>
        <rFont val="Roboto Lt"/>
      </rPr>
      <t>2.8%         96.3%</t>
    </r>
  </si>
  <si>
    <r>
      <rPr>
        <sz val="8.5"/>
        <color rgb="FF575756"/>
        <rFont val="Roboto Lt"/>
      </rPr>
      <t>0.4%         98.9%</t>
    </r>
  </si>
  <si>
    <r>
      <rPr>
        <sz val="8.5"/>
        <color rgb="FF575756"/>
        <rFont val="Roboto Lt"/>
      </rPr>
      <t>0.9%         98.5%</t>
    </r>
  </si>
  <si>
    <t>Medium &amp; Heavy Commercial vehicles</t>
  </si>
  <si>
    <r>
      <rPr>
        <sz val="8.5"/>
        <color rgb="FF575756"/>
        <rFont val="Roboto Lt"/>
      </rPr>
      <t>0.0%         95.0%</t>
    </r>
  </si>
  <si>
    <r>
      <rPr>
        <sz val="8.5"/>
        <color rgb="FF575756"/>
        <rFont val="Roboto Lt"/>
      </rPr>
      <t>0.7%         87.9%</t>
    </r>
  </si>
  <si>
    <r>
      <rPr>
        <sz val="8.5"/>
        <color rgb="FF575756"/>
        <rFont val="Roboto Lt"/>
      </rPr>
      <t>0.0%         97.0%</t>
    </r>
  </si>
  <si>
    <r>
      <rPr>
        <sz val="8.5"/>
        <color rgb="FF575756"/>
        <rFont val="Roboto Lt"/>
      </rPr>
      <t>0.0%         87.5%</t>
    </r>
  </si>
  <si>
    <r>
      <rPr>
        <sz val="8.5"/>
        <color rgb="FF575756"/>
        <rFont val="Roboto Lt"/>
      </rPr>
      <t>0.3%         93.8%</t>
    </r>
  </si>
  <si>
    <r>
      <rPr>
        <sz val="8.5"/>
        <color rgb="FF575756"/>
        <rFont val="Roboto Lt"/>
      </rPr>
      <t>4.0%         87.0%</t>
    </r>
  </si>
  <si>
    <r>
      <rPr>
        <sz val="8.5"/>
        <color rgb="FF575756"/>
        <rFont val="Roboto Lt"/>
      </rPr>
      <t>0.2%         96.6%</t>
    </r>
  </si>
  <si>
    <r>
      <rPr>
        <sz val="8.5"/>
        <color rgb="FF575756"/>
        <rFont val="Roboto Lt"/>
      </rPr>
      <t>0.0%         89.7%</t>
    </r>
  </si>
  <si>
    <r>
      <rPr>
        <sz val="8.5"/>
        <color rgb="FF575756"/>
        <rFont val="Roboto Lt"/>
      </rPr>
      <t>0.1%         92.6%</t>
    </r>
  </si>
  <si>
    <r>
      <rPr>
        <sz val="8.5"/>
        <color rgb="FF575756"/>
        <rFont val="Roboto Lt"/>
      </rPr>
      <t>0.0%         94.1%</t>
    </r>
  </si>
  <si>
    <r>
      <rPr>
        <sz val="8.5"/>
        <color rgb="FF575756"/>
        <rFont val="Roboto Lt"/>
      </rPr>
      <t>0.3%         97.1%</t>
    </r>
  </si>
  <si>
    <r>
      <rPr>
        <sz val="8.5"/>
        <color rgb="FF575756"/>
        <rFont val="Roboto Lt"/>
      </rPr>
      <t>0.0%         96.4%</t>
    </r>
  </si>
  <si>
    <r>
      <rPr>
        <sz val="8.5"/>
        <color rgb="FF575756"/>
        <rFont val="Roboto Lt"/>
      </rPr>
      <t>0.4%         93.3%</t>
    </r>
  </si>
  <si>
    <r>
      <rPr>
        <sz val="8.5"/>
        <color rgb="FF575756"/>
        <rFont val="Roboto Lt"/>
      </rPr>
      <t>0.1%         98.3%</t>
    </r>
  </si>
  <si>
    <r>
      <rPr>
        <sz val="8.5"/>
        <color rgb="FF575756"/>
        <rFont val="Roboto Lt"/>
      </rPr>
      <t>0.1%         88.0%</t>
    </r>
  </si>
  <si>
    <r>
      <rPr>
        <sz val="8.5"/>
        <color rgb="FF575756"/>
        <rFont val="Roboto Lt"/>
      </rPr>
      <t>0.0%         83.0%</t>
    </r>
  </si>
  <si>
    <r>
      <rPr>
        <sz val="8.5"/>
        <color rgb="FF575756"/>
        <rFont val="Roboto Lt"/>
      </rPr>
      <t>0.2%         76.9%</t>
    </r>
  </si>
  <si>
    <r>
      <rPr>
        <sz val="8.5"/>
        <color rgb="FF575756"/>
        <rFont val="Roboto Lt"/>
      </rPr>
      <t>0.3%         96.4%</t>
    </r>
  </si>
  <si>
    <r>
      <rPr>
        <sz val="8.5"/>
        <color rgb="FF575756"/>
        <rFont val="Roboto Lt"/>
      </rPr>
      <t>0.1%         94.8%</t>
    </r>
  </si>
  <si>
    <r>
      <rPr>
        <sz val="8.5"/>
        <color rgb="FF575756"/>
        <rFont val="Roboto Lt"/>
      </rPr>
      <t>0.2%         98.6%</t>
    </r>
  </si>
  <si>
    <r>
      <rPr>
        <sz val="8.5"/>
        <color rgb="FF575756"/>
        <rFont val="Roboto Lt"/>
      </rPr>
      <t>0.5%         92.3%</t>
    </r>
  </si>
  <si>
    <r>
      <rPr>
        <sz val="8.5"/>
        <color rgb="FF575756"/>
        <rFont val="Roboto Lt"/>
      </rPr>
      <t>0.2%         90.5%</t>
    </r>
  </si>
  <si>
    <r>
      <rPr>
        <sz val="8.5"/>
        <color rgb="FF575756"/>
        <rFont val="Roboto Lt"/>
      </rPr>
      <t>0.3%         72.6%</t>
    </r>
  </si>
  <si>
    <r>
      <rPr>
        <b/>
        <sz val="8.5"/>
        <color rgb="FFFFFFFF"/>
        <rFont val="Roboto Cn"/>
      </rPr>
      <t>0.2%         92.5%</t>
    </r>
  </si>
  <si>
    <r>
      <rPr>
        <sz val="8.5"/>
        <color rgb="FF575756"/>
        <rFont val="Roboto Lt"/>
      </rPr>
      <t>2.2%         96.1%</t>
    </r>
  </si>
  <si>
    <r>
      <rPr>
        <sz val="8.5"/>
        <color rgb="FF575756"/>
        <rFont val="Roboto Lt"/>
      </rPr>
      <t>1.1%         90.5%</t>
    </r>
  </si>
  <si>
    <r>
      <rPr>
        <sz val="8.5"/>
        <color rgb="FF575756"/>
        <rFont val="Roboto Lt"/>
      </rPr>
      <t>0.5%         90.6%</t>
    </r>
  </si>
  <si>
    <r>
      <rPr>
        <sz val="8.5"/>
        <color rgb="FF575756"/>
        <rFont val="Roboto Lt"/>
      </rPr>
      <t>0.2%         97.6%</t>
    </r>
  </si>
  <si>
    <t>Buses</t>
  </si>
  <si>
    <t>bus</t>
  </si>
  <si>
    <t>12-m-long diesel-powered transit bus with two doors and capacity of approximately 80passengers</t>
  </si>
  <si>
    <t>340-seat diesel-powered train. Reference locomotive: General Electric ES44AC(AMTRAK)</t>
  </si>
  <si>
    <t>340-passenger electric-powered multiple unit train. Reference locomotive: Talgo 250</t>
  </si>
  <si>
    <t>340-passenger electric-powered multiple unit train. Reference locomotive: Talgo 251</t>
  </si>
  <si>
    <t>340-passenger electric-powered multiple unit train. Reference locomotive: Talgo 252</t>
  </si>
  <si>
    <t>340-passenger electric-powered multiple unit train. Reference locomotive: Talgo 253</t>
  </si>
  <si>
    <t>340-passenger electric-powered multiple unit train. Reference locomotive: Talgo 254</t>
  </si>
  <si>
    <t>340-passenger electric-powered multiple unit train. Reference locomotive: Talgo 255</t>
  </si>
  <si>
    <t>340-passenger electric-powered multiple unit train. Reference locomotive: Talgo 256</t>
  </si>
  <si>
    <t>340-passenger electric-powered multiple unit train. Reference locomotive: Talgo 257</t>
  </si>
  <si>
    <t>340-passenger electric-powered multiple unit train. Reference locomotive: Talgo 258</t>
  </si>
  <si>
    <t>340-passenger electric-powered multiple unit train. Reference locomotive: Talgo 259</t>
  </si>
  <si>
    <t>340-passenger electric-powered multiple unit train. Reference locomotive: Talgo 260</t>
  </si>
  <si>
    <t>340-passenger electric-powered multiple unit train. Reference locomotive: Talgo 261</t>
  </si>
  <si>
    <t>340-passenger electric-powered multiple unit train. Reference locomotive: Talgo 262</t>
  </si>
  <si>
    <t>340-passenger electric-powered multiple unit train. Reference locomotive: Talgo 263</t>
  </si>
  <si>
    <t>340-passenger electric-powered multiple unit train. Reference locomotive: Talgo 264</t>
  </si>
  <si>
    <t>340-passenger electric-powered multiple unit train. Reference locomotive: Talgo 265</t>
  </si>
  <si>
    <t>340-passenger electric-powered multiple unit train. Reference locomotive: Talgo 266</t>
  </si>
  <si>
    <t>340-passenger electric-powered multiple unit train. Reference locomotive: Talgo 267</t>
  </si>
  <si>
    <t>340-passenger electric-powered multiple unit train. Reference locomotive: Talgo 268</t>
  </si>
  <si>
    <t>340-passenger electric-powered multiple unit train. Reference locomotive: Talgo 269</t>
  </si>
  <si>
    <t>340-passenger electric-powered multiple unit train. Reference locomotive: Talgo 270</t>
  </si>
  <si>
    <t>340-passenger electric-powered multiple unit train. Reference locomotive: Talgo 271</t>
  </si>
  <si>
    <t>340-passenger electric-powered multiple unit train. Reference locomotive: Talgo 272</t>
  </si>
  <si>
    <t>670-seat electric-powered train. Reference vehicle: Deutsche Bahn ICE</t>
  </si>
  <si>
    <t>5.2-metric-ton1capacity truck. Reference vehicle: class-6 truck under U.S.classification.</t>
  </si>
  <si>
    <t>Diesel-powered locomotive with eight wagons</t>
  </si>
  <si>
    <t>Taptich et al. (2015), https://doi.org/10.1111/jiec.12391</t>
  </si>
  <si>
    <t>material_scope</t>
  </si>
  <si>
    <t>material_resolution</t>
  </si>
  <si>
    <t>Data source for this sheet</t>
  </si>
  <si>
    <t>auto</t>
  </si>
  <si>
    <t>Specific energy consumption of products</t>
  </si>
  <si>
    <t>Energy per product operation</t>
  </si>
  <si>
    <t>1 end use sector where vehicles are operated</t>
  </si>
  <si>
    <t>Energy Intensity, by energy carrier, per unit of operation of vehicle (km driven): MJ/km</t>
  </si>
  <si>
    <t>Result of academic MFA work</t>
  </si>
  <si>
    <t>Value(n,g,r,c)</t>
  </si>
  <si>
    <t>Publicly available report or research article</t>
  </si>
  <si>
    <t>Changed representative year and product label for some entries</t>
  </si>
  <si>
    <t>3_EI_Other_Vehicles_Taptich_2015</t>
  </si>
  <si>
    <t>Michael N. Taptich, Arpad Horvath, Mikhail V. Chester</t>
  </si>
  <si>
    <t>Supplementary material of https://doi.org/10.1111/jiec.12391</t>
  </si>
  <si>
    <t>land transport vehicles for passenger and freight other than passenger vehicles, airplanes and ships</t>
  </si>
  <si>
    <t>ca. 15 different vehicle types</t>
  </si>
  <si>
    <t>8 different world regions</t>
  </si>
  <si>
    <t>Data refer to the year of manufacturing (age-cohort): "we offer estimates on the marginal GHG benefits of new technologies"</t>
  </si>
  <si>
    <t>Energy per product operation as measure of specific energy consumption of products of diesel for operating a bus in India manufactured in 2030 is 15.74 MJ/km</t>
  </si>
  <si>
    <t>[layer] as measure of [data type] of [aspect1] for operating [aspect2] in [aspect3] manufactured in [aspect4] has [value] [unit].</t>
  </si>
  <si>
    <t>Contributors: Ilham Checkrad, Huimei Li, Stefan Pauliuk</t>
  </si>
  <si>
    <t>values for 2010, 2030, and 2050</t>
  </si>
  <si>
    <t>values for different age-cohorts (marginal technology), historic data and future scenarios</t>
  </si>
  <si>
    <t>pdf</t>
  </si>
  <si>
    <t>Gasoline-Powered Autos</t>
  </si>
  <si>
    <t>Diesel-Powered Autos</t>
  </si>
  <si>
    <t>Electric-Powered Autos</t>
  </si>
  <si>
    <t>Plug-in Battery Electric Vehicle</t>
  </si>
  <si>
    <t>PHEV</t>
  </si>
  <si>
    <t>Gasoline 1l = 34.2 MJ</t>
  </si>
  <si>
    <t>Diesel 1l = 34.6 MJ</t>
  </si>
  <si>
    <t>https://en.wikipedia.org/wiki/Jet_fuel</t>
  </si>
  <si>
    <r>
      <rPr>
        <b/>
        <sz val="11"/>
        <color theme="1"/>
        <rFont val="Calibri"/>
        <family val="2"/>
        <scheme val="minor"/>
      </rPr>
      <t xml:space="preserve">Table 2 </t>
    </r>
    <r>
      <rPr>
        <sz val="11"/>
        <color theme="1"/>
        <rFont val="Calibri"/>
        <family val="2"/>
        <scheme val="minor"/>
      </rPr>
      <t>https://www.sciencedirect.com/science/article/pii/S1364032112001220?via%3Dihub</t>
    </r>
  </si>
  <si>
    <t>Aircraft</t>
  </si>
  <si>
    <t>Jet Fuel-Powered Aircraft Y</t>
  </si>
  <si>
    <t>Jet Fuel 1kg = 43,02MJ</t>
  </si>
  <si>
    <t>Diesel-Powered Heavy Heavy-Duty Truck</t>
  </si>
  <si>
    <t xml:space="preserve">Fuel Oil 1l= 45,4 MJ </t>
  </si>
  <si>
    <t>Buchanan et al. https://doi.org/10.1016/j.trd.2018.03.011</t>
  </si>
  <si>
    <t>Fuel Oil</t>
  </si>
  <si>
    <t>Fuel Oil-Powered Containerships</t>
  </si>
  <si>
    <t>Hevay Fuel Oil-Powered Crude Tanker</t>
  </si>
  <si>
    <t>Gasoline-powered passenger car with five-seat capacity</t>
  </si>
  <si>
    <t>Diesel-powered passenger car with five-seat capacity</t>
  </si>
  <si>
    <t>Compact car with 160-km range (2010)/320-km range (2030–2050), 214-kg LiNCM battery (Majeau­Bettez et al. 2011, Hawkins et al. 2013).</t>
  </si>
  <si>
    <t>Medium-range, single aisle, commercial aircraft. Reference vehicle: Airbus 320</t>
  </si>
  <si>
    <t>24-metric-ton capacity truck: Reference vehicle: class-8b truck under U.S. classification.</t>
  </si>
  <si>
    <t>60,000 deadweight metric ton capacity containership, fleet average</t>
  </si>
  <si>
    <t>160,000 deadweight metric ton capacity crude tanker, fleet average</t>
  </si>
  <si>
    <t>Stefan Pauliuk</t>
  </si>
  <si>
    <t>Economies in Transition (EIT)</t>
  </si>
  <si>
    <t>Africa and the Middle East</t>
  </si>
  <si>
    <t>Latin America and the Carribbean</t>
  </si>
  <si>
    <t>heavy fuel oil</t>
  </si>
  <si>
    <t>kerosene</t>
  </si>
  <si>
    <t>medium duty truck</t>
  </si>
  <si>
    <t>high speed rail</t>
  </si>
  <si>
    <t>passenger car, diesel</t>
  </si>
  <si>
    <t>passenger car, gasoline</t>
  </si>
  <si>
    <t>passenger car, battery electric</t>
  </si>
  <si>
    <t>passenger car, PHEV gasoline</t>
  </si>
  <si>
    <t>aircraft, jetfuel</t>
  </si>
  <si>
    <t>diesel-powered heavy-duty truck</t>
  </si>
  <si>
    <t>container ship, fuel oil-powered</t>
  </si>
  <si>
    <t>crude oil tanker, fuel oil-powered</t>
  </si>
  <si>
    <t>passenger train</t>
  </si>
  <si>
    <t>freight train</t>
  </si>
  <si>
    <t>kWh/100km</t>
  </si>
  <si>
    <t>Gasoline in l/100km</t>
  </si>
  <si>
    <t>compact car with 64-km range, 120-kg LiNCM battery (Majeau­Bettez et al. 2011; Hawkins et al. 2013), electricity part of driving final energy demand per km</t>
  </si>
  <si>
    <t>compact car with 64-km range, 120-kg LiNCM battery (Majeau­Bettez et al. 2011; Hawkins et al. 2013), gasoline part of driving final energy demand per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</si>
</sst>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00%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8.5"/>
      <color rgb="FF575756"/>
      <name val="Roboto Lt"/>
      <family val="2"/>
    </font>
    <font>
      <sz val="8.5"/>
      <name val="Roboto Lt"/>
    </font>
    <font>
      <sz val="8.5"/>
      <color rgb="FF575756"/>
      <name val="Roboto Lt"/>
    </font>
    <font>
      <b/>
      <sz val="8.5"/>
      <name val="Roboto Bk"/>
    </font>
    <font>
      <b/>
      <sz val="8.5"/>
      <color rgb="FFFFFFFF"/>
      <name val="Roboto Cn"/>
      <family val="2"/>
    </font>
    <font>
      <b/>
      <sz val="8.5"/>
      <name val="Roboto Cn"/>
    </font>
    <font>
      <b/>
      <sz val="8.5"/>
      <color rgb="FFFFFFFF"/>
      <name val="Roboto Cn"/>
    </font>
    <font>
      <b/>
      <sz val="8.5"/>
      <color rgb="FF002E40"/>
      <name val="Roboto Cn"/>
    </font>
    <font>
      <b/>
      <sz val="12"/>
      <color theme="1"/>
      <name val="Calibri (Body)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F2F2F2"/>
      </patternFill>
    </fill>
    <fill>
      <patternFill patternType="solid">
        <fgColor rgb="FF002E40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989DA8"/>
      </top>
      <bottom style="thin">
        <color rgb="FF989DA8"/>
      </bottom>
      <diagonal/>
    </border>
    <border>
      <left/>
      <right/>
      <top style="thin">
        <color rgb="FFC6C6C6"/>
      </top>
      <bottom style="thin">
        <color rgb="FF989DA8"/>
      </bottom>
      <diagonal/>
    </border>
    <border>
      <left/>
      <right/>
      <top/>
      <bottom style="thin">
        <color rgb="FFC6C6C6"/>
      </bottom>
      <diagonal/>
    </border>
    <border>
      <left/>
      <right/>
      <top style="thin">
        <color rgb="FF022A39"/>
      </top>
      <bottom style="thin">
        <color rgb="FFC6C6C6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989DA8"/>
      </top>
      <bottom style="thin">
        <color rgb="FF022A39"/>
      </bottom>
      <diagonal/>
    </border>
    <border>
      <left/>
      <right/>
      <top style="thin">
        <color rgb="FFC6C6C6"/>
      </top>
      <bottom/>
      <diagonal/>
    </border>
    <border>
      <left/>
      <right/>
      <top/>
      <bottom style="thin">
        <color rgb="FF989DA8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2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1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4" fillId="0" borderId="11" xfId="0" applyNumberFormat="1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7" xfId="0" applyBorder="1"/>
    <xf numFmtId="2" fontId="0" fillId="0" borderId="0" xfId="0" applyNumberFormat="1"/>
    <xf numFmtId="165" fontId="7" fillId="0" borderId="16" xfId="0" applyNumberFormat="1" applyFont="1" applyBorder="1" applyAlignment="1">
      <alignment horizontal="right" vertical="top" shrinkToFit="1"/>
    </xf>
    <xf numFmtId="165" fontId="7" fillId="0" borderId="16" xfId="0" applyNumberFormat="1" applyFont="1" applyBorder="1" applyAlignment="1">
      <alignment horizontal="right" vertical="top" indent="1" shrinkToFit="1"/>
    </xf>
    <xf numFmtId="165" fontId="7" fillId="0" borderId="16" xfId="0" applyNumberFormat="1" applyFont="1" applyBorder="1" applyAlignment="1">
      <alignment horizontal="center" vertical="top" shrinkToFit="1"/>
    </xf>
    <xf numFmtId="0" fontId="8" fillId="0" borderId="16" xfId="0" applyFont="1" applyBorder="1" applyAlignment="1">
      <alignment horizontal="right" vertical="top" wrapText="1" indent="1"/>
    </xf>
    <xf numFmtId="0" fontId="0" fillId="0" borderId="0" xfId="0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165" fontId="7" fillId="0" borderId="19" xfId="0" applyNumberFormat="1" applyFont="1" applyBorder="1" applyAlignment="1">
      <alignment horizontal="right" vertical="center" shrinkToFit="1"/>
    </xf>
    <xf numFmtId="165" fontId="7" fillId="0" borderId="19" xfId="0" applyNumberFormat="1" applyFont="1" applyBorder="1" applyAlignment="1">
      <alignment horizontal="right" vertical="center" indent="1" shrinkToFit="1"/>
    </xf>
    <xf numFmtId="165" fontId="7" fillId="0" borderId="19" xfId="0" applyNumberFormat="1" applyFont="1" applyBorder="1" applyAlignment="1">
      <alignment horizontal="center" vertical="center" shrinkToFit="1"/>
    </xf>
    <xf numFmtId="0" fontId="8" fillId="0" borderId="19" xfId="0" applyFont="1" applyBorder="1" applyAlignment="1">
      <alignment horizontal="right" vertical="center" wrapText="1" indent="1"/>
    </xf>
    <xf numFmtId="0" fontId="10" fillId="0" borderId="20" xfId="0" applyFont="1" applyBorder="1" applyAlignment="1">
      <alignment horizontal="left" vertical="center" wrapText="1"/>
    </xf>
    <xf numFmtId="165" fontId="11" fillId="13" borderId="0" xfId="0" applyNumberFormat="1" applyFont="1" applyFill="1" applyAlignment="1">
      <alignment horizontal="right" vertical="top" shrinkToFit="1"/>
    </xf>
    <xf numFmtId="10" fontId="11" fillId="13" borderId="0" xfId="0" applyNumberFormat="1" applyFont="1" applyFill="1" applyAlignment="1">
      <alignment horizontal="right" vertical="top" shrinkToFit="1"/>
    </xf>
    <xf numFmtId="165" fontId="11" fillId="13" borderId="0" xfId="0" applyNumberFormat="1" applyFont="1" applyFill="1" applyAlignment="1">
      <alignment horizontal="right" vertical="top" indent="1" shrinkToFit="1"/>
    </xf>
    <xf numFmtId="165" fontId="11" fillId="13" borderId="0" xfId="0" applyNumberFormat="1" applyFont="1" applyFill="1" applyAlignment="1">
      <alignment horizontal="center" vertical="top" shrinkToFit="1"/>
    </xf>
    <xf numFmtId="10" fontId="11" fillId="13" borderId="0" xfId="0" applyNumberFormat="1" applyFont="1" applyFill="1" applyAlignment="1">
      <alignment horizontal="right" vertical="top" indent="1" shrinkToFit="1"/>
    </xf>
    <xf numFmtId="0" fontId="12" fillId="13" borderId="21" xfId="0" applyFont="1" applyFill="1" applyBorder="1" applyAlignment="1">
      <alignment horizontal="right" vertical="top" wrapText="1" indent="1"/>
    </xf>
    <xf numFmtId="0" fontId="0" fillId="13" borderId="22" xfId="0" applyFill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top" wrapText="1"/>
    </xf>
    <xf numFmtId="165" fontId="7" fillId="0" borderId="24" xfId="0" applyNumberFormat="1" applyFont="1" applyBorder="1" applyAlignment="1">
      <alignment horizontal="right" vertical="top" shrinkToFit="1"/>
    </xf>
    <xf numFmtId="165" fontId="7" fillId="0" borderId="24" xfId="0" applyNumberFormat="1" applyFont="1" applyBorder="1" applyAlignment="1">
      <alignment horizontal="right" vertical="top" indent="1" shrinkToFit="1"/>
    </xf>
    <xf numFmtId="165" fontId="7" fillId="0" borderId="24" xfId="0" applyNumberFormat="1" applyFont="1" applyBorder="1" applyAlignment="1">
      <alignment horizontal="center" vertical="top" shrinkToFit="1"/>
    </xf>
    <xf numFmtId="0" fontId="8" fillId="0" borderId="24" xfId="0" applyFont="1" applyBorder="1" applyAlignment="1">
      <alignment horizontal="right" vertical="top" wrapText="1" indent="1"/>
    </xf>
    <xf numFmtId="165" fontId="7" fillId="0" borderId="19" xfId="0" applyNumberFormat="1" applyFont="1" applyBorder="1" applyAlignment="1">
      <alignment horizontal="right" vertical="top" shrinkToFit="1"/>
    </xf>
    <xf numFmtId="165" fontId="7" fillId="0" borderId="19" xfId="0" applyNumberFormat="1" applyFont="1" applyBorder="1" applyAlignment="1">
      <alignment horizontal="right" vertical="top" indent="1" shrinkToFit="1"/>
    </xf>
    <xf numFmtId="165" fontId="7" fillId="0" borderId="19" xfId="0" applyNumberFormat="1" applyFont="1" applyBorder="1" applyAlignment="1">
      <alignment horizontal="center" vertical="top" shrinkToFit="1"/>
    </xf>
    <xf numFmtId="0" fontId="8" fillId="0" borderId="19" xfId="0" applyFont="1" applyBorder="1" applyAlignment="1">
      <alignment horizontal="right" vertical="top" wrapText="1" indent="1"/>
    </xf>
    <xf numFmtId="0" fontId="10" fillId="0" borderId="25" xfId="0" applyFont="1" applyBorder="1" applyAlignment="1">
      <alignment horizontal="left" vertical="top" wrapText="1"/>
    </xf>
    <xf numFmtId="0" fontId="10" fillId="12" borderId="0" xfId="0" applyFont="1" applyFill="1" applyAlignment="1">
      <alignment horizontal="right" wrapText="1"/>
    </xf>
    <xf numFmtId="0" fontId="10" fillId="12" borderId="0" xfId="0" applyFont="1" applyFill="1" applyAlignment="1">
      <alignment horizontal="right" wrapText="1" indent="1"/>
    </xf>
    <xf numFmtId="0" fontId="0" fillId="12" borderId="0" xfId="0" applyFill="1" applyAlignment="1">
      <alignment horizontal="right" vertical="center" wrapText="1" indent="1"/>
    </xf>
    <xf numFmtId="0" fontId="10" fillId="12" borderId="0" xfId="0" applyFont="1" applyFill="1" applyAlignment="1">
      <alignment horizontal="left" vertical="center" wrapText="1" indent="1"/>
    </xf>
    <xf numFmtId="0" fontId="0" fillId="12" borderId="0" xfId="0" applyFill="1" applyAlignment="1">
      <alignment horizontal="left" vertical="top" wrapText="1"/>
    </xf>
    <xf numFmtId="0" fontId="0" fillId="0" borderId="0" xfId="0" applyAlignment="1">
      <alignment horizontal="left" vertical="top"/>
    </xf>
    <xf numFmtId="9" fontId="0" fillId="0" borderId="0" xfId="0" applyNumberFormat="1"/>
    <xf numFmtId="166" fontId="11" fillId="13" borderId="0" xfId="0" applyNumberFormat="1" applyFont="1" applyFill="1" applyAlignment="1">
      <alignment horizontal="right" vertical="top" indent="1" shrinkToFit="1"/>
    </xf>
    <xf numFmtId="0" fontId="1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2" fontId="17" fillId="0" borderId="0" xfId="0" applyNumberFormat="1" applyFont="1"/>
    <xf numFmtId="0" fontId="17" fillId="0" borderId="0" xfId="0" applyFont="1"/>
    <xf numFmtId="0" fontId="5" fillId="0" borderId="6" xfId="0" applyFont="1" applyBorder="1" applyAlignment="1">
      <alignment horizontal="left"/>
    </xf>
    <xf numFmtId="0" fontId="18" fillId="0" borderId="0" xfId="0" applyFont="1"/>
    <xf numFmtId="0" fontId="18" fillId="0" borderId="0" xfId="0" quotePrefix="1" applyFont="1"/>
    <xf numFmtId="0" fontId="4" fillId="0" borderId="0" xfId="0" applyFont="1"/>
    <xf numFmtId="0" fontId="18" fillId="0" borderId="1" xfId="0" applyFont="1" applyBorder="1"/>
    <xf numFmtId="0" fontId="2" fillId="0" borderId="3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8" fillId="0" borderId="8" xfId="0" applyFont="1" applyBorder="1"/>
    <xf numFmtId="0" fontId="18" fillId="0" borderId="6" xfId="0" applyFont="1" applyBorder="1"/>
    <xf numFmtId="0" fontId="18" fillId="0" borderId="10" xfId="0" applyFont="1" applyBorder="1"/>
    <xf numFmtId="0" fontId="18" fillId="0" borderId="11" xfId="0" applyFont="1" applyBorder="1"/>
    <xf numFmtId="0" fontId="2" fillId="2" borderId="10" xfId="0" applyFont="1" applyFill="1" applyBorder="1"/>
    <xf numFmtId="0" fontId="18" fillId="2" borderId="0" xfId="0" quotePrefix="1" applyFont="1" applyFill="1"/>
    <xf numFmtId="0" fontId="2" fillId="0" borderId="11" xfId="0" applyFont="1" applyBorder="1"/>
    <xf numFmtId="0" fontId="19" fillId="0" borderId="0" xfId="0" applyFont="1" applyAlignment="1">
      <alignment horizontal="left"/>
    </xf>
    <xf numFmtId="0" fontId="4" fillId="0" borderId="11" xfId="0" applyFont="1" applyBorder="1"/>
    <xf numFmtId="0" fontId="2" fillId="2" borderId="1" xfId="0" applyFont="1" applyFill="1" applyBorder="1"/>
    <xf numFmtId="0" fontId="2" fillId="2" borderId="3" xfId="0" applyFont="1" applyFill="1" applyBorder="1" applyAlignment="1">
      <alignment horizontal="center"/>
    </xf>
    <xf numFmtId="0" fontId="19" fillId="2" borderId="1" xfId="0" applyFont="1" applyFill="1" applyBorder="1"/>
    <xf numFmtId="0" fontId="2" fillId="2" borderId="0" xfId="0" applyFont="1" applyFill="1"/>
    <xf numFmtId="0" fontId="2" fillId="2" borderId="11" xfId="0" applyFont="1" applyFill="1" applyBorder="1"/>
    <xf numFmtId="0" fontId="18" fillId="2" borderId="10" xfId="0" applyFont="1" applyFill="1" applyBorder="1"/>
    <xf numFmtId="0" fontId="18" fillId="0" borderId="0" xfId="0" quotePrefix="1" applyFont="1" applyAlignment="1">
      <alignment horizontal="left"/>
    </xf>
    <xf numFmtId="0" fontId="18" fillId="2" borderId="0" xfId="0" applyFont="1" applyFill="1"/>
    <xf numFmtId="14" fontId="18" fillId="0" borderId="11" xfId="0" quotePrefix="1" applyNumberFormat="1" applyFont="1" applyBorder="1"/>
    <xf numFmtId="0" fontId="4" fillId="2" borderId="10" xfId="0" applyFont="1" applyFill="1" applyBorder="1"/>
    <xf numFmtId="0" fontId="18" fillId="0" borderId="0" xfId="0" applyFont="1" applyAlignment="1">
      <alignment horizontal="left"/>
    </xf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1" xfId="0" applyFont="1" applyBorder="1" applyAlignment="1">
      <alignment horizontal="left"/>
    </xf>
    <xf numFmtId="0" fontId="2" fillId="0" borderId="0" xfId="0" applyFont="1" applyAlignment="1">
      <alignment horizontal="center"/>
    </xf>
    <xf numFmtId="14" fontId="18" fillId="0" borderId="0" xfId="0" quotePrefix="1" applyNumberFormat="1" applyFont="1"/>
    <xf numFmtId="0" fontId="19" fillId="0" borderId="0" xfId="0" applyFont="1"/>
    <xf numFmtId="14" fontId="18" fillId="0" borderId="0" xfId="0" quotePrefix="1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0" fillId="0" borderId="1" xfId="0" applyFont="1" applyBorder="1" applyAlignment="1">
      <alignment horizontal="center"/>
    </xf>
    <xf numFmtId="0" fontId="4" fillId="0" borderId="5" xfId="0" applyFont="1" applyBorder="1"/>
    <xf numFmtId="0" fontId="5" fillId="0" borderId="10" xfId="0" applyFont="1" applyBorder="1"/>
    <xf numFmtId="0" fontId="4" fillId="4" borderId="9" xfId="0" applyFont="1" applyFill="1" applyBorder="1"/>
    <xf numFmtId="0" fontId="4" fillId="0" borderId="10" xfId="0" applyFont="1" applyBorder="1"/>
    <xf numFmtId="0" fontId="4" fillId="0" borderId="10" xfId="0" applyFont="1" applyBorder="1" applyAlignment="1">
      <alignment horizontal="left"/>
    </xf>
    <xf numFmtId="0" fontId="1" fillId="14" borderId="0" xfId="0" applyFont="1" applyFill="1"/>
    <xf numFmtId="2" fontId="0" fillId="0" borderId="7" xfId="0" applyNumberFormat="1" applyBorder="1"/>
    <xf numFmtId="0" fontId="16" fillId="0" borderId="0" xfId="1" applyFill="1"/>
    <xf numFmtId="0" fontId="0" fillId="0" borderId="7" xfId="0" applyFill="1" applyBorder="1"/>
    <xf numFmtId="2" fontId="0" fillId="0" borderId="0" xfId="0" applyNumberFormat="1" applyFill="1" applyBorder="1"/>
    <xf numFmtId="2" fontId="1" fillId="14" borderId="0" xfId="0" applyNumberFormat="1" applyFont="1" applyFill="1"/>
    <xf numFmtId="2" fontId="0" fillId="0" borderId="0" xfId="0" applyNumberFormat="1" applyAlignment="1"/>
    <xf numFmtId="1" fontId="1" fillId="0" borderId="0" xfId="0" applyNumberFormat="1" applyFont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17" fillId="0" borderId="0" xfId="0" applyFont="1" applyAlignment="1">
      <alignment horizontal="right"/>
    </xf>
    <xf numFmtId="0" fontId="0" fillId="14" borderId="7" xfId="0" applyFill="1" applyBorder="1"/>
    <xf numFmtId="0" fontId="19" fillId="2" borderId="3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5" borderId="9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 applyProtection="1">
      <alignment horizontal="center"/>
      <protection locked="0"/>
    </xf>
    <xf numFmtId="2" fontId="1" fillId="0" borderId="7" xfId="0" applyNumberFormat="1" applyFont="1" applyBorder="1" applyAlignment="1">
      <alignment horizontal="center"/>
    </xf>
    <xf numFmtId="0" fontId="0" fillId="14" borderId="0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zoomScale="55" zoomScaleNormal="55" workbookViewId="0">
      <selection activeCell="G32" sqref="G32"/>
    </sheetView>
  </sheetViews>
  <sheetFormatPr baseColWidth="10" defaultColWidth="9.15625" defaultRowHeight="13.8"/>
  <cols>
    <col min="1" max="1" width="7.15625" style="52" customWidth="1"/>
    <col min="2" max="2" width="15.83984375" style="52" customWidth="1"/>
    <col min="3" max="3" width="23.15625" style="52" bestFit="1" customWidth="1"/>
    <col min="4" max="4" width="46.83984375" style="52" customWidth="1"/>
    <col min="5" max="5" width="11.68359375" style="52" bestFit="1" customWidth="1"/>
    <col min="6" max="6" width="24.3125" style="52" bestFit="1" customWidth="1"/>
    <col min="7" max="8" width="26" style="52" bestFit="1" customWidth="1"/>
    <col min="9" max="9" width="24.83984375" style="52" bestFit="1" customWidth="1"/>
    <col min="10" max="11" width="3.3125" style="52" customWidth="1"/>
    <col min="12" max="16384" width="9.15625" style="52"/>
  </cols>
  <sheetData>
    <row r="1" spans="1:12">
      <c r="E1" s="53"/>
      <c r="H1" s="54"/>
    </row>
    <row r="2" spans="1:12" ht="14.1">
      <c r="B2" s="108" t="s">
        <v>22</v>
      </c>
      <c r="C2" s="109"/>
      <c r="D2" s="110"/>
      <c r="E2" s="53"/>
      <c r="F2" s="108" t="s">
        <v>23</v>
      </c>
      <c r="G2" s="109"/>
      <c r="H2" s="109"/>
      <c r="I2" s="110"/>
      <c r="L2" s="53"/>
    </row>
    <row r="3" spans="1:12" ht="14.1">
      <c r="B3" s="55"/>
      <c r="C3" s="87" t="s">
        <v>24</v>
      </c>
      <c r="D3" s="56" t="s">
        <v>25</v>
      </c>
      <c r="E3" s="53"/>
      <c r="L3" s="53"/>
    </row>
    <row r="4" spans="1:12" ht="14.1">
      <c r="A4" s="52">
        <v>1</v>
      </c>
      <c r="B4" s="113" t="s">
        <v>26</v>
      </c>
      <c r="C4" s="88" t="s">
        <v>27</v>
      </c>
      <c r="D4" s="51" t="s">
        <v>344</v>
      </c>
      <c r="E4" s="53" t="s">
        <v>28</v>
      </c>
      <c r="F4" s="57" t="s">
        <v>29</v>
      </c>
      <c r="G4" s="58"/>
      <c r="H4" s="58"/>
      <c r="I4" s="59"/>
      <c r="L4" s="53"/>
    </row>
    <row r="5" spans="1:12">
      <c r="A5" s="52">
        <v>2</v>
      </c>
      <c r="B5" s="114"/>
      <c r="C5" s="89" t="s">
        <v>30</v>
      </c>
      <c r="D5" s="3" t="s">
        <v>353</v>
      </c>
      <c r="E5" s="53" t="s">
        <v>28</v>
      </c>
      <c r="F5" s="60"/>
      <c r="I5" s="61"/>
      <c r="L5" s="53"/>
    </row>
    <row r="6" spans="1:12" ht="14.1">
      <c r="A6" s="52">
        <v>3</v>
      </c>
      <c r="B6" s="90"/>
      <c r="C6" s="89" t="s">
        <v>31</v>
      </c>
      <c r="D6" s="3" t="s">
        <v>21</v>
      </c>
      <c r="E6" s="53" t="s">
        <v>28</v>
      </c>
      <c r="F6" s="62" t="s">
        <v>0</v>
      </c>
      <c r="G6" s="63" t="s">
        <v>11</v>
      </c>
      <c r="H6" s="2"/>
      <c r="I6" s="64"/>
      <c r="L6" s="53"/>
    </row>
    <row r="7" spans="1:12" ht="14.1">
      <c r="A7" s="52">
        <v>4</v>
      </c>
      <c r="B7" s="115" t="s">
        <v>33</v>
      </c>
      <c r="C7" s="89" t="s">
        <v>34</v>
      </c>
      <c r="D7" s="3" t="s">
        <v>32</v>
      </c>
      <c r="E7" s="53" t="s">
        <v>28</v>
      </c>
      <c r="F7" s="62" t="s">
        <v>1</v>
      </c>
      <c r="G7" s="63" t="s">
        <v>4</v>
      </c>
      <c r="H7" s="65"/>
      <c r="I7" s="3"/>
      <c r="L7" s="53"/>
    </row>
    <row r="8" spans="1:12" ht="14.1">
      <c r="A8" s="52">
        <v>5</v>
      </c>
      <c r="B8" s="115"/>
      <c r="C8" s="89" t="s">
        <v>35</v>
      </c>
      <c r="D8" s="3">
        <v>3</v>
      </c>
      <c r="E8" s="53" t="s">
        <v>28</v>
      </c>
      <c r="F8" s="62" t="s">
        <v>5</v>
      </c>
      <c r="G8" s="63" t="s">
        <v>4</v>
      </c>
      <c r="H8" s="54"/>
      <c r="I8" s="66"/>
      <c r="L8" s="53"/>
    </row>
    <row r="9" spans="1:12" ht="14.1">
      <c r="A9" s="52">
        <v>6</v>
      </c>
      <c r="B9" s="115"/>
      <c r="C9" s="89" t="s">
        <v>36</v>
      </c>
      <c r="D9" s="3" t="s">
        <v>345</v>
      </c>
      <c r="E9" s="53" t="s">
        <v>28</v>
      </c>
      <c r="F9" s="62" t="s">
        <v>6</v>
      </c>
      <c r="G9" s="63" t="s">
        <v>4</v>
      </c>
      <c r="H9" s="54"/>
      <c r="I9" s="66"/>
      <c r="L9" s="53"/>
    </row>
    <row r="10" spans="1:12" ht="14.1">
      <c r="A10" s="52">
        <v>7</v>
      </c>
      <c r="B10" s="115"/>
      <c r="C10" s="89" t="s">
        <v>37</v>
      </c>
      <c r="D10" s="3" t="s">
        <v>346</v>
      </c>
      <c r="E10" s="53" t="s">
        <v>28</v>
      </c>
      <c r="F10" s="67" t="s">
        <v>2</v>
      </c>
      <c r="G10" s="68" t="s">
        <v>4</v>
      </c>
      <c r="H10" s="69" t="s">
        <v>9</v>
      </c>
      <c r="I10" s="104">
        <v>360</v>
      </c>
      <c r="L10" s="53"/>
    </row>
    <row r="11" spans="1:12" ht="14.5" customHeight="1">
      <c r="A11" s="52">
        <v>8</v>
      </c>
      <c r="B11" s="111" t="s">
        <v>38</v>
      </c>
      <c r="C11" s="91" t="s">
        <v>39</v>
      </c>
      <c r="D11" s="3" t="s">
        <v>179</v>
      </c>
      <c r="E11" s="53" t="s">
        <v>28</v>
      </c>
      <c r="F11" s="62" t="s">
        <v>10</v>
      </c>
      <c r="G11" s="70" t="s">
        <v>12</v>
      </c>
      <c r="H11" s="70" t="s">
        <v>7</v>
      </c>
      <c r="I11" s="71" t="s">
        <v>8</v>
      </c>
      <c r="L11" s="53"/>
    </row>
    <row r="12" spans="1:12">
      <c r="A12" s="52">
        <v>9</v>
      </c>
      <c r="B12" s="111"/>
      <c r="C12" s="91" t="s">
        <v>40</v>
      </c>
      <c r="D12" s="3" t="s">
        <v>347</v>
      </c>
      <c r="E12" s="53" t="s">
        <v>28</v>
      </c>
      <c r="F12" s="72" t="s">
        <v>105</v>
      </c>
      <c r="G12" s="73">
        <v>1</v>
      </c>
      <c r="H12" s="74" t="s">
        <v>16</v>
      </c>
      <c r="I12" s="75"/>
      <c r="L12" s="53"/>
    </row>
    <row r="13" spans="1:12">
      <c r="A13" s="52">
        <v>10</v>
      </c>
      <c r="B13" s="111"/>
      <c r="C13" s="91" t="s">
        <v>41</v>
      </c>
      <c r="D13" s="3" t="s">
        <v>356</v>
      </c>
      <c r="E13" s="53" t="s">
        <v>28</v>
      </c>
      <c r="F13" s="72" t="s">
        <v>14</v>
      </c>
      <c r="G13" s="73">
        <v>1</v>
      </c>
      <c r="H13" s="74" t="s">
        <v>17</v>
      </c>
      <c r="I13" s="75"/>
      <c r="L13" s="53"/>
    </row>
    <row r="14" spans="1:12">
      <c r="A14" s="52">
        <v>11</v>
      </c>
      <c r="B14" s="111"/>
      <c r="C14" s="91" t="s">
        <v>42</v>
      </c>
      <c r="D14" s="3" t="s">
        <v>357</v>
      </c>
      <c r="E14" s="53" t="s">
        <v>28</v>
      </c>
      <c r="F14" s="76" t="s">
        <v>15</v>
      </c>
      <c r="G14" s="73">
        <v>1</v>
      </c>
      <c r="H14" s="74" t="s">
        <v>18</v>
      </c>
      <c r="I14" s="75"/>
      <c r="L14" s="53"/>
    </row>
    <row r="15" spans="1:12">
      <c r="A15" s="52">
        <v>12</v>
      </c>
      <c r="B15" s="111"/>
      <c r="C15" s="60" t="s">
        <v>341</v>
      </c>
      <c r="D15" s="61" t="s">
        <v>21</v>
      </c>
      <c r="E15" s="53" t="s">
        <v>28</v>
      </c>
      <c r="F15" s="72" t="s">
        <v>13</v>
      </c>
      <c r="G15" s="73">
        <v>1</v>
      </c>
      <c r="H15" s="74" t="s">
        <v>19</v>
      </c>
      <c r="I15" s="75"/>
      <c r="L15" s="53"/>
    </row>
    <row r="16" spans="1:12">
      <c r="A16" s="52">
        <v>13</v>
      </c>
      <c r="B16" s="111"/>
      <c r="C16" s="60" t="s">
        <v>342</v>
      </c>
      <c r="D16" s="61" t="s">
        <v>21</v>
      </c>
      <c r="E16" s="53" t="s">
        <v>28</v>
      </c>
      <c r="F16" s="60"/>
      <c r="G16" s="77"/>
      <c r="H16" s="74" t="s">
        <v>20</v>
      </c>
      <c r="I16" s="75"/>
      <c r="L16" s="53"/>
    </row>
    <row r="17" spans="1:14">
      <c r="A17" s="52">
        <v>14</v>
      </c>
      <c r="B17" s="111"/>
      <c r="C17" s="91" t="s">
        <v>43</v>
      </c>
      <c r="D17" s="3" t="s">
        <v>103</v>
      </c>
      <c r="E17" s="53" t="s">
        <v>28</v>
      </c>
      <c r="F17" s="60"/>
      <c r="G17" s="77"/>
      <c r="I17" s="61"/>
      <c r="L17" s="53"/>
    </row>
    <row r="18" spans="1:14">
      <c r="A18" s="52">
        <v>15</v>
      </c>
      <c r="B18" s="111"/>
      <c r="C18" s="91" t="s">
        <v>44</v>
      </c>
      <c r="D18" s="3" t="s">
        <v>358</v>
      </c>
      <c r="E18" s="53" t="s">
        <v>28</v>
      </c>
      <c r="F18" s="60"/>
      <c r="I18" s="61"/>
      <c r="L18" s="53"/>
    </row>
    <row r="19" spans="1:14">
      <c r="A19" s="52">
        <v>16</v>
      </c>
      <c r="B19" s="111"/>
      <c r="C19" s="91" t="s">
        <v>45</v>
      </c>
      <c r="D19" s="3" t="s">
        <v>363</v>
      </c>
      <c r="E19" s="53" t="s">
        <v>28</v>
      </c>
      <c r="F19" s="60"/>
      <c r="I19" s="61"/>
      <c r="L19" s="53"/>
    </row>
    <row r="20" spans="1:14">
      <c r="A20" s="52">
        <v>17</v>
      </c>
      <c r="B20" s="111"/>
      <c r="C20" s="91" t="s">
        <v>46</v>
      </c>
      <c r="D20" s="3" t="s">
        <v>364</v>
      </c>
      <c r="E20" s="53" t="s">
        <v>28</v>
      </c>
      <c r="F20" s="60"/>
      <c r="I20" s="61"/>
      <c r="L20" s="53"/>
    </row>
    <row r="21" spans="1:14">
      <c r="A21" s="52">
        <v>18</v>
      </c>
      <c r="B21" s="112" t="s">
        <v>47</v>
      </c>
      <c r="C21" s="91" t="s">
        <v>48</v>
      </c>
      <c r="D21" s="3" t="s">
        <v>348</v>
      </c>
      <c r="E21" s="53" t="s">
        <v>28</v>
      </c>
      <c r="F21" s="78"/>
      <c r="G21" s="79"/>
      <c r="H21" s="79"/>
      <c r="I21" s="80"/>
      <c r="L21" s="53"/>
    </row>
    <row r="22" spans="1:14">
      <c r="A22" s="52">
        <v>19</v>
      </c>
      <c r="B22" s="112"/>
      <c r="C22" s="91" t="s">
        <v>49</v>
      </c>
      <c r="D22" s="3" t="s">
        <v>142</v>
      </c>
      <c r="E22" s="53" t="s">
        <v>28</v>
      </c>
      <c r="L22" s="53"/>
    </row>
    <row r="23" spans="1:14">
      <c r="A23" s="52">
        <v>20</v>
      </c>
      <c r="B23" s="112"/>
      <c r="C23" s="91" t="s">
        <v>50</v>
      </c>
      <c r="D23" s="3" t="s">
        <v>349</v>
      </c>
      <c r="E23" s="53" t="s">
        <v>28</v>
      </c>
      <c r="L23" s="53"/>
    </row>
    <row r="24" spans="1:14" ht="14.5" customHeight="1">
      <c r="A24" s="52">
        <v>21</v>
      </c>
      <c r="B24" s="112"/>
      <c r="C24" s="91" t="s">
        <v>51</v>
      </c>
      <c r="D24" s="81">
        <v>360</v>
      </c>
      <c r="E24" s="53" t="s">
        <v>28</v>
      </c>
      <c r="L24" s="53"/>
    </row>
    <row r="25" spans="1:14">
      <c r="A25" s="52">
        <v>22</v>
      </c>
      <c r="B25" s="112"/>
      <c r="C25" s="91" t="s">
        <v>20</v>
      </c>
      <c r="D25" s="3" t="s">
        <v>359</v>
      </c>
      <c r="E25" s="53" t="s">
        <v>28</v>
      </c>
      <c r="L25" s="53"/>
    </row>
    <row r="26" spans="1:14" ht="14.5" customHeight="1">
      <c r="A26" s="52">
        <v>23</v>
      </c>
      <c r="B26" s="116" t="s">
        <v>52</v>
      </c>
      <c r="C26" s="92" t="s">
        <v>53</v>
      </c>
      <c r="D26" s="3" t="s">
        <v>105</v>
      </c>
      <c r="E26" s="53" t="s">
        <v>28</v>
      </c>
      <c r="L26" s="53"/>
    </row>
    <row r="27" spans="1:14">
      <c r="A27" s="52">
        <v>24</v>
      </c>
      <c r="B27" s="116"/>
      <c r="C27" s="92" t="s">
        <v>54</v>
      </c>
      <c r="D27" s="3">
        <v>10</v>
      </c>
      <c r="E27" s="53" t="s">
        <v>28</v>
      </c>
      <c r="L27" s="53"/>
    </row>
    <row r="28" spans="1:14" ht="14.1">
      <c r="A28" s="52">
        <v>25</v>
      </c>
      <c r="B28" s="116"/>
      <c r="C28" s="92" t="s">
        <v>55</v>
      </c>
      <c r="D28" s="3" t="s">
        <v>14</v>
      </c>
      <c r="E28" s="53" t="s">
        <v>28</v>
      </c>
      <c r="L28" s="53"/>
      <c r="M28" s="82"/>
    </row>
    <row r="29" spans="1:14" ht="14.1">
      <c r="A29" s="52">
        <v>26</v>
      </c>
      <c r="B29" s="116"/>
      <c r="C29" s="92" t="s">
        <v>56</v>
      </c>
      <c r="D29" s="4">
        <v>7</v>
      </c>
      <c r="E29" s="53" t="s">
        <v>28</v>
      </c>
      <c r="M29" s="2"/>
      <c r="N29" s="53"/>
    </row>
    <row r="30" spans="1:14" ht="14.1">
      <c r="A30" s="52">
        <v>27</v>
      </c>
      <c r="B30" s="116"/>
      <c r="C30" s="92" t="s">
        <v>57</v>
      </c>
      <c r="D30" s="3" t="s">
        <v>15</v>
      </c>
      <c r="E30" s="53" t="s">
        <v>28</v>
      </c>
      <c r="M30" s="2"/>
    </row>
    <row r="31" spans="1:14" ht="14.1">
      <c r="A31" s="52">
        <v>28</v>
      </c>
      <c r="B31" s="116"/>
      <c r="C31" s="92" t="s">
        <v>58</v>
      </c>
      <c r="D31" s="3">
        <v>2</v>
      </c>
      <c r="E31" s="53" t="s">
        <v>28</v>
      </c>
      <c r="G31" s="2"/>
      <c r="H31" s="53"/>
      <c r="M31" s="2"/>
    </row>
    <row r="32" spans="1:14" ht="14.1">
      <c r="A32" s="52">
        <v>29</v>
      </c>
      <c r="B32" s="116"/>
      <c r="C32" s="92" t="s">
        <v>59</v>
      </c>
      <c r="D32" s="4" t="s">
        <v>13</v>
      </c>
      <c r="E32" s="53" t="s">
        <v>28</v>
      </c>
      <c r="G32" s="2"/>
      <c r="M32" s="2"/>
      <c r="N32" s="53"/>
    </row>
    <row r="33" spans="1:16" ht="14.1">
      <c r="A33" s="52">
        <v>30</v>
      </c>
      <c r="B33" s="116"/>
      <c r="C33" s="92" t="s">
        <v>60</v>
      </c>
      <c r="D33" s="3">
        <v>3</v>
      </c>
      <c r="E33" s="53" t="s">
        <v>28</v>
      </c>
      <c r="G33" s="2"/>
      <c r="M33" s="2"/>
      <c r="N33" s="53"/>
    </row>
    <row r="34" spans="1:16" ht="14.1">
      <c r="A34" s="52">
        <v>31</v>
      </c>
      <c r="B34" s="116"/>
      <c r="C34" s="92" t="s">
        <v>61</v>
      </c>
      <c r="D34" s="4" t="s">
        <v>21</v>
      </c>
      <c r="E34" s="53" t="s">
        <v>28</v>
      </c>
      <c r="G34" s="2"/>
      <c r="M34" s="2"/>
      <c r="N34" s="53"/>
    </row>
    <row r="35" spans="1:16" ht="14.1">
      <c r="A35" s="52">
        <v>32</v>
      </c>
      <c r="B35" s="116"/>
      <c r="C35" s="92" t="s">
        <v>62</v>
      </c>
      <c r="D35" s="4" t="s">
        <v>21</v>
      </c>
      <c r="E35" s="53" t="s">
        <v>28</v>
      </c>
      <c r="G35" s="2"/>
      <c r="H35" s="83"/>
      <c r="M35" s="2"/>
    </row>
    <row r="36" spans="1:16" ht="14.1">
      <c r="A36" s="52">
        <v>33</v>
      </c>
      <c r="B36" s="116"/>
      <c r="C36" s="92" t="s">
        <v>63</v>
      </c>
      <c r="D36" s="3" t="s">
        <v>21</v>
      </c>
      <c r="E36" s="53" t="s">
        <v>28</v>
      </c>
      <c r="G36" s="2"/>
      <c r="H36" s="83"/>
      <c r="M36" s="2"/>
    </row>
    <row r="37" spans="1:16" ht="14.1">
      <c r="A37" s="52">
        <v>34</v>
      </c>
      <c r="B37" s="116"/>
      <c r="C37" s="92" t="s">
        <v>64</v>
      </c>
      <c r="D37" s="3" t="s">
        <v>21</v>
      </c>
      <c r="E37" s="53" t="s">
        <v>28</v>
      </c>
      <c r="G37" s="2"/>
      <c r="M37" s="2"/>
    </row>
    <row r="38" spans="1:16" ht="14.1">
      <c r="A38" s="52">
        <v>35</v>
      </c>
      <c r="B38" s="116"/>
      <c r="C38" s="92" t="s">
        <v>65</v>
      </c>
      <c r="D38" s="3" t="s">
        <v>21</v>
      </c>
      <c r="E38" s="53" t="s">
        <v>28</v>
      </c>
      <c r="G38" s="2"/>
      <c r="H38" s="53"/>
      <c r="M38" s="2"/>
      <c r="N38" s="83"/>
    </row>
    <row r="39" spans="1:16" ht="14.1">
      <c r="A39" s="52">
        <v>36</v>
      </c>
      <c r="B39" s="116"/>
      <c r="C39" s="92" t="s">
        <v>66</v>
      </c>
      <c r="D39" s="3" t="s">
        <v>21</v>
      </c>
      <c r="E39" s="53" t="s">
        <v>28</v>
      </c>
      <c r="G39" s="2"/>
      <c r="M39" s="2"/>
      <c r="N39" s="83"/>
    </row>
    <row r="40" spans="1:16" ht="14.1">
      <c r="A40" s="52">
        <v>37</v>
      </c>
      <c r="B40" s="116"/>
      <c r="C40" s="92" t="s">
        <v>67</v>
      </c>
      <c r="D40" s="3" t="s">
        <v>21</v>
      </c>
      <c r="E40" s="53" t="s">
        <v>28</v>
      </c>
      <c r="G40" s="2"/>
      <c r="M40" s="2"/>
    </row>
    <row r="41" spans="1:16" ht="14.1">
      <c r="A41" s="52">
        <v>38</v>
      </c>
      <c r="B41" s="116"/>
      <c r="C41" s="92" t="s">
        <v>68</v>
      </c>
      <c r="D41" s="3" t="s">
        <v>21</v>
      </c>
      <c r="E41" s="53" t="s">
        <v>28</v>
      </c>
      <c r="G41" s="2"/>
      <c r="M41" s="2"/>
      <c r="N41" s="53"/>
    </row>
    <row r="42" spans="1:16" ht="14.1">
      <c r="A42" s="52">
        <v>39</v>
      </c>
      <c r="B42" s="116"/>
      <c r="C42" s="92" t="s">
        <v>69</v>
      </c>
      <c r="D42" s="3" t="s">
        <v>21</v>
      </c>
      <c r="E42" s="53" t="s">
        <v>28</v>
      </c>
      <c r="G42" s="2"/>
      <c r="M42" s="2"/>
    </row>
    <row r="43" spans="1:16" ht="14.1">
      <c r="A43" s="52">
        <v>40</v>
      </c>
      <c r="B43" s="116"/>
      <c r="C43" s="92" t="s">
        <v>70</v>
      </c>
      <c r="D43" s="3" t="s">
        <v>21</v>
      </c>
      <c r="E43" s="53" t="s">
        <v>28</v>
      </c>
      <c r="G43" s="2"/>
      <c r="M43" s="2"/>
    </row>
    <row r="44" spans="1:16" ht="14.1">
      <c r="A44" s="52">
        <v>41</v>
      </c>
      <c r="B44" s="116"/>
      <c r="C44" s="92" t="s">
        <v>71</v>
      </c>
      <c r="D44" s="3" t="s">
        <v>21</v>
      </c>
      <c r="E44" s="53" t="s">
        <v>28</v>
      </c>
      <c r="G44" s="2"/>
      <c r="M44" s="2"/>
    </row>
    <row r="45" spans="1:16" ht="14.1">
      <c r="A45" s="52">
        <v>42</v>
      </c>
      <c r="B45" s="116"/>
      <c r="C45" s="92" t="s">
        <v>72</v>
      </c>
      <c r="D45" s="3" t="s">
        <v>21</v>
      </c>
      <c r="E45" s="53" t="s">
        <v>28</v>
      </c>
      <c r="G45" s="2"/>
      <c r="H45" s="82"/>
      <c r="I45" s="84"/>
      <c r="M45" s="2"/>
    </row>
    <row r="46" spans="1:16" ht="14.1">
      <c r="A46" s="52">
        <v>43</v>
      </c>
      <c r="B46" s="116"/>
      <c r="C46" s="92" t="s">
        <v>73</v>
      </c>
      <c r="D46" s="3" t="s">
        <v>21</v>
      </c>
      <c r="E46" s="53" t="s">
        <v>28</v>
      </c>
      <c r="G46" s="2"/>
      <c r="H46" s="2"/>
      <c r="I46" s="2"/>
      <c r="M46" s="2"/>
    </row>
    <row r="47" spans="1:16" ht="14.1">
      <c r="A47" s="52">
        <v>44</v>
      </c>
      <c r="B47" s="116"/>
      <c r="C47" s="92" t="s">
        <v>74</v>
      </c>
      <c r="D47" s="3" t="s">
        <v>21</v>
      </c>
      <c r="E47" s="53" t="s">
        <v>28</v>
      </c>
      <c r="H47" s="85"/>
      <c r="M47" s="2"/>
    </row>
    <row r="48" spans="1:16" ht="14.1">
      <c r="A48" s="52">
        <v>45</v>
      </c>
      <c r="B48" s="116"/>
      <c r="C48" s="92" t="s">
        <v>75</v>
      </c>
      <c r="D48" s="3" t="s">
        <v>21</v>
      </c>
      <c r="E48" s="53" t="s">
        <v>28</v>
      </c>
      <c r="H48" s="73"/>
      <c r="M48" s="2"/>
      <c r="N48" s="82"/>
      <c r="O48" s="84"/>
      <c r="P48" s="86"/>
    </row>
    <row r="49" spans="1:16" ht="14.1">
      <c r="A49" s="52">
        <v>46</v>
      </c>
      <c r="B49" s="116"/>
      <c r="C49" s="92" t="s">
        <v>76</v>
      </c>
      <c r="D49" s="3" t="s">
        <v>21</v>
      </c>
      <c r="E49" s="53" t="s">
        <v>28</v>
      </c>
      <c r="G49" s="54"/>
      <c r="H49" s="73"/>
      <c r="M49" s="2"/>
      <c r="N49" s="2"/>
      <c r="O49" s="2"/>
      <c r="P49" s="2"/>
    </row>
    <row r="50" spans="1:16">
      <c r="A50" s="52">
        <v>47</v>
      </c>
      <c r="B50" s="116"/>
      <c r="C50" s="91" t="s">
        <v>77</v>
      </c>
      <c r="D50" s="3" t="s">
        <v>350</v>
      </c>
      <c r="E50" s="53" t="s">
        <v>28</v>
      </c>
      <c r="H50" s="77"/>
      <c r="N50" s="73"/>
      <c r="P50" s="83"/>
    </row>
    <row r="51" spans="1:16" ht="14.5" customHeight="1">
      <c r="A51" s="52">
        <v>48</v>
      </c>
      <c r="B51" s="116"/>
      <c r="C51" s="91" t="s">
        <v>78</v>
      </c>
      <c r="D51" s="3" t="s">
        <v>360</v>
      </c>
      <c r="E51" s="53" t="s">
        <v>28</v>
      </c>
      <c r="H51" s="77"/>
      <c r="N51" s="73"/>
      <c r="P51" s="83"/>
    </row>
    <row r="52" spans="1:16">
      <c r="A52" s="52">
        <v>49</v>
      </c>
      <c r="B52" s="116"/>
      <c r="C52" s="91" t="s">
        <v>79</v>
      </c>
      <c r="D52" s="3" t="s">
        <v>361</v>
      </c>
      <c r="E52" s="53" t="s">
        <v>28</v>
      </c>
      <c r="H52" s="77"/>
      <c r="M52" s="54"/>
      <c r="N52" s="73"/>
      <c r="P52" s="83"/>
    </row>
    <row r="53" spans="1:16" ht="14.5" customHeight="1">
      <c r="A53" s="52">
        <v>50</v>
      </c>
      <c r="B53" s="117" t="s">
        <v>80</v>
      </c>
      <c r="C53" s="89" t="s">
        <v>81</v>
      </c>
      <c r="D53" s="81" t="s">
        <v>351</v>
      </c>
      <c r="E53" s="53" t="s">
        <v>28</v>
      </c>
      <c r="M53" s="54"/>
      <c r="N53" s="73"/>
      <c r="P53" s="83"/>
    </row>
    <row r="54" spans="1:16">
      <c r="A54" s="52">
        <v>51</v>
      </c>
      <c r="B54" s="117"/>
      <c r="C54" s="89" t="s">
        <v>82</v>
      </c>
      <c r="D54" s="3" t="s">
        <v>104</v>
      </c>
      <c r="E54" s="53" t="s">
        <v>28</v>
      </c>
      <c r="P54" s="83"/>
    </row>
    <row r="55" spans="1:16">
      <c r="A55" s="52">
        <v>52</v>
      </c>
      <c r="B55" s="117"/>
      <c r="C55" s="89" t="s">
        <v>83</v>
      </c>
      <c r="D55" s="61" t="s">
        <v>354</v>
      </c>
      <c r="E55" s="53" t="s">
        <v>28</v>
      </c>
    </row>
    <row r="56" spans="1:16">
      <c r="A56" s="52">
        <v>53</v>
      </c>
      <c r="B56" s="117"/>
      <c r="C56" s="89" t="s">
        <v>84</v>
      </c>
      <c r="D56" s="61" t="s">
        <v>355</v>
      </c>
      <c r="E56" s="53" t="s">
        <v>28</v>
      </c>
    </row>
    <row r="57" spans="1:16">
      <c r="A57" s="52">
        <v>54</v>
      </c>
      <c r="B57" s="117"/>
      <c r="C57" s="91" t="s">
        <v>85</v>
      </c>
      <c r="D57" s="3" t="s">
        <v>365</v>
      </c>
      <c r="E57" s="53" t="s">
        <v>28</v>
      </c>
    </row>
    <row r="58" spans="1:16">
      <c r="A58" s="52">
        <v>55</v>
      </c>
      <c r="B58" s="117"/>
      <c r="C58" s="89" t="s">
        <v>86</v>
      </c>
      <c r="D58" s="61" t="s">
        <v>340</v>
      </c>
      <c r="E58" s="53" t="s">
        <v>28</v>
      </c>
    </row>
    <row r="59" spans="1:16" ht="14.5" customHeight="1">
      <c r="A59" s="52">
        <v>56</v>
      </c>
      <c r="B59" s="117"/>
      <c r="C59" s="89" t="s">
        <v>87</v>
      </c>
      <c r="D59" s="61" t="s">
        <v>340</v>
      </c>
      <c r="E59" s="53" t="s">
        <v>28</v>
      </c>
    </row>
    <row r="60" spans="1:16">
      <c r="A60" s="52">
        <v>57</v>
      </c>
      <c r="B60" s="117"/>
      <c r="C60" s="89" t="s">
        <v>88</v>
      </c>
      <c r="D60" s="4">
        <v>1</v>
      </c>
      <c r="E60" s="53" t="s">
        <v>28</v>
      </c>
    </row>
    <row r="61" spans="1:16" ht="14.5" customHeight="1">
      <c r="A61" s="52">
        <v>58</v>
      </c>
      <c r="B61" s="105" t="s">
        <v>89</v>
      </c>
      <c r="C61" s="89" t="s">
        <v>90</v>
      </c>
      <c r="D61" s="5">
        <v>45359</v>
      </c>
      <c r="E61" s="53" t="s">
        <v>28</v>
      </c>
    </row>
    <row r="62" spans="1:16">
      <c r="A62" s="52">
        <v>59</v>
      </c>
      <c r="B62" s="105"/>
      <c r="C62" s="89" t="s">
        <v>91</v>
      </c>
      <c r="D62" s="5">
        <v>45618</v>
      </c>
      <c r="E62" s="53"/>
    </row>
    <row r="63" spans="1:16">
      <c r="A63" s="52">
        <v>60</v>
      </c>
      <c r="B63" s="105"/>
      <c r="C63" s="89" t="s">
        <v>92</v>
      </c>
      <c r="D63" s="3" t="s">
        <v>111</v>
      </c>
      <c r="E63" s="53"/>
    </row>
    <row r="64" spans="1:16">
      <c r="A64" s="52">
        <v>61</v>
      </c>
      <c r="B64" s="105"/>
      <c r="C64" s="89" t="s">
        <v>93</v>
      </c>
      <c r="D64" s="3" t="s">
        <v>180</v>
      </c>
      <c r="E64" s="53"/>
    </row>
    <row r="65" spans="1:5">
      <c r="A65" s="52">
        <v>62</v>
      </c>
      <c r="B65" s="105"/>
      <c r="C65" s="89" t="s">
        <v>94</v>
      </c>
      <c r="D65" s="5">
        <v>45618</v>
      </c>
      <c r="E65" s="53" t="s">
        <v>28</v>
      </c>
    </row>
    <row r="66" spans="1:5">
      <c r="A66" s="52">
        <v>63</v>
      </c>
      <c r="B66" s="105"/>
      <c r="C66" s="89" t="s">
        <v>95</v>
      </c>
      <c r="D66" s="5" t="s">
        <v>391</v>
      </c>
      <c r="E66" s="53" t="s">
        <v>28</v>
      </c>
    </row>
    <row r="67" spans="1:5">
      <c r="A67" s="52">
        <v>64</v>
      </c>
      <c r="B67" s="105"/>
      <c r="C67" s="89" t="s">
        <v>96</v>
      </c>
      <c r="D67" s="61" t="s">
        <v>352</v>
      </c>
      <c r="E67" s="53" t="s">
        <v>28</v>
      </c>
    </row>
    <row r="68" spans="1:5">
      <c r="A68" s="52">
        <v>65</v>
      </c>
      <c r="B68" s="106" t="s">
        <v>97</v>
      </c>
      <c r="C68" s="60" t="s">
        <v>98</v>
      </c>
      <c r="D68" s="61" t="s">
        <v>362</v>
      </c>
      <c r="E68" s="53" t="s">
        <v>28</v>
      </c>
    </row>
    <row r="69" spans="1:5">
      <c r="A69" s="52">
        <v>66</v>
      </c>
      <c r="B69" s="106"/>
      <c r="C69" s="60" t="s">
        <v>99</v>
      </c>
      <c r="D69" s="61"/>
      <c r="E69" s="53" t="s">
        <v>28</v>
      </c>
    </row>
    <row r="70" spans="1:5">
      <c r="A70" s="52">
        <v>67</v>
      </c>
      <c r="B70" s="106"/>
      <c r="C70" s="60" t="s">
        <v>100</v>
      </c>
      <c r="D70" s="61"/>
      <c r="E70" s="53" t="s">
        <v>28</v>
      </c>
    </row>
    <row r="71" spans="1:5">
      <c r="A71" s="52">
        <v>68</v>
      </c>
      <c r="B71" s="106"/>
      <c r="C71" s="60" t="s">
        <v>101</v>
      </c>
      <c r="D71" s="61"/>
      <c r="E71" s="53" t="s">
        <v>28</v>
      </c>
    </row>
    <row r="72" spans="1:5">
      <c r="A72" s="52">
        <v>69</v>
      </c>
      <c r="B72" s="107"/>
      <c r="C72" s="78" t="s">
        <v>102</v>
      </c>
      <c r="D72" s="80"/>
      <c r="E72" s="53" t="s">
        <v>28</v>
      </c>
    </row>
  </sheetData>
  <mergeCells count="10">
    <mergeCell ref="F2:I2"/>
    <mergeCell ref="B4:B5"/>
    <mergeCell ref="B7:B10"/>
    <mergeCell ref="B26:B52"/>
    <mergeCell ref="B53:B60"/>
    <mergeCell ref="B61:B67"/>
    <mergeCell ref="B68:B72"/>
    <mergeCell ref="B2:D2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1"/>
  <sheetViews>
    <sheetView tabSelected="1" topLeftCell="A340" zoomScale="85" zoomScaleNormal="85" workbookViewId="0">
      <selection activeCell="A266" sqref="A266:A289"/>
    </sheetView>
  </sheetViews>
  <sheetFormatPr baseColWidth="10" defaultRowHeight="14.4"/>
  <cols>
    <col min="1" max="1" width="23.3125" customWidth="1"/>
    <col min="2" max="2" width="28.68359375" bestFit="1" customWidth="1"/>
    <col min="3" max="3" width="19.47265625" customWidth="1"/>
    <col min="4" max="4" width="20.47265625" customWidth="1"/>
    <col min="5" max="5" width="15.47265625" bestFit="1" customWidth="1"/>
    <col min="6" max="6" width="17.68359375" bestFit="1" customWidth="1"/>
    <col min="7" max="7" width="15.47265625" customWidth="1"/>
    <col min="8" max="8" width="12.68359375" customWidth="1"/>
    <col min="9" max="9" width="105.68359375" customWidth="1"/>
    <col min="10" max="10" width="55.68359375" customWidth="1"/>
    <col min="11" max="11" width="65.15625" customWidth="1"/>
    <col min="12" max="12" width="31.15625" customWidth="1"/>
    <col min="13" max="14" width="42.15625" bestFit="1" customWidth="1"/>
  </cols>
  <sheetData>
    <row r="1" spans="1:14">
      <c r="A1" s="1" t="s">
        <v>105</v>
      </c>
      <c r="B1" s="1" t="s">
        <v>14</v>
      </c>
      <c r="C1" s="1" t="s">
        <v>15</v>
      </c>
      <c r="D1" s="1" t="s">
        <v>13</v>
      </c>
      <c r="E1" s="2" t="s">
        <v>16</v>
      </c>
      <c r="F1" s="2" t="s">
        <v>17</v>
      </c>
      <c r="G1" s="2" t="s">
        <v>18</v>
      </c>
      <c r="H1" s="2" t="s">
        <v>3</v>
      </c>
      <c r="I1" s="2" t="s">
        <v>20</v>
      </c>
      <c r="J1" s="2"/>
      <c r="K1" s="2"/>
      <c r="L1" s="2"/>
      <c r="M1" s="2"/>
      <c r="N1" s="2"/>
    </row>
    <row r="2" spans="1:14">
      <c r="A2" t="s">
        <v>109</v>
      </c>
      <c r="B2" t="s">
        <v>311</v>
      </c>
      <c r="C2" t="s">
        <v>150</v>
      </c>
      <c r="D2" s="6">
        <v>2010</v>
      </c>
      <c r="E2" s="8">
        <v>17.299999999999997</v>
      </c>
      <c r="F2" t="s">
        <v>106</v>
      </c>
      <c r="G2" t="s">
        <v>107</v>
      </c>
      <c r="H2" t="s">
        <v>21</v>
      </c>
      <c r="I2" t="s">
        <v>312</v>
      </c>
    </row>
    <row r="3" spans="1:14">
      <c r="A3" t="s">
        <v>109</v>
      </c>
      <c r="B3" t="s">
        <v>311</v>
      </c>
      <c r="C3" t="s">
        <v>151</v>
      </c>
      <c r="D3" s="6">
        <v>2010</v>
      </c>
      <c r="E3" s="8">
        <v>22.49</v>
      </c>
      <c r="F3" t="s">
        <v>106</v>
      </c>
      <c r="G3" t="s">
        <v>107</v>
      </c>
      <c r="H3" t="s">
        <v>21</v>
      </c>
      <c r="I3" t="s">
        <v>312</v>
      </c>
    </row>
    <row r="4" spans="1:14">
      <c r="A4" t="s">
        <v>109</v>
      </c>
      <c r="B4" t="s">
        <v>311</v>
      </c>
      <c r="C4" t="s">
        <v>152</v>
      </c>
      <c r="D4" s="6">
        <v>2010</v>
      </c>
      <c r="E4" s="8">
        <v>22.49</v>
      </c>
      <c r="F4" t="s">
        <v>106</v>
      </c>
      <c r="G4" t="s">
        <v>107</v>
      </c>
      <c r="H4" t="s">
        <v>21</v>
      </c>
      <c r="I4" t="s">
        <v>312</v>
      </c>
    </row>
    <row r="5" spans="1:14">
      <c r="A5" t="s">
        <v>109</v>
      </c>
      <c r="B5" t="s">
        <v>311</v>
      </c>
      <c r="C5" t="s">
        <v>392</v>
      </c>
      <c r="D5" s="6">
        <v>2010</v>
      </c>
      <c r="E5" s="8">
        <v>22.49</v>
      </c>
      <c r="F5" t="s">
        <v>106</v>
      </c>
      <c r="G5" t="s">
        <v>107</v>
      </c>
      <c r="H5" t="s">
        <v>21</v>
      </c>
      <c r="I5" t="s">
        <v>312</v>
      </c>
    </row>
    <row r="6" spans="1:14">
      <c r="A6" t="s">
        <v>109</v>
      </c>
      <c r="B6" t="s">
        <v>311</v>
      </c>
      <c r="C6" t="s">
        <v>393</v>
      </c>
      <c r="D6" s="6">
        <v>2010</v>
      </c>
      <c r="E6" s="8">
        <v>22.49</v>
      </c>
      <c r="F6" t="s">
        <v>106</v>
      </c>
      <c r="G6" t="s">
        <v>107</v>
      </c>
      <c r="H6" t="s">
        <v>21</v>
      </c>
      <c r="I6" t="s">
        <v>312</v>
      </c>
    </row>
    <row r="7" spans="1:14">
      <c r="A7" t="s">
        <v>109</v>
      </c>
      <c r="B7" t="s">
        <v>311</v>
      </c>
      <c r="C7" t="s">
        <v>394</v>
      </c>
      <c r="D7" s="6">
        <v>2010</v>
      </c>
      <c r="E7" s="8">
        <v>22.49</v>
      </c>
      <c r="F7" t="s">
        <v>106</v>
      </c>
      <c r="G7" t="s">
        <v>107</v>
      </c>
      <c r="H7" t="s">
        <v>21</v>
      </c>
      <c r="I7" t="s">
        <v>312</v>
      </c>
    </row>
    <row r="8" spans="1:14">
      <c r="A8" t="s">
        <v>109</v>
      </c>
      <c r="B8" t="s">
        <v>311</v>
      </c>
      <c r="C8" t="s">
        <v>156</v>
      </c>
      <c r="D8" s="6">
        <v>2010</v>
      </c>
      <c r="E8" s="8">
        <v>17.299999999999997</v>
      </c>
      <c r="F8" t="s">
        <v>106</v>
      </c>
      <c r="G8" t="s">
        <v>107</v>
      </c>
      <c r="H8" t="s">
        <v>21</v>
      </c>
      <c r="I8" t="s">
        <v>312</v>
      </c>
    </row>
    <row r="9" spans="1:14">
      <c r="A9" t="s">
        <v>109</v>
      </c>
      <c r="B9" t="s">
        <v>311</v>
      </c>
      <c r="C9" t="s">
        <v>157</v>
      </c>
      <c r="D9" s="6">
        <v>2010</v>
      </c>
      <c r="E9" s="8">
        <v>17.299999999999997</v>
      </c>
      <c r="F9" t="s">
        <v>106</v>
      </c>
      <c r="G9" t="s">
        <v>107</v>
      </c>
      <c r="H9" t="s">
        <v>21</v>
      </c>
      <c r="I9" t="s">
        <v>312</v>
      </c>
    </row>
    <row r="10" spans="1:14">
      <c r="A10" t="s">
        <v>109</v>
      </c>
      <c r="B10" t="s">
        <v>311</v>
      </c>
      <c r="C10" t="s">
        <v>150</v>
      </c>
      <c r="D10" s="6">
        <v>2030</v>
      </c>
      <c r="E10" s="8">
        <v>12.11</v>
      </c>
      <c r="F10" t="s">
        <v>106</v>
      </c>
      <c r="G10" t="s">
        <v>107</v>
      </c>
      <c r="H10" t="s">
        <v>21</v>
      </c>
      <c r="I10" t="s">
        <v>312</v>
      </c>
    </row>
    <row r="11" spans="1:14">
      <c r="A11" t="s">
        <v>109</v>
      </c>
      <c r="B11" t="s">
        <v>311</v>
      </c>
      <c r="C11" t="s">
        <v>151</v>
      </c>
      <c r="D11" s="6">
        <v>2030</v>
      </c>
      <c r="E11" s="8">
        <v>15.742999999999999</v>
      </c>
      <c r="F11" t="s">
        <v>106</v>
      </c>
      <c r="G11" t="s">
        <v>107</v>
      </c>
      <c r="H11" t="s">
        <v>21</v>
      </c>
      <c r="I11" t="s">
        <v>312</v>
      </c>
    </row>
    <row r="12" spans="1:14">
      <c r="A12" t="s">
        <v>109</v>
      </c>
      <c r="B12" t="s">
        <v>311</v>
      </c>
      <c r="C12" t="s">
        <v>152</v>
      </c>
      <c r="D12" s="6">
        <v>2030</v>
      </c>
      <c r="E12" s="8">
        <v>15.742999999999999</v>
      </c>
      <c r="F12" t="s">
        <v>106</v>
      </c>
      <c r="G12" t="s">
        <v>107</v>
      </c>
      <c r="H12" t="s">
        <v>21</v>
      </c>
      <c r="I12" t="s">
        <v>312</v>
      </c>
    </row>
    <row r="13" spans="1:14">
      <c r="A13" t="s">
        <v>109</v>
      </c>
      <c r="B13" t="s">
        <v>311</v>
      </c>
      <c r="C13" t="s">
        <v>392</v>
      </c>
      <c r="D13" s="6">
        <v>2030</v>
      </c>
      <c r="E13" s="8">
        <v>15.742999999999999</v>
      </c>
      <c r="F13" t="s">
        <v>106</v>
      </c>
      <c r="G13" t="s">
        <v>107</v>
      </c>
      <c r="H13" t="s">
        <v>21</v>
      </c>
      <c r="I13" t="s">
        <v>312</v>
      </c>
    </row>
    <row r="14" spans="1:14">
      <c r="A14" t="s">
        <v>109</v>
      </c>
      <c r="B14" t="s">
        <v>311</v>
      </c>
      <c r="C14" t="s">
        <v>393</v>
      </c>
      <c r="D14" s="6">
        <v>2030</v>
      </c>
      <c r="E14" s="8">
        <v>15.742999999999999</v>
      </c>
      <c r="F14" t="s">
        <v>106</v>
      </c>
      <c r="G14" t="s">
        <v>107</v>
      </c>
      <c r="H14" t="s">
        <v>21</v>
      </c>
      <c r="I14" t="s">
        <v>312</v>
      </c>
    </row>
    <row r="15" spans="1:14">
      <c r="A15" t="s">
        <v>109</v>
      </c>
      <c r="B15" t="s">
        <v>311</v>
      </c>
      <c r="C15" t="s">
        <v>394</v>
      </c>
      <c r="D15" s="6">
        <v>2030</v>
      </c>
      <c r="E15" s="8">
        <v>15.742999999999999</v>
      </c>
      <c r="F15" t="s">
        <v>106</v>
      </c>
      <c r="G15" t="s">
        <v>107</v>
      </c>
      <c r="H15" t="s">
        <v>21</v>
      </c>
      <c r="I15" t="s">
        <v>312</v>
      </c>
    </row>
    <row r="16" spans="1:14">
      <c r="A16" t="s">
        <v>109</v>
      </c>
      <c r="B16" t="s">
        <v>311</v>
      </c>
      <c r="C16" t="s">
        <v>156</v>
      </c>
      <c r="D16" s="6">
        <v>2030</v>
      </c>
      <c r="E16" s="8">
        <v>12.282999999999999</v>
      </c>
      <c r="F16" t="s">
        <v>106</v>
      </c>
      <c r="G16" t="s">
        <v>107</v>
      </c>
      <c r="H16" t="s">
        <v>21</v>
      </c>
      <c r="I16" t="s">
        <v>312</v>
      </c>
    </row>
    <row r="17" spans="1:9">
      <c r="A17" t="s">
        <v>109</v>
      </c>
      <c r="B17" t="s">
        <v>311</v>
      </c>
      <c r="C17" t="s">
        <v>157</v>
      </c>
      <c r="D17" s="6">
        <v>2030</v>
      </c>
      <c r="E17" s="8">
        <v>12.282999999999999</v>
      </c>
      <c r="F17" t="s">
        <v>106</v>
      </c>
      <c r="G17" t="s">
        <v>107</v>
      </c>
      <c r="H17" t="s">
        <v>21</v>
      </c>
      <c r="I17" t="s">
        <v>312</v>
      </c>
    </row>
    <row r="18" spans="1:9">
      <c r="A18" t="s">
        <v>109</v>
      </c>
      <c r="B18" t="s">
        <v>311</v>
      </c>
      <c r="C18" t="s">
        <v>150</v>
      </c>
      <c r="D18" s="6">
        <v>2050</v>
      </c>
      <c r="E18" s="8">
        <v>9.5149999999999988</v>
      </c>
      <c r="F18" t="s">
        <v>106</v>
      </c>
      <c r="G18" t="s">
        <v>107</v>
      </c>
      <c r="H18" t="s">
        <v>21</v>
      </c>
      <c r="I18" t="s">
        <v>312</v>
      </c>
    </row>
    <row r="19" spans="1:9">
      <c r="A19" t="s">
        <v>109</v>
      </c>
      <c r="B19" t="s">
        <v>311</v>
      </c>
      <c r="C19" t="s">
        <v>151</v>
      </c>
      <c r="D19" s="6">
        <v>2050</v>
      </c>
      <c r="E19" s="8">
        <v>12.369499999999999</v>
      </c>
      <c r="F19" t="s">
        <v>106</v>
      </c>
      <c r="G19" t="s">
        <v>107</v>
      </c>
      <c r="H19" t="s">
        <v>21</v>
      </c>
      <c r="I19" t="s">
        <v>312</v>
      </c>
    </row>
    <row r="20" spans="1:9">
      <c r="A20" t="s">
        <v>109</v>
      </c>
      <c r="B20" t="s">
        <v>311</v>
      </c>
      <c r="C20" t="s">
        <v>152</v>
      </c>
      <c r="D20" s="6">
        <v>2050</v>
      </c>
      <c r="E20" s="8">
        <v>12.386799999999997</v>
      </c>
      <c r="F20" t="s">
        <v>106</v>
      </c>
      <c r="G20" t="s">
        <v>107</v>
      </c>
      <c r="H20" t="s">
        <v>21</v>
      </c>
      <c r="I20" t="s">
        <v>312</v>
      </c>
    </row>
    <row r="21" spans="1:9">
      <c r="A21" t="s">
        <v>109</v>
      </c>
      <c r="B21" t="s">
        <v>311</v>
      </c>
      <c r="C21" t="s">
        <v>392</v>
      </c>
      <c r="D21" s="6">
        <v>2050</v>
      </c>
      <c r="E21" s="8">
        <v>12.386799999999997</v>
      </c>
      <c r="F21" t="s">
        <v>106</v>
      </c>
      <c r="G21" t="s">
        <v>107</v>
      </c>
      <c r="H21" t="s">
        <v>21</v>
      </c>
      <c r="I21" t="s">
        <v>312</v>
      </c>
    </row>
    <row r="22" spans="1:9">
      <c r="A22" t="s">
        <v>109</v>
      </c>
      <c r="B22" t="s">
        <v>311</v>
      </c>
      <c r="C22" t="s">
        <v>393</v>
      </c>
      <c r="D22" s="6">
        <v>2050</v>
      </c>
      <c r="E22" s="8">
        <v>12.386799999999997</v>
      </c>
      <c r="F22" t="s">
        <v>106</v>
      </c>
      <c r="G22" t="s">
        <v>107</v>
      </c>
      <c r="H22" t="s">
        <v>21</v>
      </c>
      <c r="I22" t="s">
        <v>312</v>
      </c>
    </row>
    <row r="23" spans="1:9">
      <c r="A23" t="s">
        <v>109</v>
      </c>
      <c r="B23" t="s">
        <v>311</v>
      </c>
      <c r="C23" t="s">
        <v>394</v>
      </c>
      <c r="D23" s="6">
        <v>2050</v>
      </c>
      <c r="E23" s="8">
        <v>12.386799999999997</v>
      </c>
      <c r="F23" t="s">
        <v>106</v>
      </c>
      <c r="G23" t="s">
        <v>107</v>
      </c>
      <c r="H23" t="s">
        <v>21</v>
      </c>
      <c r="I23" t="s">
        <v>312</v>
      </c>
    </row>
    <row r="24" spans="1:9">
      <c r="A24" t="s">
        <v>109</v>
      </c>
      <c r="B24" t="s">
        <v>311</v>
      </c>
      <c r="C24" t="s">
        <v>156</v>
      </c>
      <c r="D24" s="6">
        <v>2050</v>
      </c>
      <c r="E24" s="8">
        <v>9.5149999999999988</v>
      </c>
      <c r="F24" t="s">
        <v>106</v>
      </c>
      <c r="G24" t="s">
        <v>107</v>
      </c>
      <c r="H24" t="s">
        <v>21</v>
      </c>
      <c r="I24" t="s">
        <v>312</v>
      </c>
    </row>
    <row r="25" spans="1:9">
      <c r="A25" t="s">
        <v>109</v>
      </c>
      <c r="B25" t="s">
        <v>311</v>
      </c>
      <c r="C25" t="s">
        <v>157</v>
      </c>
      <c r="D25" s="6">
        <v>2050</v>
      </c>
      <c r="E25" s="8">
        <v>9.5149999999999988</v>
      </c>
      <c r="F25" t="s">
        <v>106</v>
      </c>
      <c r="G25" t="s">
        <v>107</v>
      </c>
      <c r="H25" t="s">
        <v>21</v>
      </c>
      <c r="I25" t="s">
        <v>312</v>
      </c>
    </row>
    <row r="26" spans="1:9">
      <c r="A26" t="s">
        <v>109</v>
      </c>
      <c r="B26" t="s">
        <v>407</v>
      </c>
      <c r="C26" t="s">
        <v>150</v>
      </c>
      <c r="D26" s="6">
        <v>2010</v>
      </c>
      <c r="E26" s="8">
        <v>193.76</v>
      </c>
      <c r="F26" t="s">
        <v>106</v>
      </c>
      <c r="G26" t="s">
        <v>107</v>
      </c>
      <c r="H26" t="s">
        <v>21</v>
      </c>
      <c r="I26" t="s">
        <v>313</v>
      </c>
    </row>
    <row r="27" spans="1:9">
      <c r="A27" t="s">
        <v>109</v>
      </c>
      <c r="B27" t="s">
        <v>407</v>
      </c>
      <c r="C27" t="s">
        <v>151</v>
      </c>
      <c r="D27" s="6">
        <v>2010</v>
      </c>
      <c r="E27" s="8">
        <v>193.76</v>
      </c>
      <c r="F27" t="s">
        <v>106</v>
      </c>
      <c r="G27" t="s">
        <v>107</v>
      </c>
      <c r="H27" t="s">
        <v>21</v>
      </c>
      <c r="I27" t="s">
        <v>313</v>
      </c>
    </row>
    <row r="28" spans="1:9">
      <c r="A28" t="s">
        <v>109</v>
      </c>
      <c r="B28" t="s">
        <v>407</v>
      </c>
      <c r="C28" t="s">
        <v>152</v>
      </c>
      <c r="D28" s="6">
        <v>2010</v>
      </c>
      <c r="E28" s="8">
        <v>193.76</v>
      </c>
      <c r="F28" t="s">
        <v>106</v>
      </c>
      <c r="G28" t="s">
        <v>107</v>
      </c>
      <c r="H28" t="s">
        <v>21</v>
      </c>
      <c r="I28" t="s">
        <v>313</v>
      </c>
    </row>
    <row r="29" spans="1:9">
      <c r="A29" t="s">
        <v>109</v>
      </c>
      <c r="B29" t="s">
        <v>407</v>
      </c>
      <c r="C29" t="s">
        <v>392</v>
      </c>
      <c r="D29" s="6">
        <v>2010</v>
      </c>
      <c r="E29" s="8">
        <v>193.76</v>
      </c>
      <c r="F29" t="s">
        <v>106</v>
      </c>
      <c r="G29" t="s">
        <v>107</v>
      </c>
      <c r="H29" t="s">
        <v>21</v>
      </c>
      <c r="I29" t="s">
        <v>313</v>
      </c>
    </row>
    <row r="30" spans="1:9">
      <c r="A30" t="s">
        <v>109</v>
      </c>
      <c r="B30" t="s">
        <v>407</v>
      </c>
      <c r="C30" t="s">
        <v>393</v>
      </c>
      <c r="D30" s="6">
        <v>2010</v>
      </c>
      <c r="E30" s="8">
        <v>193.76</v>
      </c>
      <c r="F30" t="s">
        <v>106</v>
      </c>
      <c r="G30" t="s">
        <v>107</v>
      </c>
      <c r="H30" t="s">
        <v>21</v>
      </c>
      <c r="I30" t="s">
        <v>313</v>
      </c>
    </row>
    <row r="31" spans="1:9">
      <c r="A31" t="s">
        <v>109</v>
      </c>
      <c r="B31" t="s">
        <v>407</v>
      </c>
      <c r="C31" t="s">
        <v>394</v>
      </c>
      <c r="D31" s="6">
        <v>2010</v>
      </c>
      <c r="E31" s="8">
        <v>193.76</v>
      </c>
      <c r="F31" t="s">
        <v>106</v>
      </c>
      <c r="G31" t="s">
        <v>107</v>
      </c>
      <c r="H31" t="s">
        <v>21</v>
      </c>
      <c r="I31" t="s">
        <v>313</v>
      </c>
    </row>
    <row r="32" spans="1:9">
      <c r="A32" t="s">
        <v>109</v>
      </c>
      <c r="B32" t="s">
        <v>407</v>
      </c>
      <c r="C32" t="s">
        <v>156</v>
      </c>
      <c r="D32" s="6">
        <v>2010</v>
      </c>
      <c r="E32" s="8">
        <v>193.76</v>
      </c>
      <c r="F32" t="s">
        <v>106</v>
      </c>
      <c r="G32" t="s">
        <v>107</v>
      </c>
      <c r="H32" t="s">
        <v>21</v>
      </c>
      <c r="I32" t="s">
        <v>313</v>
      </c>
    </row>
    <row r="33" spans="1:9">
      <c r="A33" t="s">
        <v>109</v>
      </c>
      <c r="B33" t="s">
        <v>407</v>
      </c>
      <c r="C33" t="s">
        <v>157</v>
      </c>
      <c r="D33" s="6">
        <v>2010</v>
      </c>
      <c r="E33" s="8">
        <v>193.76</v>
      </c>
      <c r="F33" t="s">
        <v>106</v>
      </c>
      <c r="G33" t="s">
        <v>107</v>
      </c>
      <c r="H33" t="s">
        <v>21</v>
      </c>
      <c r="I33" t="s">
        <v>313</v>
      </c>
    </row>
    <row r="34" spans="1:9">
      <c r="A34" t="s">
        <v>109</v>
      </c>
      <c r="B34" t="s">
        <v>407</v>
      </c>
      <c r="C34" t="s">
        <v>150</v>
      </c>
      <c r="D34" s="6">
        <v>2030</v>
      </c>
      <c r="E34" s="8">
        <v>193.76</v>
      </c>
      <c r="F34" t="s">
        <v>106</v>
      </c>
      <c r="G34" t="s">
        <v>107</v>
      </c>
      <c r="H34" t="s">
        <v>21</v>
      </c>
      <c r="I34" t="s">
        <v>313</v>
      </c>
    </row>
    <row r="35" spans="1:9">
      <c r="A35" t="s">
        <v>109</v>
      </c>
      <c r="B35" t="s">
        <v>407</v>
      </c>
      <c r="C35" t="s">
        <v>151</v>
      </c>
      <c r="D35" s="6">
        <v>2030</v>
      </c>
      <c r="E35" s="8">
        <v>193.76</v>
      </c>
      <c r="F35" t="s">
        <v>106</v>
      </c>
      <c r="G35" t="s">
        <v>107</v>
      </c>
      <c r="H35" t="s">
        <v>21</v>
      </c>
      <c r="I35" t="s">
        <v>313</v>
      </c>
    </row>
    <row r="36" spans="1:9">
      <c r="A36" t="s">
        <v>109</v>
      </c>
      <c r="B36" t="s">
        <v>407</v>
      </c>
      <c r="C36" t="s">
        <v>152</v>
      </c>
      <c r="D36" s="6">
        <v>2030</v>
      </c>
      <c r="E36" s="8">
        <v>193.76</v>
      </c>
      <c r="F36" t="s">
        <v>106</v>
      </c>
      <c r="G36" t="s">
        <v>107</v>
      </c>
      <c r="H36" t="s">
        <v>21</v>
      </c>
      <c r="I36" t="s">
        <v>313</v>
      </c>
    </row>
    <row r="37" spans="1:9">
      <c r="A37" t="s">
        <v>109</v>
      </c>
      <c r="B37" t="s">
        <v>407</v>
      </c>
      <c r="C37" t="s">
        <v>392</v>
      </c>
      <c r="D37" s="6">
        <v>2030</v>
      </c>
      <c r="E37" s="8">
        <v>193.76</v>
      </c>
      <c r="F37" t="s">
        <v>106</v>
      </c>
      <c r="G37" t="s">
        <v>107</v>
      </c>
      <c r="H37" t="s">
        <v>21</v>
      </c>
      <c r="I37" t="s">
        <v>313</v>
      </c>
    </row>
    <row r="38" spans="1:9">
      <c r="A38" t="s">
        <v>109</v>
      </c>
      <c r="B38" t="s">
        <v>407</v>
      </c>
      <c r="C38" t="s">
        <v>393</v>
      </c>
      <c r="D38" s="6">
        <v>2030</v>
      </c>
      <c r="E38" s="8">
        <v>193.76</v>
      </c>
      <c r="F38" t="s">
        <v>106</v>
      </c>
      <c r="G38" t="s">
        <v>107</v>
      </c>
      <c r="H38" t="s">
        <v>21</v>
      </c>
      <c r="I38" t="s">
        <v>313</v>
      </c>
    </row>
    <row r="39" spans="1:9">
      <c r="A39" t="s">
        <v>109</v>
      </c>
      <c r="B39" t="s">
        <v>407</v>
      </c>
      <c r="C39" t="s">
        <v>394</v>
      </c>
      <c r="D39" s="6">
        <v>2030</v>
      </c>
      <c r="E39" s="8">
        <v>193.76</v>
      </c>
      <c r="F39" t="s">
        <v>106</v>
      </c>
      <c r="G39" t="s">
        <v>107</v>
      </c>
      <c r="H39" t="s">
        <v>21</v>
      </c>
      <c r="I39" t="s">
        <v>313</v>
      </c>
    </row>
    <row r="40" spans="1:9">
      <c r="A40" t="s">
        <v>109</v>
      </c>
      <c r="B40" t="s">
        <v>407</v>
      </c>
      <c r="C40" t="s">
        <v>156</v>
      </c>
      <c r="D40" s="6">
        <v>2030</v>
      </c>
      <c r="E40" s="8">
        <v>193.76</v>
      </c>
      <c r="F40" t="s">
        <v>106</v>
      </c>
      <c r="G40" t="s">
        <v>107</v>
      </c>
      <c r="H40" t="s">
        <v>21</v>
      </c>
      <c r="I40" t="s">
        <v>313</v>
      </c>
    </row>
    <row r="41" spans="1:9">
      <c r="A41" t="s">
        <v>109</v>
      </c>
      <c r="B41" t="s">
        <v>407</v>
      </c>
      <c r="C41" t="s">
        <v>157</v>
      </c>
      <c r="D41" s="6">
        <v>2030</v>
      </c>
      <c r="E41" s="8">
        <v>193.76</v>
      </c>
      <c r="F41" t="s">
        <v>106</v>
      </c>
      <c r="G41" t="s">
        <v>107</v>
      </c>
      <c r="H41" t="s">
        <v>21</v>
      </c>
      <c r="I41" t="s">
        <v>313</v>
      </c>
    </row>
    <row r="42" spans="1:9">
      <c r="A42" t="s">
        <v>109</v>
      </c>
      <c r="B42" t="s">
        <v>407</v>
      </c>
      <c r="C42" t="s">
        <v>150</v>
      </c>
      <c r="D42" s="6">
        <v>2050</v>
      </c>
      <c r="E42" s="8">
        <v>193.76</v>
      </c>
      <c r="F42" t="s">
        <v>106</v>
      </c>
      <c r="G42" t="s">
        <v>107</v>
      </c>
      <c r="H42" t="s">
        <v>21</v>
      </c>
      <c r="I42" t="s">
        <v>313</v>
      </c>
    </row>
    <row r="43" spans="1:9">
      <c r="A43" t="s">
        <v>109</v>
      </c>
      <c r="B43" t="s">
        <v>407</v>
      </c>
      <c r="C43" t="s">
        <v>151</v>
      </c>
      <c r="D43" s="6">
        <v>2050</v>
      </c>
      <c r="E43" s="8">
        <v>193.76</v>
      </c>
      <c r="F43" t="s">
        <v>106</v>
      </c>
      <c r="G43" t="s">
        <v>107</v>
      </c>
      <c r="H43" t="s">
        <v>21</v>
      </c>
      <c r="I43" t="s">
        <v>313</v>
      </c>
    </row>
    <row r="44" spans="1:9">
      <c r="A44" t="s">
        <v>109</v>
      </c>
      <c r="B44" t="s">
        <v>407</v>
      </c>
      <c r="C44" t="s">
        <v>152</v>
      </c>
      <c r="D44" s="6">
        <v>2050</v>
      </c>
      <c r="E44" s="8">
        <v>193.76</v>
      </c>
      <c r="F44" t="s">
        <v>106</v>
      </c>
      <c r="G44" t="s">
        <v>107</v>
      </c>
      <c r="H44" t="s">
        <v>21</v>
      </c>
      <c r="I44" t="s">
        <v>313</v>
      </c>
    </row>
    <row r="45" spans="1:9">
      <c r="A45" t="s">
        <v>109</v>
      </c>
      <c r="B45" t="s">
        <v>407</v>
      </c>
      <c r="C45" t="s">
        <v>392</v>
      </c>
      <c r="D45" s="6">
        <v>2050</v>
      </c>
      <c r="E45" s="8">
        <v>193.76</v>
      </c>
      <c r="F45" t="s">
        <v>106</v>
      </c>
      <c r="G45" t="s">
        <v>107</v>
      </c>
      <c r="H45" t="s">
        <v>21</v>
      </c>
      <c r="I45" t="s">
        <v>313</v>
      </c>
    </row>
    <row r="46" spans="1:9">
      <c r="A46" t="s">
        <v>109</v>
      </c>
      <c r="B46" t="s">
        <v>407</v>
      </c>
      <c r="C46" t="s">
        <v>393</v>
      </c>
      <c r="D46" s="6">
        <v>2050</v>
      </c>
      <c r="E46" s="8">
        <v>193.76</v>
      </c>
      <c r="F46" t="s">
        <v>106</v>
      </c>
      <c r="G46" t="s">
        <v>107</v>
      </c>
      <c r="H46" t="s">
        <v>21</v>
      </c>
      <c r="I46" t="s">
        <v>313</v>
      </c>
    </row>
    <row r="47" spans="1:9">
      <c r="A47" t="s">
        <v>109</v>
      </c>
      <c r="B47" t="s">
        <v>407</v>
      </c>
      <c r="C47" t="s">
        <v>394</v>
      </c>
      <c r="D47" s="6">
        <v>2050</v>
      </c>
      <c r="E47" s="8">
        <v>193.76</v>
      </c>
      <c r="F47" t="s">
        <v>106</v>
      </c>
      <c r="G47" t="s">
        <v>107</v>
      </c>
      <c r="H47" t="s">
        <v>21</v>
      </c>
      <c r="I47" t="s">
        <v>313</v>
      </c>
    </row>
    <row r="48" spans="1:9">
      <c r="A48" t="s">
        <v>109</v>
      </c>
      <c r="B48" t="s">
        <v>407</v>
      </c>
      <c r="C48" t="s">
        <v>156</v>
      </c>
      <c r="D48" s="6">
        <v>2050</v>
      </c>
      <c r="E48" s="8">
        <v>193.76</v>
      </c>
      <c r="F48" t="s">
        <v>106</v>
      </c>
      <c r="G48" t="s">
        <v>107</v>
      </c>
      <c r="H48" t="s">
        <v>21</v>
      </c>
      <c r="I48" t="s">
        <v>313</v>
      </c>
    </row>
    <row r="49" spans="1:9">
      <c r="A49" t="s">
        <v>109</v>
      </c>
      <c r="B49" t="s">
        <v>407</v>
      </c>
      <c r="C49" t="s">
        <v>157</v>
      </c>
      <c r="D49" s="6">
        <v>2050</v>
      </c>
      <c r="E49" s="8">
        <v>193.76</v>
      </c>
      <c r="F49" t="s">
        <v>106</v>
      </c>
      <c r="G49" t="s">
        <v>107</v>
      </c>
      <c r="H49" t="s">
        <v>21</v>
      </c>
      <c r="I49" t="s">
        <v>313</v>
      </c>
    </row>
    <row r="50" spans="1:9">
      <c r="A50" t="s">
        <v>110</v>
      </c>
      <c r="B50" t="s">
        <v>407</v>
      </c>
      <c r="C50" t="s">
        <v>150</v>
      </c>
      <c r="D50" s="6">
        <v>2010</v>
      </c>
      <c r="E50" s="8">
        <v>50.4</v>
      </c>
      <c r="F50" t="s">
        <v>106</v>
      </c>
      <c r="G50" t="s">
        <v>107</v>
      </c>
      <c r="H50" t="s">
        <v>21</v>
      </c>
      <c r="I50" t="s">
        <v>314</v>
      </c>
    </row>
    <row r="51" spans="1:9">
      <c r="A51" t="s">
        <v>110</v>
      </c>
      <c r="B51" t="s">
        <v>407</v>
      </c>
      <c r="C51" t="s">
        <v>151</v>
      </c>
      <c r="D51" s="6">
        <v>2010</v>
      </c>
      <c r="E51" s="8">
        <v>50.4</v>
      </c>
      <c r="F51" t="s">
        <v>106</v>
      </c>
      <c r="G51" t="s">
        <v>107</v>
      </c>
      <c r="H51" t="s">
        <v>21</v>
      </c>
      <c r="I51" t="s">
        <v>315</v>
      </c>
    </row>
    <row r="52" spans="1:9">
      <c r="A52" t="s">
        <v>110</v>
      </c>
      <c r="B52" t="s">
        <v>407</v>
      </c>
      <c r="C52" t="s">
        <v>152</v>
      </c>
      <c r="D52" s="6">
        <v>2010</v>
      </c>
      <c r="E52" s="8">
        <v>50.4</v>
      </c>
      <c r="F52" t="s">
        <v>106</v>
      </c>
      <c r="G52" t="s">
        <v>107</v>
      </c>
      <c r="H52" t="s">
        <v>21</v>
      </c>
      <c r="I52" t="s">
        <v>316</v>
      </c>
    </row>
    <row r="53" spans="1:9">
      <c r="A53" t="s">
        <v>110</v>
      </c>
      <c r="B53" t="s">
        <v>407</v>
      </c>
      <c r="C53" t="s">
        <v>392</v>
      </c>
      <c r="D53" s="6">
        <v>2010</v>
      </c>
      <c r="E53" s="8">
        <v>50.4</v>
      </c>
      <c r="F53" t="s">
        <v>106</v>
      </c>
      <c r="G53" t="s">
        <v>107</v>
      </c>
      <c r="H53" t="s">
        <v>21</v>
      </c>
      <c r="I53" t="s">
        <v>317</v>
      </c>
    </row>
    <row r="54" spans="1:9">
      <c r="A54" t="s">
        <v>110</v>
      </c>
      <c r="B54" t="s">
        <v>407</v>
      </c>
      <c r="C54" t="s">
        <v>393</v>
      </c>
      <c r="D54" s="6">
        <v>2010</v>
      </c>
      <c r="E54" s="8">
        <v>50.4</v>
      </c>
      <c r="F54" t="s">
        <v>106</v>
      </c>
      <c r="G54" t="s">
        <v>107</v>
      </c>
      <c r="H54" t="s">
        <v>21</v>
      </c>
      <c r="I54" t="s">
        <v>318</v>
      </c>
    </row>
    <row r="55" spans="1:9">
      <c r="A55" t="s">
        <v>110</v>
      </c>
      <c r="B55" t="s">
        <v>407</v>
      </c>
      <c r="C55" t="s">
        <v>394</v>
      </c>
      <c r="D55" s="6">
        <v>2010</v>
      </c>
      <c r="E55" s="8">
        <v>50.4</v>
      </c>
      <c r="F55" t="s">
        <v>106</v>
      </c>
      <c r="G55" t="s">
        <v>107</v>
      </c>
      <c r="H55" t="s">
        <v>21</v>
      </c>
      <c r="I55" t="s">
        <v>319</v>
      </c>
    </row>
    <row r="56" spans="1:9">
      <c r="A56" t="s">
        <v>110</v>
      </c>
      <c r="B56" t="s">
        <v>407</v>
      </c>
      <c r="C56" t="s">
        <v>156</v>
      </c>
      <c r="D56" s="6">
        <v>2010</v>
      </c>
      <c r="E56" s="8">
        <v>50.4</v>
      </c>
      <c r="F56" t="s">
        <v>106</v>
      </c>
      <c r="G56" t="s">
        <v>107</v>
      </c>
      <c r="H56" t="s">
        <v>21</v>
      </c>
      <c r="I56" t="s">
        <v>320</v>
      </c>
    </row>
    <row r="57" spans="1:9">
      <c r="A57" t="s">
        <v>110</v>
      </c>
      <c r="B57" t="s">
        <v>407</v>
      </c>
      <c r="C57" t="s">
        <v>157</v>
      </c>
      <c r="D57" s="6">
        <v>2010</v>
      </c>
      <c r="E57" s="8">
        <v>50.4</v>
      </c>
      <c r="F57" t="s">
        <v>106</v>
      </c>
      <c r="G57" t="s">
        <v>107</v>
      </c>
      <c r="H57" t="s">
        <v>21</v>
      </c>
      <c r="I57" t="s">
        <v>321</v>
      </c>
    </row>
    <row r="58" spans="1:9">
      <c r="A58" t="s">
        <v>110</v>
      </c>
      <c r="B58" t="s">
        <v>407</v>
      </c>
      <c r="C58" t="s">
        <v>150</v>
      </c>
      <c r="D58" s="6">
        <v>2030</v>
      </c>
      <c r="E58" s="8">
        <v>37.799999999999997</v>
      </c>
      <c r="F58" t="s">
        <v>106</v>
      </c>
      <c r="G58" t="s">
        <v>107</v>
      </c>
      <c r="H58" t="s">
        <v>21</v>
      </c>
      <c r="I58" t="s">
        <v>322</v>
      </c>
    </row>
    <row r="59" spans="1:9">
      <c r="A59" t="s">
        <v>110</v>
      </c>
      <c r="B59" t="s">
        <v>407</v>
      </c>
      <c r="C59" t="s">
        <v>151</v>
      </c>
      <c r="D59" s="6">
        <v>2030</v>
      </c>
      <c r="E59" s="8">
        <v>37.799999999999997</v>
      </c>
      <c r="F59" t="s">
        <v>106</v>
      </c>
      <c r="G59" t="s">
        <v>107</v>
      </c>
      <c r="H59" t="s">
        <v>21</v>
      </c>
      <c r="I59" t="s">
        <v>323</v>
      </c>
    </row>
    <row r="60" spans="1:9">
      <c r="A60" t="s">
        <v>110</v>
      </c>
      <c r="B60" t="s">
        <v>407</v>
      </c>
      <c r="C60" t="s">
        <v>152</v>
      </c>
      <c r="D60" s="6">
        <v>2030</v>
      </c>
      <c r="E60" s="8">
        <v>37.799999999999997</v>
      </c>
      <c r="F60" t="s">
        <v>106</v>
      </c>
      <c r="G60" t="s">
        <v>107</v>
      </c>
      <c r="H60" t="s">
        <v>21</v>
      </c>
      <c r="I60" t="s">
        <v>324</v>
      </c>
    </row>
    <row r="61" spans="1:9">
      <c r="A61" t="s">
        <v>110</v>
      </c>
      <c r="B61" t="s">
        <v>407</v>
      </c>
      <c r="C61" t="s">
        <v>392</v>
      </c>
      <c r="D61" s="6">
        <v>2030</v>
      </c>
      <c r="E61" s="8">
        <v>37.799999999999997</v>
      </c>
      <c r="F61" t="s">
        <v>106</v>
      </c>
      <c r="G61" t="s">
        <v>107</v>
      </c>
      <c r="H61" t="s">
        <v>21</v>
      </c>
      <c r="I61" t="s">
        <v>325</v>
      </c>
    </row>
    <row r="62" spans="1:9">
      <c r="A62" t="s">
        <v>110</v>
      </c>
      <c r="B62" t="s">
        <v>407</v>
      </c>
      <c r="C62" t="s">
        <v>393</v>
      </c>
      <c r="D62" s="6">
        <v>2030</v>
      </c>
      <c r="E62" s="8">
        <v>37.799999999999997</v>
      </c>
      <c r="F62" t="s">
        <v>106</v>
      </c>
      <c r="G62" t="s">
        <v>107</v>
      </c>
      <c r="H62" t="s">
        <v>21</v>
      </c>
      <c r="I62" t="s">
        <v>326</v>
      </c>
    </row>
    <row r="63" spans="1:9">
      <c r="A63" t="s">
        <v>110</v>
      </c>
      <c r="B63" t="s">
        <v>407</v>
      </c>
      <c r="C63" t="s">
        <v>394</v>
      </c>
      <c r="D63" s="6">
        <v>2030</v>
      </c>
      <c r="E63" s="8">
        <v>37.799999999999997</v>
      </c>
      <c r="F63" t="s">
        <v>106</v>
      </c>
      <c r="G63" t="s">
        <v>107</v>
      </c>
      <c r="H63" t="s">
        <v>21</v>
      </c>
      <c r="I63" t="s">
        <v>327</v>
      </c>
    </row>
    <row r="64" spans="1:9">
      <c r="A64" t="s">
        <v>110</v>
      </c>
      <c r="B64" t="s">
        <v>407</v>
      </c>
      <c r="C64" t="s">
        <v>156</v>
      </c>
      <c r="D64" s="6">
        <v>2030</v>
      </c>
      <c r="E64" s="8">
        <v>37.799999999999997</v>
      </c>
      <c r="F64" t="s">
        <v>106</v>
      </c>
      <c r="G64" t="s">
        <v>107</v>
      </c>
      <c r="H64" t="s">
        <v>21</v>
      </c>
      <c r="I64" t="s">
        <v>328</v>
      </c>
    </row>
    <row r="65" spans="1:9">
      <c r="A65" t="s">
        <v>110</v>
      </c>
      <c r="B65" t="s">
        <v>407</v>
      </c>
      <c r="C65" t="s">
        <v>157</v>
      </c>
      <c r="D65" s="6">
        <v>2030</v>
      </c>
      <c r="E65" s="8">
        <v>37.799999999999997</v>
      </c>
      <c r="F65" t="s">
        <v>106</v>
      </c>
      <c r="G65" t="s">
        <v>107</v>
      </c>
      <c r="H65" t="s">
        <v>21</v>
      </c>
      <c r="I65" t="s">
        <v>329</v>
      </c>
    </row>
    <row r="66" spans="1:9">
      <c r="A66" t="s">
        <v>110</v>
      </c>
      <c r="B66" t="s">
        <v>407</v>
      </c>
      <c r="C66" t="s">
        <v>150</v>
      </c>
      <c r="D66" s="6">
        <v>2050</v>
      </c>
      <c r="E66" s="8">
        <v>34.019999999999996</v>
      </c>
      <c r="F66" t="s">
        <v>106</v>
      </c>
      <c r="G66" t="s">
        <v>107</v>
      </c>
      <c r="H66" t="s">
        <v>21</v>
      </c>
      <c r="I66" t="s">
        <v>330</v>
      </c>
    </row>
    <row r="67" spans="1:9">
      <c r="A67" t="s">
        <v>110</v>
      </c>
      <c r="B67" t="s">
        <v>407</v>
      </c>
      <c r="C67" t="s">
        <v>151</v>
      </c>
      <c r="D67" s="6">
        <v>2050</v>
      </c>
      <c r="E67" s="8">
        <v>34.019999999999996</v>
      </c>
      <c r="F67" t="s">
        <v>106</v>
      </c>
      <c r="G67" t="s">
        <v>107</v>
      </c>
      <c r="H67" t="s">
        <v>21</v>
      </c>
      <c r="I67" t="s">
        <v>331</v>
      </c>
    </row>
    <row r="68" spans="1:9">
      <c r="A68" t="s">
        <v>110</v>
      </c>
      <c r="B68" t="s">
        <v>407</v>
      </c>
      <c r="C68" t="s">
        <v>152</v>
      </c>
      <c r="D68" s="6">
        <v>2050</v>
      </c>
      <c r="E68" s="8">
        <v>34.019999999999996</v>
      </c>
      <c r="F68" t="s">
        <v>106</v>
      </c>
      <c r="G68" t="s">
        <v>107</v>
      </c>
      <c r="H68" t="s">
        <v>21</v>
      </c>
      <c r="I68" t="s">
        <v>332</v>
      </c>
    </row>
    <row r="69" spans="1:9">
      <c r="A69" t="s">
        <v>110</v>
      </c>
      <c r="B69" t="s">
        <v>407</v>
      </c>
      <c r="C69" t="s">
        <v>392</v>
      </c>
      <c r="D69" s="6">
        <v>2050</v>
      </c>
      <c r="E69" s="8">
        <v>34.019999999999996</v>
      </c>
      <c r="F69" t="s">
        <v>106</v>
      </c>
      <c r="G69" t="s">
        <v>107</v>
      </c>
      <c r="H69" t="s">
        <v>21</v>
      </c>
      <c r="I69" t="s">
        <v>333</v>
      </c>
    </row>
    <row r="70" spans="1:9">
      <c r="A70" t="s">
        <v>110</v>
      </c>
      <c r="B70" t="s">
        <v>407</v>
      </c>
      <c r="C70" t="s">
        <v>393</v>
      </c>
      <c r="D70" s="6">
        <v>2050</v>
      </c>
      <c r="E70" s="8">
        <v>34.019999999999996</v>
      </c>
      <c r="F70" t="s">
        <v>106</v>
      </c>
      <c r="G70" t="s">
        <v>107</v>
      </c>
      <c r="H70" t="s">
        <v>21</v>
      </c>
      <c r="I70" t="s">
        <v>334</v>
      </c>
    </row>
    <row r="71" spans="1:9">
      <c r="A71" t="s">
        <v>110</v>
      </c>
      <c r="B71" t="s">
        <v>407</v>
      </c>
      <c r="C71" t="s">
        <v>394</v>
      </c>
      <c r="D71" s="6">
        <v>2050</v>
      </c>
      <c r="E71" s="8">
        <v>34.019999999999996</v>
      </c>
      <c r="F71" t="s">
        <v>106</v>
      </c>
      <c r="G71" t="s">
        <v>107</v>
      </c>
      <c r="H71" t="s">
        <v>21</v>
      </c>
      <c r="I71" t="s">
        <v>335</v>
      </c>
    </row>
    <row r="72" spans="1:9">
      <c r="A72" t="s">
        <v>110</v>
      </c>
      <c r="B72" t="s">
        <v>407</v>
      </c>
      <c r="C72" t="s">
        <v>156</v>
      </c>
      <c r="D72" s="6">
        <v>2050</v>
      </c>
      <c r="E72" s="8">
        <v>34.019999999999996</v>
      </c>
      <c r="F72" t="s">
        <v>106</v>
      </c>
      <c r="G72" t="s">
        <v>107</v>
      </c>
      <c r="H72" t="s">
        <v>21</v>
      </c>
      <c r="I72" t="s">
        <v>336</v>
      </c>
    </row>
    <row r="73" spans="1:9">
      <c r="A73" t="s">
        <v>110</v>
      </c>
      <c r="B73" t="s">
        <v>407</v>
      </c>
      <c r="C73" t="s">
        <v>157</v>
      </c>
      <c r="D73" s="6">
        <v>2050</v>
      </c>
      <c r="E73" s="8">
        <v>34.019999999999996</v>
      </c>
      <c r="F73" t="s">
        <v>106</v>
      </c>
      <c r="G73" t="s">
        <v>107</v>
      </c>
      <c r="H73" t="s">
        <v>21</v>
      </c>
      <c r="I73" t="s">
        <v>336</v>
      </c>
    </row>
    <row r="74" spans="1:9">
      <c r="A74" t="s">
        <v>110</v>
      </c>
      <c r="B74" t="s">
        <v>398</v>
      </c>
      <c r="C74" t="s">
        <v>150</v>
      </c>
      <c r="D74" s="6">
        <v>2010</v>
      </c>
      <c r="E74" s="49">
        <v>72</v>
      </c>
      <c r="F74" t="s">
        <v>106</v>
      </c>
      <c r="G74" t="s">
        <v>107</v>
      </c>
      <c r="H74" t="s">
        <v>21</v>
      </c>
      <c r="I74" t="s">
        <v>337</v>
      </c>
    </row>
    <row r="75" spans="1:9">
      <c r="A75" t="s">
        <v>110</v>
      </c>
      <c r="B75" t="s">
        <v>398</v>
      </c>
      <c r="C75" t="s">
        <v>151</v>
      </c>
      <c r="D75" s="6">
        <v>2010</v>
      </c>
      <c r="E75" s="49">
        <v>72</v>
      </c>
      <c r="F75" t="s">
        <v>106</v>
      </c>
      <c r="G75" t="s">
        <v>107</v>
      </c>
      <c r="H75" t="s">
        <v>21</v>
      </c>
      <c r="I75" t="s">
        <v>337</v>
      </c>
    </row>
    <row r="76" spans="1:9">
      <c r="A76" t="s">
        <v>110</v>
      </c>
      <c r="B76" t="s">
        <v>398</v>
      </c>
      <c r="C76" t="s">
        <v>152</v>
      </c>
      <c r="D76" s="6">
        <v>2010</v>
      </c>
      <c r="E76" s="49">
        <v>72</v>
      </c>
      <c r="F76" t="s">
        <v>106</v>
      </c>
      <c r="G76" t="s">
        <v>107</v>
      </c>
      <c r="H76" t="s">
        <v>21</v>
      </c>
      <c r="I76" t="s">
        <v>337</v>
      </c>
    </row>
    <row r="77" spans="1:9">
      <c r="A77" t="s">
        <v>110</v>
      </c>
      <c r="B77" t="s">
        <v>398</v>
      </c>
      <c r="C77" t="s">
        <v>392</v>
      </c>
      <c r="D77" s="6">
        <v>2010</v>
      </c>
      <c r="E77" s="49">
        <v>72</v>
      </c>
      <c r="F77" t="s">
        <v>106</v>
      </c>
      <c r="G77" t="s">
        <v>107</v>
      </c>
      <c r="H77" t="s">
        <v>21</v>
      </c>
      <c r="I77" t="s">
        <v>337</v>
      </c>
    </row>
    <row r="78" spans="1:9">
      <c r="A78" t="s">
        <v>110</v>
      </c>
      <c r="B78" t="s">
        <v>398</v>
      </c>
      <c r="C78" t="s">
        <v>393</v>
      </c>
      <c r="D78" s="6">
        <v>2010</v>
      </c>
      <c r="E78" s="49">
        <v>72</v>
      </c>
      <c r="F78" t="s">
        <v>106</v>
      </c>
      <c r="G78" t="s">
        <v>107</v>
      </c>
      <c r="H78" t="s">
        <v>21</v>
      </c>
      <c r="I78" t="s">
        <v>337</v>
      </c>
    </row>
    <row r="79" spans="1:9">
      <c r="A79" t="s">
        <v>110</v>
      </c>
      <c r="B79" t="s">
        <v>398</v>
      </c>
      <c r="C79" t="s">
        <v>394</v>
      </c>
      <c r="D79" s="6">
        <v>2010</v>
      </c>
      <c r="E79" s="49">
        <v>72</v>
      </c>
      <c r="F79" t="s">
        <v>106</v>
      </c>
      <c r="G79" t="s">
        <v>107</v>
      </c>
      <c r="H79" t="s">
        <v>21</v>
      </c>
      <c r="I79" t="s">
        <v>337</v>
      </c>
    </row>
    <row r="80" spans="1:9">
      <c r="A80" t="s">
        <v>110</v>
      </c>
      <c r="B80" t="s">
        <v>398</v>
      </c>
      <c r="C80" t="s">
        <v>156</v>
      </c>
      <c r="D80" s="6">
        <v>2010</v>
      </c>
      <c r="E80" s="49">
        <v>72</v>
      </c>
      <c r="F80" t="s">
        <v>106</v>
      </c>
      <c r="G80" t="s">
        <v>107</v>
      </c>
      <c r="H80" t="s">
        <v>21</v>
      </c>
      <c r="I80" t="s">
        <v>337</v>
      </c>
    </row>
    <row r="81" spans="1:9">
      <c r="A81" t="s">
        <v>110</v>
      </c>
      <c r="B81" t="s">
        <v>398</v>
      </c>
      <c r="C81" t="s">
        <v>157</v>
      </c>
      <c r="D81" s="6">
        <v>2010</v>
      </c>
      <c r="E81" s="49">
        <v>72</v>
      </c>
      <c r="F81" t="s">
        <v>106</v>
      </c>
      <c r="G81" t="s">
        <v>107</v>
      </c>
      <c r="H81" t="s">
        <v>21</v>
      </c>
      <c r="I81" t="s">
        <v>337</v>
      </c>
    </row>
    <row r="82" spans="1:9">
      <c r="A82" t="s">
        <v>110</v>
      </c>
      <c r="B82" t="s">
        <v>398</v>
      </c>
      <c r="C82" t="s">
        <v>150</v>
      </c>
      <c r="D82" s="6">
        <v>2030</v>
      </c>
      <c r="E82" s="8">
        <v>53.999999999999993</v>
      </c>
      <c r="F82" t="s">
        <v>106</v>
      </c>
      <c r="G82" t="s">
        <v>107</v>
      </c>
      <c r="H82" t="s">
        <v>21</v>
      </c>
      <c r="I82" t="s">
        <v>337</v>
      </c>
    </row>
    <row r="83" spans="1:9">
      <c r="A83" t="s">
        <v>110</v>
      </c>
      <c r="B83" t="s">
        <v>398</v>
      </c>
      <c r="C83" t="s">
        <v>151</v>
      </c>
      <c r="D83" s="6">
        <v>2030</v>
      </c>
      <c r="E83" s="8">
        <v>53.999999999999993</v>
      </c>
      <c r="F83" t="s">
        <v>106</v>
      </c>
      <c r="G83" t="s">
        <v>107</v>
      </c>
      <c r="H83" t="s">
        <v>21</v>
      </c>
      <c r="I83" t="s">
        <v>337</v>
      </c>
    </row>
    <row r="84" spans="1:9">
      <c r="A84" t="s">
        <v>110</v>
      </c>
      <c r="B84" t="s">
        <v>398</v>
      </c>
      <c r="C84" t="s">
        <v>152</v>
      </c>
      <c r="D84" s="6">
        <v>2030</v>
      </c>
      <c r="E84" s="8">
        <v>53.999999999999993</v>
      </c>
      <c r="F84" t="s">
        <v>106</v>
      </c>
      <c r="G84" t="s">
        <v>107</v>
      </c>
      <c r="H84" t="s">
        <v>21</v>
      </c>
      <c r="I84" t="s">
        <v>337</v>
      </c>
    </row>
    <row r="85" spans="1:9">
      <c r="A85" t="s">
        <v>110</v>
      </c>
      <c r="B85" t="s">
        <v>398</v>
      </c>
      <c r="C85" t="s">
        <v>392</v>
      </c>
      <c r="D85" s="6">
        <v>2030</v>
      </c>
      <c r="E85" s="8">
        <v>53.999999999999993</v>
      </c>
      <c r="F85" t="s">
        <v>106</v>
      </c>
      <c r="G85" t="s">
        <v>107</v>
      </c>
      <c r="H85" t="s">
        <v>21</v>
      </c>
      <c r="I85" t="s">
        <v>337</v>
      </c>
    </row>
    <row r="86" spans="1:9">
      <c r="A86" t="s">
        <v>110</v>
      </c>
      <c r="B86" t="s">
        <v>398</v>
      </c>
      <c r="C86" t="s">
        <v>393</v>
      </c>
      <c r="D86" s="6">
        <v>2030</v>
      </c>
      <c r="E86" s="8">
        <v>53.999999999999993</v>
      </c>
      <c r="F86" t="s">
        <v>106</v>
      </c>
      <c r="G86" t="s">
        <v>107</v>
      </c>
      <c r="H86" t="s">
        <v>21</v>
      </c>
      <c r="I86" t="s">
        <v>337</v>
      </c>
    </row>
    <row r="87" spans="1:9">
      <c r="A87" t="s">
        <v>110</v>
      </c>
      <c r="B87" t="s">
        <v>398</v>
      </c>
      <c r="C87" t="s">
        <v>394</v>
      </c>
      <c r="D87" s="6">
        <v>2030</v>
      </c>
      <c r="E87" s="8">
        <v>53.999999999999993</v>
      </c>
      <c r="F87" t="s">
        <v>106</v>
      </c>
      <c r="G87" t="s">
        <v>107</v>
      </c>
      <c r="H87" t="s">
        <v>21</v>
      </c>
      <c r="I87" t="s">
        <v>337</v>
      </c>
    </row>
    <row r="88" spans="1:9">
      <c r="A88" t="s">
        <v>110</v>
      </c>
      <c r="B88" t="s">
        <v>398</v>
      </c>
      <c r="C88" t="s">
        <v>156</v>
      </c>
      <c r="D88" s="6">
        <v>2030</v>
      </c>
      <c r="E88" s="8">
        <v>53.999999999999993</v>
      </c>
      <c r="F88" t="s">
        <v>106</v>
      </c>
      <c r="G88" t="s">
        <v>107</v>
      </c>
      <c r="H88" t="s">
        <v>21</v>
      </c>
      <c r="I88" t="s">
        <v>337</v>
      </c>
    </row>
    <row r="89" spans="1:9">
      <c r="A89" t="s">
        <v>110</v>
      </c>
      <c r="B89" t="s">
        <v>398</v>
      </c>
      <c r="C89" t="s">
        <v>157</v>
      </c>
      <c r="D89" s="6">
        <v>2030</v>
      </c>
      <c r="E89" s="8">
        <v>53.999999999999993</v>
      </c>
      <c r="F89" t="s">
        <v>106</v>
      </c>
      <c r="G89" t="s">
        <v>107</v>
      </c>
      <c r="H89" t="s">
        <v>21</v>
      </c>
      <c r="I89" t="s">
        <v>337</v>
      </c>
    </row>
    <row r="90" spans="1:9">
      <c r="A90" t="s">
        <v>110</v>
      </c>
      <c r="B90" t="s">
        <v>398</v>
      </c>
      <c r="C90" t="s">
        <v>150</v>
      </c>
      <c r="D90" s="6">
        <v>2050</v>
      </c>
      <c r="E90" s="8">
        <v>48.599999999999994</v>
      </c>
      <c r="F90" t="s">
        <v>106</v>
      </c>
      <c r="G90" t="s">
        <v>107</v>
      </c>
      <c r="H90" t="s">
        <v>21</v>
      </c>
      <c r="I90" t="s">
        <v>337</v>
      </c>
    </row>
    <row r="91" spans="1:9">
      <c r="A91" t="s">
        <v>110</v>
      </c>
      <c r="B91" t="s">
        <v>398</v>
      </c>
      <c r="C91" t="s">
        <v>151</v>
      </c>
      <c r="D91" s="6">
        <v>2050</v>
      </c>
      <c r="E91" s="8">
        <v>48.599999999999994</v>
      </c>
      <c r="F91" t="s">
        <v>106</v>
      </c>
      <c r="G91" t="s">
        <v>107</v>
      </c>
      <c r="H91" t="s">
        <v>21</v>
      </c>
      <c r="I91" t="s">
        <v>337</v>
      </c>
    </row>
    <row r="92" spans="1:9">
      <c r="A92" t="s">
        <v>110</v>
      </c>
      <c r="B92" t="s">
        <v>398</v>
      </c>
      <c r="C92" t="s">
        <v>152</v>
      </c>
      <c r="D92" s="6">
        <v>2050</v>
      </c>
      <c r="E92" s="8">
        <v>48.599999999999994</v>
      </c>
      <c r="F92" t="s">
        <v>106</v>
      </c>
      <c r="G92" t="s">
        <v>107</v>
      </c>
      <c r="H92" t="s">
        <v>21</v>
      </c>
      <c r="I92" t="s">
        <v>337</v>
      </c>
    </row>
    <row r="93" spans="1:9">
      <c r="A93" t="s">
        <v>110</v>
      </c>
      <c r="B93" t="s">
        <v>398</v>
      </c>
      <c r="C93" t="s">
        <v>392</v>
      </c>
      <c r="D93" s="6">
        <v>2050</v>
      </c>
      <c r="E93" s="8">
        <v>48.599999999999994</v>
      </c>
      <c r="F93" t="s">
        <v>106</v>
      </c>
      <c r="G93" t="s">
        <v>107</v>
      </c>
      <c r="H93" t="s">
        <v>21</v>
      </c>
      <c r="I93" t="s">
        <v>337</v>
      </c>
    </row>
    <row r="94" spans="1:9">
      <c r="A94" t="s">
        <v>110</v>
      </c>
      <c r="B94" t="s">
        <v>398</v>
      </c>
      <c r="C94" t="s">
        <v>393</v>
      </c>
      <c r="D94" s="6">
        <v>2050</v>
      </c>
      <c r="E94" s="8">
        <v>48.599999999999994</v>
      </c>
      <c r="F94" t="s">
        <v>106</v>
      </c>
      <c r="G94" t="s">
        <v>107</v>
      </c>
      <c r="H94" t="s">
        <v>21</v>
      </c>
      <c r="I94" t="s">
        <v>337</v>
      </c>
    </row>
    <row r="95" spans="1:9">
      <c r="A95" t="s">
        <v>110</v>
      </c>
      <c r="B95" t="s">
        <v>398</v>
      </c>
      <c r="C95" t="s">
        <v>394</v>
      </c>
      <c r="D95" s="6">
        <v>2050</v>
      </c>
      <c r="E95" s="8">
        <v>48.599999999999994</v>
      </c>
      <c r="F95" t="s">
        <v>106</v>
      </c>
      <c r="G95" t="s">
        <v>107</v>
      </c>
      <c r="H95" t="s">
        <v>21</v>
      </c>
      <c r="I95" t="s">
        <v>337</v>
      </c>
    </row>
    <row r="96" spans="1:9">
      <c r="A96" t="s">
        <v>110</v>
      </c>
      <c r="B96" t="s">
        <v>398</v>
      </c>
      <c r="C96" t="s">
        <v>156</v>
      </c>
      <c r="D96" s="6">
        <v>2050</v>
      </c>
      <c r="E96" s="8">
        <v>48.599999999999994</v>
      </c>
      <c r="F96" t="s">
        <v>106</v>
      </c>
      <c r="G96" t="s">
        <v>107</v>
      </c>
      <c r="H96" t="s">
        <v>21</v>
      </c>
      <c r="I96" t="s">
        <v>337</v>
      </c>
    </row>
    <row r="97" spans="1:9">
      <c r="A97" t="s">
        <v>110</v>
      </c>
      <c r="B97" t="s">
        <v>398</v>
      </c>
      <c r="C97" t="s">
        <v>157</v>
      </c>
      <c r="D97" s="6">
        <v>2050</v>
      </c>
      <c r="E97" s="8">
        <v>48.599999999999994</v>
      </c>
      <c r="F97" t="s">
        <v>106</v>
      </c>
      <c r="G97" t="s">
        <v>107</v>
      </c>
      <c r="H97" t="s">
        <v>21</v>
      </c>
      <c r="I97" t="s">
        <v>337</v>
      </c>
    </row>
    <row r="98" spans="1:9">
      <c r="A98" t="s">
        <v>109</v>
      </c>
      <c r="B98" t="s">
        <v>397</v>
      </c>
      <c r="C98" t="s">
        <v>150</v>
      </c>
      <c r="D98" s="6">
        <v>2010</v>
      </c>
      <c r="E98" s="8">
        <v>5.1899999999999995</v>
      </c>
      <c r="F98" t="s">
        <v>106</v>
      </c>
      <c r="G98" t="s">
        <v>107</v>
      </c>
      <c r="H98" t="s">
        <v>21</v>
      </c>
      <c r="I98" t="s">
        <v>338</v>
      </c>
    </row>
    <row r="99" spans="1:9">
      <c r="A99" t="s">
        <v>109</v>
      </c>
      <c r="B99" t="s">
        <v>397</v>
      </c>
      <c r="C99" t="s">
        <v>151</v>
      </c>
      <c r="D99" s="6">
        <v>2010</v>
      </c>
      <c r="E99" s="8">
        <v>8.3039999999999985</v>
      </c>
      <c r="F99" t="s">
        <v>106</v>
      </c>
      <c r="G99" t="s">
        <v>107</v>
      </c>
      <c r="H99" t="s">
        <v>21</v>
      </c>
      <c r="I99" t="s">
        <v>338</v>
      </c>
    </row>
    <row r="100" spans="1:9">
      <c r="A100" t="s">
        <v>109</v>
      </c>
      <c r="B100" t="s">
        <v>397</v>
      </c>
      <c r="C100" t="s">
        <v>152</v>
      </c>
      <c r="D100" s="6">
        <v>2010</v>
      </c>
      <c r="E100" s="8">
        <v>12.11</v>
      </c>
      <c r="F100" t="s">
        <v>106</v>
      </c>
      <c r="G100" t="s">
        <v>107</v>
      </c>
      <c r="H100" t="s">
        <v>21</v>
      </c>
      <c r="I100" t="s">
        <v>338</v>
      </c>
    </row>
    <row r="101" spans="1:9">
      <c r="A101" t="s">
        <v>109</v>
      </c>
      <c r="B101" t="s">
        <v>397</v>
      </c>
      <c r="C101" t="s">
        <v>392</v>
      </c>
      <c r="D101" s="6">
        <v>2010</v>
      </c>
      <c r="E101" s="8">
        <v>12.11</v>
      </c>
      <c r="F101" t="s">
        <v>106</v>
      </c>
      <c r="G101" t="s">
        <v>107</v>
      </c>
      <c r="H101" t="s">
        <v>21</v>
      </c>
      <c r="I101" t="s">
        <v>338</v>
      </c>
    </row>
    <row r="102" spans="1:9">
      <c r="A102" t="s">
        <v>109</v>
      </c>
      <c r="B102" t="s">
        <v>397</v>
      </c>
      <c r="C102" t="s">
        <v>393</v>
      </c>
      <c r="D102" s="6">
        <v>2010</v>
      </c>
      <c r="E102" s="8">
        <v>12.11</v>
      </c>
      <c r="F102" t="s">
        <v>106</v>
      </c>
      <c r="G102" t="s">
        <v>107</v>
      </c>
      <c r="H102" t="s">
        <v>21</v>
      </c>
      <c r="I102" t="s">
        <v>338</v>
      </c>
    </row>
    <row r="103" spans="1:9">
      <c r="A103" t="s">
        <v>109</v>
      </c>
      <c r="B103" t="s">
        <v>397</v>
      </c>
      <c r="C103" t="s">
        <v>394</v>
      </c>
      <c r="D103" s="6">
        <v>2010</v>
      </c>
      <c r="E103" s="8">
        <v>12.11</v>
      </c>
      <c r="F103" t="s">
        <v>106</v>
      </c>
      <c r="G103" t="s">
        <v>107</v>
      </c>
      <c r="H103" t="s">
        <v>21</v>
      </c>
      <c r="I103" t="s">
        <v>338</v>
      </c>
    </row>
    <row r="104" spans="1:9">
      <c r="A104" t="s">
        <v>109</v>
      </c>
      <c r="B104" t="s">
        <v>397</v>
      </c>
      <c r="C104" t="s">
        <v>156</v>
      </c>
      <c r="D104" s="6">
        <v>2010</v>
      </c>
      <c r="E104" s="8">
        <v>7.2659999999999991</v>
      </c>
      <c r="F104" t="s">
        <v>106</v>
      </c>
      <c r="G104" t="s">
        <v>107</v>
      </c>
      <c r="H104" t="s">
        <v>21</v>
      </c>
      <c r="I104" t="s">
        <v>338</v>
      </c>
    </row>
    <row r="105" spans="1:9">
      <c r="A105" t="s">
        <v>109</v>
      </c>
      <c r="B105" t="s">
        <v>397</v>
      </c>
      <c r="C105" t="s">
        <v>157</v>
      </c>
      <c r="D105" s="6">
        <v>2010</v>
      </c>
      <c r="E105" s="8">
        <v>7.9579999999999993</v>
      </c>
      <c r="F105" t="s">
        <v>106</v>
      </c>
      <c r="G105" t="s">
        <v>107</v>
      </c>
      <c r="H105" t="s">
        <v>21</v>
      </c>
      <c r="I105" t="s">
        <v>338</v>
      </c>
    </row>
    <row r="106" spans="1:9">
      <c r="A106" t="s">
        <v>109</v>
      </c>
      <c r="B106" t="s">
        <v>397</v>
      </c>
      <c r="C106" t="s">
        <v>150</v>
      </c>
      <c r="D106" s="6">
        <v>2030</v>
      </c>
      <c r="E106" s="8">
        <v>4.4979999999999993</v>
      </c>
      <c r="F106" t="s">
        <v>106</v>
      </c>
      <c r="G106" t="s">
        <v>107</v>
      </c>
      <c r="H106" t="s">
        <v>21</v>
      </c>
      <c r="I106" t="s">
        <v>338</v>
      </c>
    </row>
    <row r="107" spans="1:9">
      <c r="A107" t="s">
        <v>109</v>
      </c>
      <c r="B107" t="s">
        <v>397</v>
      </c>
      <c r="C107" t="s">
        <v>151</v>
      </c>
      <c r="D107" s="6">
        <v>2030</v>
      </c>
      <c r="E107" s="8">
        <v>6.92</v>
      </c>
      <c r="F107" t="s">
        <v>106</v>
      </c>
      <c r="G107" t="s">
        <v>107</v>
      </c>
      <c r="H107" t="s">
        <v>21</v>
      </c>
      <c r="I107" t="s">
        <v>338</v>
      </c>
    </row>
    <row r="108" spans="1:9">
      <c r="A108" t="s">
        <v>109</v>
      </c>
      <c r="B108" t="s">
        <v>397</v>
      </c>
      <c r="C108" t="s">
        <v>152</v>
      </c>
      <c r="D108" s="6">
        <v>2030</v>
      </c>
      <c r="E108" s="8">
        <v>7.9579999999999993</v>
      </c>
      <c r="F108" t="s">
        <v>106</v>
      </c>
      <c r="G108" t="s">
        <v>107</v>
      </c>
      <c r="H108" t="s">
        <v>21</v>
      </c>
      <c r="I108" t="s">
        <v>338</v>
      </c>
    </row>
    <row r="109" spans="1:9">
      <c r="A109" t="s">
        <v>109</v>
      </c>
      <c r="B109" t="s">
        <v>397</v>
      </c>
      <c r="C109" t="s">
        <v>392</v>
      </c>
      <c r="D109" s="6">
        <v>2030</v>
      </c>
      <c r="E109" s="8">
        <v>7.9579999999999993</v>
      </c>
      <c r="F109" t="s">
        <v>106</v>
      </c>
      <c r="G109" t="s">
        <v>107</v>
      </c>
      <c r="H109" t="s">
        <v>21</v>
      </c>
      <c r="I109" t="s">
        <v>338</v>
      </c>
    </row>
    <row r="110" spans="1:9">
      <c r="A110" t="s">
        <v>109</v>
      </c>
      <c r="B110" t="s">
        <v>397</v>
      </c>
      <c r="C110" t="s">
        <v>393</v>
      </c>
      <c r="D110" s="6">
        <v>2030</v>
      </c>
      <c r="E110" s="8">
        <v>7.9579999999999993</v>
      </c>
      <c r="F110" t="s">
        <v>106</v>
      </c>
      <c r="G110" t="s">
        <v>107</v>
      </c>
      <c r="H110" t="s">
        <v>21</v>
      </c>
      <c r="I110" t="s">
        <v>338</v>
      </c>
    </row>
    <row r="111" spans="1:9">
      <c r="A111" t="s">
        <v>109</v>
      </c>
      <c r="B111" t="s">
        <v>397</v>
      </c>
      <c r="C111" t="s">
        <v>394</v>
      </c>
      <c r="D111" s="6">
        <v>2030</v>
      </c>
      <c r="E111" s="8">
        <v>7.9579999999999993</v>
      </c>
      <c r="F111" t="s">
        <v>106</v>
      </c>
      <c r="G111" t="s">
        <v>107</v>
      </c>
      <c r="H111" t="s">
        <v>21</v>
      </c>
      <c r="I111" t="s">
        <v>338</v>
      </c>
    </row>
    <row r="112" spans="1:9">
      <c r="A112" t="s">
        <v>109</v>
      </c>
      <c r="B112" t="s">
        <v>397</v>
      </c>
      <c r="C112" t="s">
        <v>156</v>
      </c>
      <c r="D112" s="6">
        <v>2030</v>
      </c>
      <c r="E112" s="8">
        <v>6.2279999999999998</v>
      </c>
      <c r="F112" t="s">
        <v>106</v>
      </c>
      <c r="G112" t="s">
        <v>107</v>
      </c>
      <c r="H112" t="s">
        <v>21</v>
      </c>
      <c r="I112" t="s">
        <v>338</v>
      </c>
    </row>
    <row r="113" spans="1:11">
      <c r="A113" t="s">
        <v>109</v>
      </c>
      <c r="B113" t="s">
        <v>397</v>
      </c>
      <c r="C113" t="s">
        <v>157</v>
      </c>
      <c r="D113" s="6">
        <v>2030</v>
      </c>
      <c r="E113" s="8">
        <v>6.92</v>
      </c>
      <c r="F113" t="s">
        <v>106</v>
      </c>
      <c r="G113" t="s">
        <v>107</v>
      </c>
      <c r="H113" t="s">
        <v>21</v>
      </c>
      <c r="I113" t="s">
        <v>338</v>
      </c>
    </row>
    <row r="114" spans="1:11">
      <c r="A114" t="s">
        <v>109</v>
      </c>
      <c r="B114" t="s">
        <v>397</v>
      </c>
      <c r="C114" t="s">
        <v>150</v>
      </c>
      <c r="D114" s="6">
        <v>2050</v>
      </c>
      <c r="E114" s="8">
        <v>3.8059999999999996</v>
      </c>
      <c r="F114" t="s">
        <v>106</v>
      </c>
      <c r="G114" t="s">
        <v>107</v>
      </c>
      <c r="H114" t="s">
        <v>21</v>
      </c>
      <c r="I114" t="s">
        <v>338</v>
      </c>
    </row>
    <row r="115" spans="1:11">
      <c r="A115" t="s">
        <v>109</v>
      </c>
      <c r="B115" t="s">
        <v>397</v>
      </c>
      <c r="C115" t="s">
        <v>151</v>
      </c>
      <c r="D115" s="6">
        <v>2050</v>
      </c>
      <c r="E115" s="8">
        <v>5.8819999999999997</v>
      </c>
      <c r="F115" t="s">
        <v>106</v>
      </c>
      <c r="G115" t="s">
        <v>107</v>
      </c>
      <c r="H115" t="s">
        <v>21</v>
      </c>
      <c r="I115" t="s">
        <v>338</v>
      </c>
    </row>
    <row r="116" spans="1:11">
      <c r="A116" t="s">
        <v>109</v>
      </c>
      <c r="B116" t="s">
        <v>397</v>
      </c>
      <c r="C116" t="s">
        <v>152</v>
      </c>
      <c r="D116" s="6">
        <v>2050</v>
      </c>
      <c r="E116" s="8">
        <v>6.92</v>
      </c>
      <c r="F116" t="s">
        <v>106</v>
      </c>
      <c r="G116" t="s">
        <v>107</v>
      </c>
      <c r="H116" t="s">
        <v>21</v>
      </c>
      <c r="I116" t="s">
        <v>338</v>
      </c>
    </row>
    <row r="117" spans="1:11">
      <c r="A117" t="s">
        <v>109</v>
      </c>
      <c r="B117" t="s">
        <v>397</v>
      </c>
      <c r="C117" t="s">
        <v>392</v>
      </c>
      <c r="D117" s="6">
        <v>2050</v>
      </c>
      <c r="E117" s="8">
        <v>6.92</v>
      </c>
      <c r="F117" t="s">
        <v>106</v>
      </c>
      <c r="G117" t="s">
        <v>107</v>
      </c>
      <c r="H117" t="s">
        <v>21</v>
      </c>
      <c r="I117" t="s">
        <v>338</v>
      </c>
      <c r="K117" s="95"/>
    </row>
    <row r="118" spans="1:11">
      <c r="A118" t="s">
        <v>109</v>
      </c>
      <c r="B118" t="s">
        <v>397</v>
      </c>
      <c r="C118" t="s">
        <v>393</v>
      </c>
      <c r="D118" s="6">
        <v>2050</v>
      </c>
      <c r="E118" s="8">
        <v>6.92</v>
      </c>
      <c r="F118" t="s">
        <v>106</v>
      </c>
      <c r="G118" t="s">
        <v>107</v>
      </c>
      <c r="H118" t="s">
        <v>21</v>
      </c>
      <c r="I118" t="s">
        <v>338</v>
      </c>
    </row>
    <row r="119" spans="1:11">
      <c r="A119" t="s">
        <v>109</v>
      </c>
      <c r="B119" t="s">
        <v>397</v>
      </c>
      <c r="C119" t="s">
        <v>394</v>
      </c>
      <c r="D119" s="6">
        <v>2050</v>
      </c>
      <c r="E119" s="8">
        <v>6.92</v>
      </c>
      <c r="F119" t="s">
        <v>106</v>
      </c>
      <c r="G119" t="s">
        <v>107</v>
      </c>
      <c r="H119" t="s">
        <v>21</v>
      </c>
      <c r="I119" t="s">
        <v>338</v>
      </c>
    </row>
    <row r="120" spans="1:11">
      <c r="A120" t="s">
        <v>109</v>
      </c>
      <c r="B120" t="s">
        <v>397</v>
      </c>
      <c r="C120" t="s">
        <v>156</v>
      </c>
      <c r="D120" s="6">
        <v>2050</v>
      </c>
      <c r="E120" s="8">
        <v>5.1899999999999995</v>
      </c>
      <c r="F120" t="s">
        <v>106</v>
      </c>
      <c r="G120" t="s">
        <v>107</v>
      </c>
      <c r="H120" t="s">
        <v>21</v>
      </c>
      <c r="I120" t="s">
        <v>338</v>
      </c>
    </row>
    <row r="121" spans="1:11">
      <c r="A121" t="s">
        <v>109</v>
      </c>
      <c r="B121" t="s">
        <v>397</v>
      </c>
      <c r="C121" t="s">
        <v>157</v>
      </c>
      <c r="D121" s="6">
        <v>2050</v>
      </c>
      <c r="E121" s="8">
        <v>5.5359999999999996</v>
      </c>
      <c r="F121" t="s">
        <v>106</v>
      </c>
      <c r="G121" t="s">
        <v>107</v>
      </c>
      <c r="H121" t="s">
        <v>21</v>
      </c>
      <c r="I121" t="s">
        <v>338</v>
      </c>
    </row>
    <row r="122" spans="1:11">
      <c r="A122" t="s">
        <v>109</v>
      </c>
      <c r="B122" t="s">
        <v>408</v>
      </c>
      <c r="C122" t="s">
        <v>150</v>
      </c>
      <c r="D122" s="6">
        <v>2010</v>
      </c>
      <c r="E122" s="8">
        <v>581.28</v>
      </c>
      <c r="F122" t="s">
        <v>106</v>
      </c>
      <c r="G122" t="s">
        <v>107</v>
      </c>
      <c r="H122" t="s">
        <v>21</v>
      </c>
      <c r="I122" t="s">
        <v>339</v>
      </c>
    </row>
    <row r="123" spans="1:11">
      <c r="A123" t="s">
        <v>109</v>
      </c>
      <c r="B123" t="s">
        <v>408</v>
      </c>
      <c r="C123" t="s">
        <v>151</v>
      </c>
      <c r="D123" s="6">
        <v>2010</v>
      </c>
      <c r="E123" s="8">
        <v>581.28</v>
      </c>
      <c r="F123" t="s">
        <v>106</v>
      </c>
      <c r="G123" t="s">
        <v>107</v>
      </c>
      <c r="H123" t="s">
        <v>21</v>
      </c>
      <c r="I123" t="s">
        <v>339</v>
      </c>
    </row>
    <row r="124" spans="1:11">
      <c r="A124" t="s">
        <v>109</v>
      </c>
      <c r="B124" t="s">
        <v>408</v>
      </c>
      <c r="C124" t="s">
        <v>152</v>
      </c>
      <c r="D124" s="6">
        <v>2010</v>
      </c>
      <c r="E124" s="8">
        <v>581.28</v>
      </c>
      <c r="F124" t="s">
        <v>106</v>
      </c>
      <c r="G124" t="s">
        <v>107</v>
      </c>
      <c r="H124" t="s">
        <v>21</v>
      </c>
      <c r="I124" t="s">
        <v>339</v>
      </c>
    </row>
    <row r="125" spans="1:11">
      <c r="A125" t="s">
        <v>109</v>
      </c>
      <c r="B125" t="s">
        <v>408</v>
      </c>
      <c r="C125" t="s">
        <v>392</v>
      </c>
      <c r="D125" s="6">
        <v>2010</v>
      </c>
      <c r="E125" s="8">
        <v>581.28</v>
      </c>
      <c r="F125" t="s">
        <v>106</v>
      </c>
      <c r="G125" t="s">
        <v>107</v>
      </c>
      <c r="H125" t="s">
        <v>21</v>
      </c>
      <c r="I125" t="s">
        <v>339</v>
      </c>
    </row>
    <row r="126" spans="1:11">
      <c r="A126" t="s">
        <v>109</v>
      </c>
      <c r="B126" t="s">
        <v>408</v>
      </c>
      <c r="C126" t="s">
        <v>393</v>
      </c>
      <c r="D126" s="6">
        <v>2010</v>
      </c>
      <c r="E126" s="8">
        <v>581.28</v>
      </c>
      <c r="F126" t="s">
        <v>106</v>
      </c>
      <c r="G126" t="s">
        <v>107</v>
      </c>
      <c r="H126" t="s">
        <v>21</v>
      </c>
      <c r="I126" t="s">
        <v>339</v>
      </c>
    </row>
    <row r="127" spans="1:11">
      <c r="A127" t="s">
        <v>109</v>
      </c>
      <c r="B127" t="s">
        <v>408</v>
      </c>
      <c r="C127" t="s">
        <v>394</v>
      </c>
      <c r="D127" s="6">
        <v>2010</v>
      </c>
      <c r="E127" s="8">
        <v>581.28</v>
      </c>
      <c r="F127" t="s">
        <v>106</v>
      </c>
      <c r="G127" t="s">
        <v>107</v>
      </c>
      <c r="H127" t="s">
        <v>21</v>
      </c>
      <c r="I127" t="s">
        <v>339</v>
      </c>
    </row>
    <row r="128" spans="1:11">
      <c r="A128" t="s">
        <v>109</v>
      </c>
      <c r="B128" t="s">
        <v>408</v>
      </c>
      <c r="C128" t="s">
        <v>156</v>
      </c>
      <c r="D128" s="6">
        <v>2010</v>
      </c>
      <c r="E128" s="8">
        <v>581.28</v>
      </c>
      <c r="F128" t="s">
        <v>106</v>
      </c>
      <c r="G128" t="s">
        <v>107</v>
      </c>
      <c r="H128" t="s">
        <v>21</v>
      </c>
      <c r="I128" t="s">
        <v>339</v>
      </c>
    </row>
    <row r="129" spans="1:9">
      <c r="A129" t="s">
        <v>109</v>
      </c>
      <c r="B129" t="s">
        <v>408</v>
      </c>
      <c r="C129" t="s">
        <v>157</v>
      </c>
      <c r="D129" s="6">
        <v>2010</v>
      </c>
      <c r="E129" s="8">
        <v>581.28</v>
      </c>
      <c r="F129" t="s">
        <v>106</v>
      </c>
      <c r="G129" t="s">
        <v>107</v>
      </c>
      <c r="H129" t="s">
        <v>21</v>
      </c>
      <c r="I129" t="s">
        <v>339</v>
      </c>
    </row>
    <row r="130" spans="1:9">
      <c r="A130" t="s">
        <v>109</v>
      </c>
      <c r="B130" t="s">
        <v>408</v>
      </c>
      <c r="C130" t="s">
        <v>150</v>
      </c>
      <c r="D130" s="6">
        <v>2030</v>
      </c>
      <c r="E130" s="8">
        <v>523.15199999999993</v>
      </c>
      <c r="F130" t="s">
        <v>106</v>
      </c>
      <c r="G130" t="s">
        <v>107</v>
      </c>
      <c r="H130" t="s">
        <v>21</v>
      </c>
      <c r="I130" t="s">
        <v>339</v>
      </c>
    </row>
    <row r="131" spans="1:9">
      <c r="A131" t="s">
        <v>109</v>
      </c>
      <c r="B131" t="s">
        <v>408</v>
      </c>
      <c r="C131" t="s">
        <v>151</v>
      </c>
      <c r="D131" s="6">
        <v>2030</v>
      </c>
      <c r="E131" s="8">
        <v>523.15199999999993</v>
      </c>
      <c r="F131" t="s">
        <v>106</v>
      </c>
      <c r="G131" t="s">
        <v>107</v>
      </c>
      <c r="H131" t="s">
        <v>21</v>
      </c>
      <c r="I131" t="s">
        <v>339</v>
      </c>
    </row>
    <row r="132" spans="1:9">
      <c r="A132" t="s">
        <v>109</v>
      </c>
      <c r="B132" t="s">
        <v>408</v>
      </c>
      <c r="C132" t="s">
        <v>152</v>
      </c>
      <c r="D132" s="6">
        <v>2030</v>
      </c>
      <c r="E132" s="8">
        <v>523.15199999999993</v>
      </c>
      <c r="F132" t="s">
        <v>106</v>
      </c>
      <c r="G132" t="s">
        <v>107</v>
      </c>
      <c r="H132" t="s">
        <v>21</v>
      </c>
      <c r="I132" t="s">
        <v>339</v>
      </c>
    </row>
    <row r="133" spans="1:9">
      <c r="A133" t="s">
        <v>109</v>
      </c>
      <c r="B133" t="s">
        <v>408</v>
      </c>
      <c r="C133" t="s">
        <v>392</v>
      </c>
      <c r="D133" s="6">
        <v>2030</v>
      </c>
      <c r="E133" s="8">
        <v>523.15199999999993</v>
      </c>
      <c r="F133" t="s">
        <v>106</v>
      </c>
      <c r="G133" t="s">
        <v>107</v>
      </c>
      <c r="H133" t="s">
        <v>21</v>
      </c>
      <c r="I133" t="s">
        <v>339</v>
      </c>
    </row>
    <row r="134" spans="1:9">
      <c r="A134" t="s">
        <v>109</v>
      </c>
      <c r="B134" t="s">
        <v>408</v>
      </c>
      <c r="C134" t="s">
        <v>393</v>
      </c>
      <c r="D134" s="6">
        <v>2030</v>
      </c>
      <c r="E134" s="8">
        <v>523.15199999999993</v>
      </c>
      <c r="F134" t="s">
        <v>106</v>
      </c>
      <c r="G134" t="s">
        <v>107</v>
      </c>
      <c r="H134" t="s">
        <v>21</v>
      </c>
      <c r="I134" t="s">
        <v>339</v>
      </c>
    </row>
    <row r="135" spans="1:9">
      <c r="A135" t="s">
        <v>109</v>
      </c>
      <c r="B135" t="s">
        <v>408</v>
      </c>
      <c r="C135" t="s">
        <v>394</v>
      </c>
      <c r="D135" s="6">
        <v>2030</v>
      </c>
      <c r="E135" s="8">
        <v>523.15199999999993</v>
      </c>
      <c r="F135" t="s">
        <v>106</v>
      </c>
      <c r="G135" t="s">
        <v>107</v>
      </c>
      <c r="H135" t="s">
        <v>21</v>
      </c>
      <c r="I135" t="s">
        <v>339</v>
      </c>
    </row>
    <row r="136" spans="1:9">
      <c r="A136" t="s">
        <v>109</v>
      </c>
      <c r="B136" t="s">
        <v>408</v>
      </c>
      <c r="C136" t="s">
        <v>156</v>
      </c>
      <c r="D136" s="6">
        <v>2030</v>
      </c>
      <c r="E136" s="8">
        <v>523.15199999999993</v>
      </c>
      <c r="F136" t="s">
        <v>106</v>
      </c>
      <c r="G136" t="s">
        <v>107</v>
      </c>
      <c r="H136" t="s">
        <v>21</v>
      </c>
      <c r="I136" t="s">
        <v>339</v>
      </c>
    </row>
    <row r="137" spans="1:9">
      <c r="A137" t="s">
        <v>109</v>
      </c>
      <c r="B137" t="s">
        <v>408</v>
      </c>
      <c r="C137" t="s">
        <v>157</v>
      </c>
      <c r="D137" s="6">
        <v>2030</v>
      </c>
      <c r="E137" s="8">
        <v>523.15199999999993</v>
      </c>
      <c r="F137" t="s">
        <v>106</v>
      </c>
      <c r="G137" t="s">
        <v>107</v>
      </c>
      <c r="H137" t="s">
        <v>21</v>
      </c>
      <c r="I137" t="s">
        <v>339</v>
      </c>
    </row>
    <row r="138" spans="1:9">
      <c r="A138" t="s">
        <v>109</v>
      </c>
      <c r="B138" t="s">
        <v>408</v>
      </c>
      <c r="C138" t="s">
        <v>150</v>
      </c>
      <c r="D138" s="6">
        <v>2050</v>
      </c>
      <c r="E138" s="8">
        <v>465.02399999999994</v>
      </c>
      <c r="F138" t="s">
        <v>106</v>
      </c>
      <c r="G138" t="s">
        <v>107</v>
      </c>
      <c r="H138" t="s">
        <v>21</v>
      </c>
      <c r="I138" t="s">
        <v>339</v>
      </c>
    </row>
    <row r="139" spans="1:9">
      <c r="A139" t="s">
        <v>109</v>
      </c>
      <c r="B139" t="s">
        <v>408</v>
      </c>
      <c r="C139" t="s">
        <v>151</v>
      </c>
      <c r="D139" s="6">
        <v>2050</v>
      </c>
      <c r="E139" s="8">
        <v>465.02399999999994</v>
      </c>
      <c r="F139" t="s">
        <v>106</v>
      </c>
      <c r="G139" t="s">
        <v>107</v>
      </c>
      <c r="H139" t="s">
        <v>21</v>
      </c>
      <c r="I139" t="s">
        <v>339</v>
      </c>
    </row>
    <row r="140" spans="1:9">
      <c r="A140" t="s">
        <v>109</v>
      </c>
      <c r="B140" t="s">
        <v>408</v>
      </c>
      <c r="C140" t="s">
        <v>152</v>
      </c>
      <c r="D140" s="6">
        <v>2050</v>
      </c>
      <c r="E140" s="8">
        <v>465.02399999999994</v>
      </c>
      <c r="F140" t="s">
        <v>106</v>
      </c>
      <c r="G140" t="s">
        <v>107</v>
      </c>
      <c r="H140" t="s">
        <v>21</v>
      </c>
      <c r="I140" t="s">
        <v>339</v>
      </c>
    </row>
    <row r="141" spans="1:9">
      <c r="A141" t="s">
        <v>109</v>
      </c>
      <c r="B141" t="s">
        <v>408</v>
      </c>
      <c r="C141" t="s">
        <v>392</v>
      </c>
      <c r="D141" s="6">
        <v>2050</v>
      </c>
      <c r="E141" s="8">
        <v>465.02399999999994</v>
      </c>
      <c r="F141" t="s">
        <v>106</v>
      </c>
      <c r="G141" t="s">
        <v>107</v>
      </c>
      <c r="H141" t="s">
        <v>21</v>
      </c>
      <c r="I141" t="s">
        <v>339</v>
      </c>
    </row>
    <row r="142" spans="1:9">
      <c r="A142" t="s">
        <v>109</v>
      </c>
      <c r="B142" t="s">
        <v>408</v>
      </c>
      <c r="C142" t="s">
        <v>393</v>
      </c>
      <c r="D142" s="6">
        <v>2050</v>
      </c>
      <c r="E142" s="8">
        <v>465.02399999999994</v>
      </c>
      <c r="F142" t="s">
        <v>106</v>
      </c>
      <c r="G142" t="s">
        <v>107</v>
      </c>
      <c r="H142" t="s">
        <v>21</v>
      </c>
      <c r="I142" t="s">
        <v>339</v>
      </c>
    </row>
    <row r="143" spans="1:9">
      <c r="A143" t="s">
        <v>109</v>
      </c>
      <c r="B143" t="s">
        <v>408</v>
      </c>
      <c r="C143" t="s">
        <v>394</v>
      </c>
      <c r="D143" s="6">
        <v>2050</v>
      </c>
      <c r="E143" s="8">
        <v>465.02399999999994</v>
      </c>
      <c r="F143" t="s">
        <v>106</v>
      </c>
      <c r="G143" t="s">
        <v>107</v>
      </c>
      <c r="H143" t="s">
        <v>21</v>
      </c>
      <c r="I143" t="s">
        <v>339</v>
      </c>
    </row>
    <row r="144" spans="1:9">
      <c r="A144" t="s">
        <v>109</v>
      </c>
      <c r="B144" t="s">
        <v>408</v>
      </c>
      <c r="C144" t="s">
        <v>156</v>
      </c>
      <c r="D144" s="6">
        <v>2050</v>
      </c>
      <c r="E144" s="8">
        <v>465.02399999999994</v>
      </c>
      <c r="F144" t="s">
        <v>106</v>
      </c>
      <c r="G144" t="s">
        <v>107</v>
      </c>
      <c r="H144" t="s">
        <v>21</v>
      </c>
      <c r="I144" t="s">
        <v>339</v>
      </c>
    </row>
    <row r="145" spans="1:9">
      <c r="A145" t="s">
        <v>109</v>
      </c>
      <c r="B145" t="s">
        <v>408</v>
      </c>
      <c r="C145" t="s">
        <v>157</v>
      </c>
      <c r="D145" s="6">
        <v>2050</v>
      </c>
      <c r="E145" s="8">
        <v>465.02399999999994</v>
      </c>
      <c r="F145" t="s">
        <v>106</v>
      </c>
      <c r="G145" t="s">
        <v>107</v>
      </c>
      <c r="H145" t="s">
        <v>21</v>
      </c>
      <c r="I145" t="s">
        <v>339</v>
      </c>
    </row>
    <row r="146" spans="1:9">
      <c r="A146" t="s">
        <v>108</v>
      </c>
      <c r="B146" t="s">
        <v>400</v>
      </c>
      <c r="C146" t="s">
        <v>150</v>
      </c>
      <c r="D146" s="6">
        <v>2010</v>
      </c>
      <c r="E146" s="8">
        <v>2.0178000000000003</v>
      </c>
      <c r="F146" t="s">
        <v>106</v>
      </c>
      <c r="G146" t="s">
        <v>107</v>
      </c>
      <c r="H146" t="s">
        <v>21</v>
      </c>
      <c r="I146" t="s">
        <v>384</v>
      </c>
    </row>
    <row r="147" spans="1:9">
      <c r="A147" t="s">
        <v>108</v>
      </c>
      <c r="B147" t="s">
        <v>400</v>
      </c>
      <c r="C147" t="s">
        <v>151</v>
      </c>
      <c r="D147" s="6">
        <v>2010</v>
      </c>
      <c r="E147" s="8">
        <v>2.6334000000000004</v>
      </c>
      <c r="F147" t="s">
        <v>106</v>
      </c>
      <c r="G147" t="s">
        <v>107</v>
      </c>
      <c r="H147" t="s">
        <v>21</v>
      </c>
      <c r="I147" t="s">
        <v>384</v>
      </c>
    </row>
    <row r="148" spans="1:9">
      <c r="A148" t="s">
        <v>108</v>
      </c>
      <c r="B148" t="s">
        <v>400</v>
      </c>
      <c r="C148" t="s">
        <v>152</v>
      </c>
      <c r="D148" s="6">
        <v>2010</v>
      </c>
      <c r="E148" s="8">
        <v>2.0178000000000003</v>
      </c>
      <c r="F148" t="s">
        <v>106</v>
      </c>
      <c r="G148" t="s">
        <v>107</v>
      </c>
      <c r="H148" t="s">
        <v>21</v>
      </c>
      <c r="I148" t="s">
        <v>384</v>
      </c>
    </row>
    <row r="149" spans="1:9">
      <c r="A149" t="s">
        <v>108</v>
      </c>
      <c r="B149" t="s">
        <v>400</v>
      </c>
      <c r="C149" t="s">
        <v>392</v>
      </c>
      <c r="D149" s="6">
        <v>2010</v>
      </c>
      <c r="E149" s="8">
        <v>2.6676000000000002</v>
      </c>
      <c r="F149" t="s">
        <v>106</v>
      </c>
      <c r="G149" t="s">
        <v>107</v>
      </c>
      <c r="H149" t="s">
        <v>21</v>
      </c>
      <c r="I149" t="s">
        <v>384</v>
      </c>
    </row>
    <row r="150" spans="1:9">
      <c r="A150" t="s">
        <v>108</v>
      </c>
      <c r="B150" t="s">
        <v>400</v>
      </c>
      <c r="C150" t="s">
        <v>393</v>
      </c>
      <c r="D150" s="6">
        <v>2010</v>
      </c>
      <c r="E150" s="8">
        <v>2.4281999999999999</v>
      </c>
      <c r="F150" t="s">
        <v>106</v>
      </c>
      <c r="G150" t="s">
        <v>107</v>
      </c>
      <c r="H150" t="s">
        <v>21</v>
      </c>
      <c r="I150" t="s">
        <v>384</v>
      </c>
    </row>
    <row r="151" spans="1:9">
      <c r="A151" t="s">
        <v>108</v>
      </c>
      <c r="B151" t="s">
        <v>400</v>
      </c>
      <c r="C151" t="s">
        <v>394</v>
      </c>
      <c r="D151" s="6">
        <v>2010</v>
      </c>
      <c r="E151" s="8">
        <v>2.4965999999999999</v>
      </c>
      <c r="F151" t="s">
        <v>106</v>
      </c>
      <c r="G151" t="s">
        <v>107</v>
      </c>
      <c r="H151" t="s">
        <v>21</v>
      </c>
      <c r="I151" t="s">
        <v>384</v>
      </c>
    </row>
    <row r="152" spans="1:9">
      <c r="A152" t="s">
        <v>108</v>
      </c>
      <c r="B152" t="s">
        <v>400</v>
      </c>
      <c r="C152" t="s">
        <v>156</v>
      </c>
      <c r="D152" s="6">
        <v>2010</v>
      </c>
      <c r="E152" s="8">
        <v>1.8810000000000002</v>
      </c>
      <c r="F152" t="s">
        <v>106</v>
      </c>
      <c r="G152" t="s">
        <v>107</v>
      </c>
      <c r="H152" t="s">
        <v>21</v>
      </c>
      <c r="I152" t="s">
        <v>384</v>
      </c>
    </row>
    <row r="153" spans="1:9">
      <c r="A153" t="s">
        <v>108</v>
      </c>
      <c r="B153" t="s">
        <v>400</v>
      </c>
      <c r="C153" t="s">
        <v>157</v>
      </c>
      <c r="D153" s="6">
        <v>2010</v>
      </c>
      <c r="E153" s="8">
        <v>2.8386000000000005</v>
      </c>
      <c r="F153" t="s">
        <v>106</v>
      </c>
      <c r="G153" t="s">
        <v>107</v>
      </c>
      <c r="H153" t="s">
        <v>21</v>
      </c>
      <c r="I153" t="s">
        <v>384</v>
      </c>
    </row>
    <row r="154" spans="1:9">
      <c r="A154" t="s">
        <v>108</v>
      </c>
      <c r="B154" t="s">
        <v>400</v>
      </c>
      <c r="C154" t="s">
        <v>150</v>
      </c>
      <c r="D154" s="6">
        <v>2030</v>
      </c>
      <c r="E154" s="8">
        <v>1.4706000000000001</v>
      </c>
      <c r="F154" t="s">
        <v>106</v>
      </c>
      <c r="G154" t="s">
        <v>107</v>
      </c>
      <c r="H154" t="s">
        <v>21</v>
      </c>
      <c r="I154" t="s">
        <v>384</v>
      </c>
    </row>
    <row r="155" spans="1:9">
      <c r="A155" t="s">
        <v>108</v>
      </c>
      <c r="B155" t="s">
        <v>400</v>
      </c>
      <c r="C155" t="s">
        <v>151</v>
      </c>
      <c r="D155" s="6">
        <v>2030</v>
      </c>
      <c r="E155" s="8">
        <v>1.6074000000000002</v>
      </c>
      <c r="F155" t="s">
        <v>106</v>
      </c>
      <c r="G155" t="s">
        <v>107</v>
      </c>
      <c r="H155" t="s">
        <v>21</v>
      </c>
      <c r="I155" t="s">
        <v>384</v>
      </c>
    </row>
    <row r="156" spans="1:9">
      <c r="A156" t="s">
        <v>108</v>
      </c>
      <c r="B156" t="s">
        <v>400</v>
      </c>
      <c r="C156" t="s">
        <v>152</v>
      </c>
      <c r="D156" s="6">
        <v>2030</v>
      </c>
      <c r="E156" s="8">
        <v>1.7442</v>
      </c>
      <c r="F156" t="s">
        <v>106</v>
      </c>
      <c r="G156" t="s">
        <v>107</v>
      </c>
      <c r="H156" t="s">
        <v>21</v>
      </c>
      <c r="I156" t="s">
        <v>384</v>
      </c>
    </row>
    <row r="157" spans="1:9">
      <c r="A157" t="s">
        <v>108</v>
      </c>
      <c r="B157" t="s">
        <v>400</v>
      </c>
      <c r="C157" t="s">
        <v>392</v>
      </c>
      <c r="D157" s="6">
        <v>2030</v>
      </c>
      <c r="E157" s="8">
        <v>2.2572000000000001</v>
      </c>
      <c r="F157" t="s">
        <v>106</v>
      </c>
      <c r="G157" t="s">
        <v>107</v>
      </c>
      <c r="H157" t="s">
        <v>21</v>
      </c>
      <c r="I157" t="s">
        <v>384</v>
      </c>
    </row>
    <row r="158" spans="1:9">
      <c r="A158" t="s">
        <v>108</v>
      </c>
      <c r="B158" t="s">
        <v>400</v>
      </c>
      <c r="C158" t="s">
        <v>393</v>
      </c>
      <c r="D158" s="6">
        <v>2030</v>
      </c>
      <c r="E158" s="8">
        <v>2.0861999999999998</v>
      </c>
      <c r="F158" t="s">
        <v>106</v>
      </c>
      <c r="G158" t="s">
        <v>107</v>
      </c>
      <c r="H158" t="s">
        <v>21</v>
      </c>
      <c r="I158" t="s">
        <v>384</v>
      </c>
    </row>
    <row r="159" spans="1:9">
      <c r="A159" t="s">
        <v>108</v>
      </c>
      <c r="B159" t="s">
        <v>400</v>
      </c>
      <c r="C159" t="s">
        <v>394</v>
      </c>
      <c r="D159" s="6">
        <v>2030</v>
      </c>
      <c r="E159" s="8">
        <v>2.1204000000000001</v>
      </c>
      <c r="F159" t="s">
        <v>106</v>
      </c>
      <c r="G159" t="s">
        <v>107</v>
      </c>
      <c r="H159" t="s">
        <v>21</v>
      </c>
      <c r="I159" t="s">
        <v>384</v>
      </c>
    </row>
    <row r="160" spans="1:9">
      <c r="A160" t="s">
        <v>108</v>
      </c>
      <c r="B160" t="s">
        <v>400</v>
      </c>
      <c r="C160" t="s">
        <v>156</v>
      </c>
      <c r="D160" s="6">
        <v>2030</v>
      </c>
      <c r="E160" s="8">
        <v>1.1286</v>
      </c>
      <c r="F160" t="s">
        <v>106</v>
      </c>
      <c r="G160" t="s">
        <v>107</v>
      </c>
      <c r="H160" t="s">
        <v>21</v>
      </c>
      <c r="I160" t="s">
        <v>384</v>
      </c>
    </row>
    <row r="161" spans="1:9">
      <c r="A161" t="s">
        <v>108</v>
      </c>
      <c r="B161" t="s">
        <v>400</v>
      </c>
      <c r="C161" t="s">
        <v>157</v>
      </c>
      <c r="D161" s="6">
        <v>2030</v>
      </c>
      <c r="E161" s="8">
        <v>1.5048000000000001</v>
      </c>
      <c r="F161" t="s">
        <v>106</v>
      </c>
      <c r="G161" t="s">
        <v>107</v>
      </c>
      <c r="H161" t="s">
        <v>21</v>
      </c>
      <c r="I161" t="s">
        <v>384</v>
      </c>
    </row>
    <row r="162" spans="1:9">
      <c r="A162" t="s">
        <v>108</v>
      </c>
      <c r="B162" t="s">
        <v>400</v>
      </c>
      <c r="C162" t="s">
        <v>150</v>
      </c>
      <c r="D162" s="6">
        <v>2050</v>
      </c>
      <c r="E162" s="8">
        <v>1.1286</v>
      </c>
      <c r="F162" t="s">
        <v>106</v>
      </c>
      <c r="G162" t="s">
        <v>107</v>
      </c>
      <c r="H162" t="s">
        <v>21</v>
      </c>
      <c r="I162" t="s">
        <v>384</v>
      </c>
    </row>
    <row r="163" spans="1:9">
      <c r="A163" t="s">
        <v>108</v>
      </c>
      <c r="B163" t="s">
        <v>400</v>
      </c>
      <c r="C163" t="s">
        <v>151</v>
      </c>
      <c r="D163" s="6">
        <v>2050</v>
      </c>
      <c r="E163" s="8">
        <v>1.1286</v>
      </c>
      <c r="F163" t="s">
        <v>106</v>
      </c>
      <c r="G163" t="s">
        <v>107</v>
      </c>
      <c r="H163" t="s">
        <v>21</v>
      </c>
      <c r="I163" t="s">
        <v>384</v>
      </c>
    </row>
    <row r="164" spans="1:9">
      <c r="A164" t="s">
        <v>108</v>
      </c>
      <c r="B164" t="s">
        <v>400</v>
      </c>
      <c r="C164" t="s">
        <v>152</v>
      </c>
      <c r="D164" s="6">
        <v>2050</v>
      </c>
      <c r="E164" s="8">
        <v>1.4364000000000001</v>
      </c>
      <c r="F164" t="s">
        <v>106</v>
      </c>
      <c r="G164" t="s">
        <v>107</v>
      </c>
      <c r="H164" t="s">
        <v>21</v>
      </c>
      <c r="I164" t="s">
        <v>384</v>
      </c>
    </row>
    <row r="165" spans="1:9">
      <c r="A165" t="s">
        <v>108</v>
      </c>
      <c r="B165" t="s">
        <v>400</v>
      </c>
      <c r="C165" t="s">
        <v>392</v>
      </c>
      <c r="D165" s="6">
        <v>2050</v>
      </c>
      <c r="E165" s="8">
        <v>1.8810000000000002</v>
      </c>
      <c r="F165" t="s">
        <v>106</v>
      </c>
      <c r="G165" t="s">
        <v>107</v>
      </c>
      <c r="H165" t="s">
        <v>21</v>
      </c>
      <c r="I165" t="s">
        <v>384</v>
      </c>
    </row>
    <row r="166" spans="1:9">
      <c r="A166" t="s">
        <v>108</v>
      </c>
      <c r="B166" t="s">
        <v>400</v>
      </c>
      <c r="C166" t="s">
        <v>393</v>
      </c>
      <c r="D166" s="6">
        <v>2050</v>
      </c>
      <c r="E166" s="8">
        <v>1.7100000000000002</v>
      </c>
      <c r="F166" t="s">
        <v>106</v>
      </c>
      <c r="G166" t="s">
        <v>107</v>
      </c>
      <c r="H166" t="s">
        <v>21</v>
      </c>
      <c r="I166" t="s">
        <v>384</v>
      </c>
    </row>
    <row r="167" spans="1:9">
      <c r="A167" t="s">
        <v>108</v>
      </c>
      <c r="B167" t="s">
        <v>400</v>
      </c>
      <c r="C167" t="s">
        <v>394</v>
      </c>
      <c r="D167" s="6">
        <v>2050</v>
      </c>
      <c r="E167" s="8">
        <v>1.7442</v>
      </c>
      <c r="F167" t="s">
        <v>106</v>
      </c>
      <c r="G167" t="s">
        <v>107</v>
      </c>
      <c r="H167" t="s">
        <v>21</v>
      </c>
      <c r="I167" t="s">
        <v>384</v>
      </c>
    </row>
    <row r="168" spans="1:9">
      <c r="A168" t="s">
        <v>108</v>
      </c>
      <c r="B168" t="s">
        <v>400</v>
      </c>
      <c r="C168" t="s">
        <v>156</v>
      </c>
      <c r="D168" s="6">
        <v>2050</v>
      </c>
      <c r="E168" s="8">
        <v>1.1286</v>
      </c>
      <c r="F168" t="s">
        <v>106</v>
      </c>
      <c r="G168" t="s">
        <v>107</v>
      </c>
      <c r="H168" t="s">
        <v>21</v>
      </c>
      <c r="I168" t="s">
        <v>384</v>
      </c>
    </row>
    <row r="169" spans="1:9">
      <c r="A169" t="s">
        <v>108</v>
      </c>
      <c r="B169" t="s">
        <v>400</v>
      </c>
      <c r="C169" t="s">
        <v>157</v>
      </c>
      <c r="D169" s="6">
        <v>2050</v>
      </c>
      <c r="E169" s="8">
        <v>1.1286</v>
      </c>
      <c r="F169" t="s">
        <v>106</v>
      </c>
      <c r="G169" t="s">
        <v>107</v>
      </c>
      <c r="H169" t="s">
        <v>21</v>
      </c>
      <c r="I169" t="s">
        <v>384</v>
      </c>
    </row>
    <row r="170" spans="1:9">
      <c r="A170" t="s">
        <v>109</v>
      </c>
      <c r="B170" t="s">
        <v>399</v>
      </c>
      <c r="C170" t="s">
        <v>150</v>
      </c>
      <c r="D170" s="6">
        <v>2010</v>
      </c>
      <c r="E170" s="8">
        <v>1.8337999999999999</v>
      </c>
      <c r="F170" t="s">
        <v>106</v>
      </c>
      <c r="G170" t="s">
        <v>107</v>
      </c>
      <c r="H170" t="s">
        <v>21</v>
      </c>
      <c r="I170" t="s">
        <v>385</v>
      </c>
    </row>
    <row r="171" spans="1:9">
      <c r="A171" t="s">
        <v>109</v>
      </c>
      <c r="B171" t="s">
        <v>399</v>
      </c>
      <c r="C171" t="s">
        <v>151</v>
      </c>
      <c r="D171" s="6">
        <v>2010</v>
      </c>
      <c r="E171" s="8">
        <v>2.4219999999999997</v>
      </c>
      <c r="F171" t="s">
        <v>106</v>
      </c>
      <c r="G171" t="s">
        <v>107</v>
      </c>
      <c r="H171" t="s">
        <v>21</v>
      </c>
      <c r="I171" t="s">
        <v>385</v>
      </c>
    </row>
    <row r="172" spans="1:9">
      <c r="A172" t="s">
        <v>109</v>
      </c>
      <c r="B172" t="s">
        <v>399</v>
      </c>
      <c r="C172" t="s">
        <v>152</v>
      </c>
      <c r="D172" s="6">
        <v>2010</v>
      </c>
      <c r="E172" s="8">
        <v>1.8684000000000001</v>
      </c>
      <c r="F172" t="s">
        <v>106</v>
      </c>
      <c r="G172" t="s">
        <v>107</v>
      </c>
      <c r="H172" t="s">
        <v>21</v>
      </c>
      <c r="I172" t="s">
        <v>385</v>
      </c>
    </row>
    <row r="173" spans="1:9">
      <c r="A173" t="s">
        <v>109</v>
      </c>
      <c r="B173" t="s">
        <v>399</v>
      </c>
      <c r="C173" t="s">
        <v>392</v>
      </c>
      <c r="D173" s="6">
        <v>2010</v>
      </c>
      <c r="E173" s="8">
        <v>2.4219999999999997</v>
      </c>
      <c r="F173" t="s">
        <v>106</v>
      </c>
      <c r="G173" t="s">
        <v>107</v>
      </c>
      <c r="H173" t="s">
        <v>21</v>
      </c>
      <c r="I173" t="s">
        <v>385</v>
      </c>
    </row>
    <row r="174" spans="1:9">
      <c r="A174" t="s">
        <v>109</v>
      </c>
      <c r="B174" t="s">
        <v>399</v>
      </c>
      <c r="C174" t="s">
        <v>393</v>
      </c>
      <c r="D174" s="6">
        <v>2010</v>
      </c>
      <c r="E174" s="8">
        <v>2.2143999999999999</v>
      </c>
      <c r="F174" t="s">
        <v>106</v>
      </c>
      <c r="G174" t="s">
        <v>107</v>
      </c>
      <c r="H174" t="s">
        <v>21</v>
      </c>
      <c r="I174" t="s">
        <v>385</v>
      </c>
    </row>
    <row r="175" spans="1:9">
      <c r="A175" t="s">
        <v>109</v>
      </c>
      <c r="B175" t="s">
        <v>399</v>
      </c>
      <c r="C175" t="s">
        <v>394</v>
      </c>
      <c r="D175" s="6">
        <v>2010</v>
      </c>
      <c r="E175" s="8">
        <v>2.2835999999999999</v>
      </c>
      <c r="F175" t="s">
        <v>106</v>
      </c>
      <c r="G175" t="s">
        <v>107</v>
      </c>
      <c r="H175" t="s">
        <v>21</v>
      </c>
      <c r="I175" t="s">
        <v>385</v>
      </c>
    </row>
    <row r="176" spans="1:9">
      <c r="A176" t="s">
        <v>109</v>
      </c>
      <c r="B176" t="s">
        <v>399</v>
      </c>
      <c r="C176" t="s">
        <v>156</v>
      </c>
      <c r="D176" s="6">
        <v>2010</v>
      </c>
      <c r="E176" s="8">
        <v>1.73</v>
      </c>
      <c r="F176" t="s">
        <v>106</v>
      </c>
      <c r="G176" t="s">
        <v>107</v>
      </c>
      <c r="H176" t="s">
        <v>21</v>
      </c>
      <c r="I176" t="s">
        <v>385</v>
      </c>
    </row>
    <row r="177" spans="1:9">
      <c r="A177" t="s">
        <v>109</v>
      </c>
      <c r="B177" t="s">
        <v>399</v>
      </c>
      <c r="C177" t="s">
        <v>157</v>
      </c>
      <c r="D177" s="6">
        <v>2010</v>
      </c>
      <c r="E177" s="8">
        <v>2.5949999999999998</v>
      </c>
      <c r="F177" t="s">
        <v>106</v>
      </c>
      <c r="G177" t="s">
        <v>107</v>
      </c>
      <c r="H177" t="s">
        <v>21</v>
      </c>
      <c r="I177" t="s">
        <v>385</v>
      </c>
    </row>
    <row r="178" spans="1:9">
      <c r="A178" t="s">
        <v>109</v>
      </c>
      <c r="B178" t="s">
        <v>399</v>
      </c>
      <c r="C178" t="s">
        <v>150</v>
      </c>
      <c r="D178" s="6">
        <v>2030</v>
      </c>
      <c r="E178" s="8">
        <v>1.3147999999999997</v>
      </c>
      <c r="F178" t="s">
        <v>106</v>
      </c>
      <c r="G178" t="s">
        <v>107</v>
      </c>
      <c r="H178" t="s">
        <v>21</v>
      </c>
      <c r="I178" t="s">
        <v>385</v>
      </c>
    </row>
    <row r="179" spans="1:9">
      <c r="A179" t="s">
        <v>109</v>
      </c>
      <c r="B179" t="s">
        <v>399</v>
      </c>
      <c r="C179" t="s">
        <v>151</v>
      </c>
      <c r="D179" s="6">
        <v>2030</v>
      </c>
      <c r="E179" s="8">
        <v>1.4532</v>
      </c>
      <c r="F179" t="s">
        <v>106</v>
      </c>
      <c r="G179" t="s">
        <v>107</v>
      </c>
      <c r="H179" t="s">
        <v>21</v>
      </c>
      <c r="I179" t="s">
        <v>385</v>
      </c>
    </row>
    <row r="180" spans="1:9">
      <c r="A180" t="s">
        <v>109</v>
      </c>
      <c r="B180" t="s">
        <v>399</v>
      </c>
      <c r="C180" t="s">
        <v>152</v>
      </c>
      <c r="D180" s="6">
        <v>2030</v>
      </c>
      <c r="E180" s="8">
        <v>1.5915999999999997</v>
      </c>
      <c r="F180" t="s">
        <v>106</v>
      </c>
      <c r="G180" t="s">
        <v>107</v>
      </c>
      <c r="H180" t="s">
        <v>21</v>
      </c>
      <c r="I180" t="s">
        <v>385</v>
      </c>
    </row>
    <row r="181" spans="1:9">
      <c r="A181" t="s">
        <v>109</v>
      </c>
      <c r="B181" t="s">
        <v>399</v>
      </c>
      <c r="C181" t="s">
        <v>392</v>
      </c>
      <c r="D181" s="6">
        <v>2030</v>
      </c>
      <c r="E181" s="8">
        <v>2.0759999999999996</v>
      </c>
      <c r="F181" t="s">
        <v>106</v>
      </c>
      <c r="G181" t="s">
        <v>107</v>
      </c>
      <c r="H181" t="s">
        <v>21</v>
      </c>
      <c r="I181" t="s">
        <v>385</v>
      </c>
    </row>
    <row r="182" spans="1:9">
      <c r="A182" t="s">
        <v>109</v>
      </c>
      <c r="B182" t="s">
        <v>399</v>
      </c>
      <c r="C182" t="s">
        <v>393</v>
      </c>
      <c r="D182" s="6">
        <v>2030</v>
      </c>
      <c r="E182" s="8">
        <v>1.9029999999999998</v>
      </c>
      <c r="F182" t="s">
        <v>106</v>
      </c>
      <c r="G182" t="s">
        <v>107</v>
      </c>
      <c r="H182" t="s">
        <v>21</v>
      </c>
      <c r="I182" t="s">
        <v>385</v>
      </c>
    </row>
    <row r="183" spans="1:9">
      <c r="A183" t="s">
        <v>109</v>
      </c>
      <c r="B183" t="s">
        <v>399</v>
      </c>
      <c r="C183" t="s">
        <v>394</v>
      </c>
      <c r="D183" s="6">
        <v>2030</v>
      </c>
      <c r="E183" s="8">
        <v>1.9375999999999998</v>
      </c>
      <c r="F183" t="s">
        <v>106</v>
      </c>
      <c r="G183" t="s">
        <v>107</v>
      </c>
      <c r="H183" t="s">
        <v>21</v>
      </c>
      <c r="I183" t="s">
        <v>385</v>
      </c>
    </row>
    <row r="184" spans="1:9">
      <c r="A184" t="s">
        <v>109</v>
      </c>
      <c r="B184" t="s">
        <v>399</v>
      </c>
      <c r="C184" t="s">
        <v>156</v>
      </c>
      <c r="D184" s="6">
        <v>2030</v>
      </c>
      <c r="E184" s="8">
        <v>1.02762</v>
      </c>
      <c r="F184" t="s">
        <v>106</v>
      </c>
      <c r="G184" t="s">
        <v>107</v>
      </c>
      <c r="H184" t="s">
        <v>21</v>
      </c>
      <c r="I184" t="s">
        <v>385</v>
      </c>
    </row>
    <row r="185" spans="1:9">
      <c r="A185" t="s">
        <v>109</v>
      </c>
      <c r="B185" t="s">
        <v>399</v>
      </c>
      <c r="C185" t="s">
        <v>157</v>
      </c>
      <c r="D185" s="6">
        <v>2030</v>
      </c>
      <c r="E185" s="8">
        <v>1.3493999999999999</v>
      </c>
      <c r="F185" t="s">
        <v>106</v>
      </c>
      <c r="G185" t="s">
        <v>107</v>
      </c>
      <c r="H185" t="s">
        <v>21</v>
      </c>
      <c r="I185" t="s">
        <v>385</v>
      </c>
    </row>
    <row r="186" spans="1:9">
      <c r="A186" t="s">
        <v>109</v>
      </c>
      <c r="B186" t="s">
        <v>399</v>
      </c>
      <c r="C186" t="s">
        <v>150</v>
      </c>
      <c r="D186" s="6">
        <v>2050</v>
      </c>
      <c r="E186" s="8">
        <v>1.02762</v>
      </c>
      <c r="F186" t="s">
        <v>106</v>
      </c>
      <c r="G186" t="s">
        <v>107</v>
      </c>
      <c r="H186" t="s">
        <v>21</v>
      </c>
      <c r="I186" t="s">
        <v>385</v>
      </c>
    </row>
    <row r="187" spans="1:9">
      <c r="A187" t="s">
        <v>109</v>
      </c>
      <c r="B187" t="s">
        <v>399</v>
      </c>
      <c r="C187" t="s">
        <v>151</v>
      </c>
      <c r="D187" s="6">
        <v>2050</v>
      </c>
      <c r="E187" s="8">
        <v>1.02762</v>
      </c>
      <c r="F187" t="s">
        <v>106</v>
      </c>
      <c r="G187" t="s">
        <v>107</v>
      </c>
      <c r="H187" t="s">
        <v>21</v>
      </c>
      <c r="I187" t="s">
        <v>385</v>
      </c>
    </row>
    <row r="188" spans="1:9">
      <c r="A188" t="s">
        <v>109</v>
      </c>
      <c r="B188" t="s">
        <v>399</v>
      </c>
      <c r="C188" t="s">
        <v>152</v>
      </c>
      <c r="D188" s="6">
        <v>2050</v>
      </c>
      <c r="E188" s="8">
        <v>1.2802</v>
      </c>
      <c r="F188" t="s">
        <v>106</v>
      </c>
      <c r="G188" t="s">
        <v>107</v>
      </c>
      <c r="H188" t="s">
        <v>21</v>
      </c>
      <c r="I188" t="s">
        <v>385</v>
      </c>
    </row>
    <row r="189" spans="1:9">
      <c r="A189" t="s">
        <v>109</v>
      </c>
      <c r="B189" t="s">
        <v>399</v>
      </c>
      <c r="C189" t="s">
        <v>392</v>
      </c>
      <c r="D189" s="6">
        <v>2050</v>
      </c>
      <c r="E189" s="8">
        <v>1.6954</v>
      </c>
      <c r="F189" t="s">
        <v>106</v>
      </c>
      <c r="G189" t="s">
        <v>107</v>
      </c>
      <c r="H189" t="s">
        <v>21</v>
      </c>
      <c r="I189" t="s">
        <v>385</v>
      </c>
    </row>
    <row r="190" spans="1:9">
      <c r="A190" t="s">
        <v>109</v>
      </c>
      <c r="B190" t="s">
        <v>399</v>
      </c>
      <c r="C190" t="s">
        <v>393</v>
      </c>
      <c r="D190" s="6">
        <v>2050</v>
      </c>
      <c r="E190" s="8">
        <v>1.5569999999999999</v>
      </c>
      <c r="F190" t="s">
        <v>106</v>
      </c>
      <c r="G190" t="s">
        <v>107</v>
      </c>
      <c r="H190" t="s">
        <v>21</v>
      </c>
      <c r="I190" t="s">
        <v>385</v>
      </c>
    </row>
    <row r="191" spans="1:9">
      <c r="A191" t="s">
        <v>109</v>
      </c>
      <c r="B191" t="s">
        <v>399</v>
      </c>
      <c r="C191" t="s">
        <v>394</v>
      </c>
      <c r="D191" s="6">
        <v>2050</v>
      </c>
      <c r="E191" s="8">
        <v>1.5915999999999997</v>
      </c>
      <c r="F191" t="s">
        <v>106</v>
      </c>
      <c r="G191" t="s">
        <v>107</v>
      </c>
      <c r="H191" t="s">
        <v>21</v>
      </c>
      <c r="I191" t="s">
        <v>385</v>
      </c>
    </row>
    <row r="192" spans="1:9">
      <c r="A192" t="s">
        <v>109</v>
      </c>
      <c r="B192" t="s">
        <v>399</v>
      </c>
      <c r="C192" t="s">
        <v>156</v>
      </c>
      <c r="D192" s="6">
        <v>2050</v>
      </c>
      <c r="E192" s="8">
        <v>1.02762</v>
      </c>
      <c r="F192" t="s">
        <v>106</v>
      </c>
      <c r="G192" t="s">
        <v>107</v>
      </c>
      <c r="H192" t="s">
        <v>21</v>
      </c>
      <c r="I192" t="s">
        <v>385</v>
      </c>
    </row>
    <row r="193" spans="1:9">
      <c r="A193" t="s">
        <v>109</v>
      </c>
      <c r="B193" t="s">
        <v>399</v>
      </c>
      <c r="C193" t="s">
        <v>157</v>
      </c>
      <c r="D193" s="6">
        <v>2050</v>
      </c>
      <c r="E193" s="8">
        <v>1.02762</v>
      </c>
      <c r="F193" t="s">
        <v>106</v>
      </c>
      <c r="G193" t="s">
        <v>107</v>
      </c>
      <c r="H193" t="s">
        <v>21</v>
      </c>
      <c r="I193" t="s">
        <v>385</v>
      </c>
    </row>
    <row r="194" spans="1:9">
      <c r="A194" t="s">
        <v>110</v>
      </c>
      <c r="B194" t="s">
        <v>401</v>
      </c>
      <c r="C194" t="s">
        <v>150</v>
      </c>
      <c r="D194" s="6">
        <v>2010</v>
      </c>
      <c r="E194" s="8">
        <v>0.61199999999999999</v>
      </c>
      <c r="F194" t="s">
        <v>106</v>
      </c>
      <c r="G194" t="s">
        <v>107</v>
      </c>
      <c r="H194" t="s">
        <v>21</v>
      </c>
      <c r="I194" t="s">
        <v>386</v>
      </c>
    </row>
    <row r="195" spans="1:9">
      <c r="A195" t="s">
        <v>110</v>
      </c>
      <c r="B195" t="s">
        <v>401</v>
      </c>
      <c r="C195" t="s">
        <v>151</v>
      </c>
      <c r="D195" s="6">
        <v>2010</v>
      </c>
      <c r="E195" s="8">
        <v>0.61199999999999999</v>
      </c>
      <c r="F195" t="s">
        <v>106</v>
      </c>
      <c r="G195" t="s">
        <v>107</v>
      </c>
      <c r="H195" t="s">
        <v>21</v>
      </c>
      <c r="I195" t="s">
        <v>386</v>
      </c>
    </row>
    <row r="196" spans="1:9">
      <c r="A196" t="s">
        <v>110</v>
      </c>
      <c r="B196" t="s">
        <v>401</v>
      </c>
      <c r="C196" t="s">
        <v>152</v>
      </c>
      <c r="D196" s="6">
        <v>2010</v>
      </c>
      <c r="E196" s="8">
        <v>0.61199999999999999</v>
      </c>
      <c r="F196" t="s">
        <v>106</v>
      </c>
      <c r="G196" t="s">
        <v>107</v>
      </c>
      <c r="H196" t="s">
        <v>21</v>
      </c>
      <c r="I196" t="s">
        <v>386</v>
      </c>
    </row>
    <row r="197" spans="1:9">
      <c r="A197" t="s">
        <v>110</v>
      </c>
      <c r="B197" t="s">
        <v>401</v>
      </c>
      <c r="C197" t="s">
        <v>392</v>
      </c>
      <c r="D197" s="6">
        <v>2010</v>
      </c>
      <c r="E197" s="8">
        <v>0.61199999999999999</v>
      </c>
      <c r="F197" t="s">
        <v>106</v>
      </c>
      <c r="G197" t="s">
        <v>107</v>
      </c>
      <c r="H197" t="s">
        <v>21</v>
      </c>
      <c r="I197" t="s">
        <v>386</v>
      </c>
    </row>
    <row r="198" spans="1:9">
      <c r="A198" t="s">
        <v>110</v>
      </c>
      <c r="B198" t="s">
        <v>401</v>
      </c>
      <c r="C198" t="s">
        <v>393</v>
      </c>
      <c r="D198" s="6">
        <v>2010</v>
      </c>
      <c r="E198" s="8">
        <v>0.61199999999999999</v>
      </c>
      <c r="F198" t="s">
        <v>106</v>
      </c>
      <c r="G198" t="s">
        <v>107</v>
      </c>
      <c r="H198" t="s">
        <v>21</v>
      </c>
      <c r="I198" t="s">
        <v>386</v>
      </c>
    </row>
    <row r="199" spans="1:9">
      <c r="A199" t="s">
        <v>110</v>
      </c>
      <c r="B199" t="s">
        <v>401</v>
      </c>
      <c r="C199" t="s">
        <v>394</v>
      </c>
      <c r="D199" s="6">
        <v>2010</v>
      </c>
      <c r="E199" s="8">
        <v>0.61199999999999999</v>
      </c>
      <c r="F199" t="s">
        <v>106</v>
      </c>
      <c r="G199" t="s">
        <v>107</v>
      </c>
      <c r="H199" t="s">
        <v>21</v>
      </c>
      <c r="I199" t="s">
        <v>386</v>
      </c>
    </row>
    <row r="200" spans="1:9">
      <c r="A200" t="s">
        <v>110</v>
      </c>
      <c r="B200" t="s">
        <v>401</v>
      </c>
      <c r="C200" t="s">
        <v>156</v>
      </c>
      <c r="D200" s="6">
        <v>2010</v>
      </c>
      <c r="E200" s="8">
        <v>0.61199999999999999</v>
      </c>
      <c r="F200" t="s">
        <v>106</v>
      </c>
      <c r="G200" t="s">
        <v>107</v>
      </c>
      <c r="H200" t="s">
        <v>21</v>
      </c>
      <c r="I200" t="s">
        <v>386</v>
      </c>
    </row>
    <row r="201" spans="1:9">
      <c r="A201" t="s">
        <v>110</v>
      </c>
      <c r="B201" t="s">
        <v>401</v>
      </c>
      <c r="C201" t="s">
        <v>157</v>
      </c>
      <c r="D201" s="6">
        <v>2010</v>
      </c>
      <c r="E201" s="8">
        <v>0.61199999999999999</v>
      </c>
      <c r="F201" t="s">
        <v>106</v>
      </c>
      <c r="G201" t="s">
        <v>107</v>
      </c>
      <c r="H201" t="s">
        <v>21</v>
      </c>
      <c r="I201" t="s">
        <v>386</v>
      </c>
    </row>
    <row r="202" spans="1:9">
      <c r="A202" t="s">
        <v>110</v>
      </c>
      <c r="B202" t="s">
        <v>401</v>
      </c>
      <c r="C202" t="s">
        <v>150</v>
      </c>
      <c r="D202" s="6">
        <v>2030</v>
      </c>
      <c r="E202" s="8">
        <v>0.51480000000000004</v>
      </c>
      <c r="F202" t="s">
        <v>106</v>
      </c>
      <c r="G202" t="s">
        <v>107</v>
      </c>
      <c r="H202" t="s">
        <v>21</v>
      </c>
      <c r="I202" t="s">
        <v>386</v>
      </c>
    </row>
    <row r="203" spans="1:9">
      <c r="A203" t="s">
        <v>110</v>
      </c>
      <c r="B203" t="s">
        <v>401</v>
      </c>
      <c r="C203" t="s">
        <v>151</v>
      </c>
      <c r="D203" s="6">
        <v>2030</v>
      </c>
      <c r="E203" s="8">
        <v>0.51480000000000004</v>
      </c>
      <c r="F203" t="s">
        <v>106</v>
      </c>
      <c r="G203" t="s">
        <v>107</v>
      </c>
      <c r="H203" t="s">
        <v>21</v>
      </c>
      <c r="I203" t="s">
        <v>386</v>
      </c>
    </row>
    <row r="204" spans="1:9">
      <c r="A204" t="s">
        <v>110</v>
      </c>
      <c r="B204" t="s">
        <v>401</v>
      </c>
      <c r="C204" t="s">
        <v>152</v>
      </c>
      <c r="D204" s="6">
        <v>2030</v>
      </c>
      <c r="E204" s="8">
        <v>0.51480000000000004</v>
      </c>
      <c r="F204" t="s">
        <v>106</v>
      </c>
      <c r="G204" t="s">
        <v>107</v>
      </c>
      <c r="H204" t="s">
        <v>21</v>
      </c>
      <c r="I204" t="s">
        <v>386</v>
      </c>
    </row>
    <row r="205" spans="1:9">
      <c r="A205" t="s">
        <v>110</v>
      </c>
      <c r="B205" t="s">
        <v>401</v>
      </c>
      <c r="C205" t="s">
        <v>392</v>
      </c>
      <c r="D205" s="6">
        <v>2030</v>
      </c>
      <c r="E205" s="8">
        <v>0.51480000000000004</v>
      </c>
      <c r="F205" t="s">
        <v>106</v>
      </c>
      <c r="G205" t="s">
        <v>107</v>
      </c>
      <c r="H205" t="s">
        <v>21</v>
      </c>
      <c r="I205" t="s">
        <v>386</v>
      </c>
    </row>
    <row r="206" spans="1:9">
      <c r="A206" t="s">
        <v>110</v>
      </c>
      <c r="B206" t="s">
        <v>401</v>
      </c>
      <c r="C206" t="s">
        <v>393</v>
      </c>
      <c r="D206" s="6">
        <v>2030</v>
      </c>
      <c r="E206" s="8">
        <v>0.51480000000000004</v>
      </c>
      <c r="F206" t="s">
        <v>106</v>
      </c>
      <c r="G206" t="s">
        <v>107</v>
      </c>
      <c r="H206" t="s">
        <v>21</v>
      </c>
      <c r="I206" t="s">
        <v>386</v>
      </c>
    </row>
    <row r="207" spans="1:9">
      <c r="A207" t="s">
        <v>110</v>
      </c>
      <c r="B207" t="s">
        <v>401</v>
      </c>
      <c r="C207" t="s">
        <v>394</v>
      </c>
      <c r="D207" s="6">
        <v>2030</v>
      </c>
      <c r="E207" s="8">
        <v>0.51480000000000004</v>
      </c>
      <c r="F207" t="s">
        <v>106</v>
      </c>
      <c r="G207" t="s">
        <v>107</v>
      </c>
      <c r="H207" t="s">
        <v>21</v>
      </c>
      <c r="I207" t="s">
        <v>386</v>
      </c>
    </row>
    <row r="208" spans="1:9">
      <c r="A208" t="s">
        <v>110</v>
      </c>
      <c r="B208" t="s">
        <v>401</v>
      </c>
      <c r="C208" t="s">
        <v>156</v>
      </c>
      <c r="D208" s="6">
        <v>2030</v>
      </c>
      <c r="E208" s="8">
        <v>0.51480000000000004</v>
      </c>
      <c r="F208" t="s">
        <v>106</v>
      </c>
      <c r="G208" t="s">
        <v>107</v>
      </c>
      <c r="H208" t="s">
        <v>21</v>
      </c>
      <c r="I208" t="s">
        <v>386</v>
      </c>
    </row>
    <row r="209" spans="1:9">
      <c r="A209" t="s">
        <v>110</v>
      </c>
      <c r="B209" t="s">
        <v>401</v>
      </c>
      <c r="C209" t="s">
        <v>157</v>
      </c>
      <c r="D209" s="6">
        <v>2030</v>
      </c>
      <c r="E209" s="8">
        <v>0.51480000000000004</v>
      </c>
      <c r="F209" t="s">
        <v>106</v>
      </c>
      <c r="G209" t="s">
        <v>107</v>
      </c>
      <c r="H209" t="s">
        <v>21</v>
      </c>
      <c r="I209" t="s">
        <v>386</v>
      </c>
    </row>
    <row r="210" spans="1:9">
      <c r="A210" t="s">
        <v>110</v>
      </c>
      <c r="B210" t="s">
        <v>401</v>
      </c>
      <c r="C210" t="s">
        <v>150</v>
      </c>
      <c r="D210" s="6">
        <v>2050</v>
      </c>
      <c r="E210" s="8">
        <v>0.51480000000000004</v>
      </c>
      <c r="F210" t="s">
        <v>106</v>
      </c>
      <c r="G210" t="s">
        <v>107</v>
      </c>
      <c r="H210" t="s">
        <v>21</v>
      </c>
      <c r="I210" t="s">
        <v>386</v>
      </c>
    </row>
    <row r="211" spans="1:9">
      <c r="A211" t="s">
        <v>110</v>
      </c>
      <c r="B211" t="s">
        <v>401</v>
      </c>
      <c r="C211" t="s">
        <v>151</v>
      </c>
      <c r="D211" s="6">
        <v>2050</v>
      </c>
      <c r="E211" s="8">
        <v>0.51480000000000004</v>
      </c>
      <c r="F211" t="s">
        <v>106</v>
      </c>
      <c r="G211" t="s">
        <v>107</v>
      </c>
      <c r="H211" t="s">
        <v>21</v>
      </c>
      <c r="I211" t="s">
        <v>386</v>
      </c>
    </row>
    <row r="212" spans="1:9">
      <c r="A212" t="s">
        <v>110</v>
      </c>
      <c r="B212" t="s">
        <v>401</v>
      </c>
      <c r="C212" t="s">
        <v>152</v>
      </c>
      <c r="D212" s="6">
        <v>2050</v>
      </c>
      <c r="E212" s="8">
        <v>0.51480000000000004</v>
      </c>
      <c r="F212" t="s">
        <v>106</v>
      </c>
      <c r="G212" t="s">
        <v>107</v>
      </c>
      <c r="H212" t="s">
        <v>21</v>
      </c>
      <c r="I212" t="s">
        <v>386</v>
      </c>
    </row>
    <row r="213" spans="1:9">
      <c r="A213" t="s">
        <v>110</v>
      </c>
      <c r="B213" t="s">
        <v>401</v>
      </c>
      <c r="C213" t="s">
        <v>392</v>
      </c>
      <c r="D213" s="6">
        <v>2050</v>
      </c>
      <c r="E213" s="8">
        <v>0.51480000000000004</v>
      </c>
      <c r="F213" t="s">
        <v>106</v>
      </c>
      <c r="G213" t="s">
        <v>107</v>
      </c>
      <c r="H213" t="s">
        <v>21</v>
      </c>
      <c r="I213" t="s">
        <v>386</v>
      </c>
    </row>
    <row r="214" spans="1:9">
      <c r="A214" t="s">
        <v>110</v>
      </c>
      <c r="B214" t="s">
        <v>401</v>
      </c>
      <c r="C214" t="s">
        <v>393</v>
      </c>
      <c r="D214" s="6">
        <v>2050</v>
      </c>
      <c r="E214" s="8">
        <v>0.51480000000000004</v>
      </c>
      <c r="F214" t="s">
        <v>106</v>
      </c>
      <c r="G214" t="s">
        <v>107</v>
      </c>
      <c r="H214" t="s">
        <v>21</v>
      </c>
      <c r="I214" t="s">
        <v>386</v>
      </c>
    </row>
    <row r="215" spans="1:9">
      <c r="A215" t="s">
        <v>110</v>
      </c>
      <c r="B215" t="s">
        <v>401</v>
      </c>
      <c r="C215" t="s">
        <v>394</v>
      </c>
      <c r="D215" s="6">
        <v>2050</v>
      </c>
      <c r="E215" s="8">
        <v>0.51480000000000004</v>
      </c>
      <c r="F215" t="s">
        <v>106</v>
      </c>
      <c r="G215" t="s">
        <v>107</v>
      </c>
      <c r="H215" t="s">
        <v>21</v>
      </c>
      <c r="I215" t="s">
        <v>386</v>
      </c>
    </row>
    <row r="216" spans="1:9">
      <c r="A216" t="s">
        <v>110</v>
      </c>
      <c r="B216" t="s">
        <v>401</v>
      </c>
      <c r="C216" t="s">
        <v>156</v>
      </c>
      <c r="D216" s="6">
        <v>2050</v>
      </c>
      <c r="E216" s="8">
        <v>0.51480000000000004</v>
      </c>
      <c r="F216" t="s">
        <v>106</v>
      </c>
      <c r="G216" t="s">
        <v>107</v>
      </c>
      <c r="H216" t="s">
        <v>21</v>
      </c>
      <c r="I216" t="s">
        <v>386</v>
      </c>
    </row>
    <row r="217" spans="1:9">
      <c r="A217" t="s">
        <v>110</v>
      </c>
      <c r="B217" t="s">
        <v>401</v>
      </c>
      <c r="C217" t="s">
        <v>157</v>
      </c>
      <c r="D217" s="6">
        <v>2050</v>
      </c>
      <c r="E217" s="8">
        <v>0.51480000000000004</v>
      </c>
      <c r="F217" t="s">
        <v>106</v>
      </c>
      <c r="G217" t="s">
        <v>107</v>
      </c>
      <c r="H217" t="s">
        <v>21</v>
      </c>
      <c r="I217" t="s">
        <v>386</v>
      </c>
    </row>
    <row r="218" spans="1:9">
      <c r="A218" t="s">
        <v>110</v>
      </c>
      <c r="B218" t="s">
        <v>402</v>
      </c>
      <c r="C218" t="s">
        <v>150</v>
      </c>
      <c r="D218" s="6">
        <v>2010</v>
      </c>
      <c r="E218" s="8">
        <v>0.61199999999999999</v>
      </c>
      <c r="F218" t="s">
        <v>106</v>
      </c>
      <c r="G218" t="s">
        <v>107</v>
      </c>
      <c r="H218" t="s">
        <v>21</v>
      </c>
      <c r="I218" t="s">
        <v>411</v>
      </c>
    </row>
    <row r="219" spans="1:9">
      <c r="A219" t="s">
        <v>110</v>
      </c>
      <c r="B219" t="s">
        <v>402</v>
      </c>
      <c r="C219" t="s">
        <v>151</v>
      </c>
      <c r="D219" s="6">
        <v>2010</v>
      </c>
      <c r="E219" s="8">
        <v>0.61199999999999999</v>
      </c>
      <c r="F219" t="s">
        <v>106</v>
      </c>
      <c r="G219" t="s">
        <v>107</v>
      </c>
      <c r="H219" t="s">
        <v>21</v>
      </c>
      <c r="I219" t="s">
        <v>411</v>
      </c>
    </row>
    <row r="220" spans="1:9">
      <c r="A220" t="s">
        <v>110</v>
      </c>
      <c r="B220" t="s">
        <v>402</v>
      </c>
      <c r="C220" t="s">
        <v>152</v>
      </c>
      <c r="D220" s="6">
        <v>2010</v>
      </c>
      <c r="E220" s="8">
        <v>0.61199999999999999</v>
      </c>
      <c r="F220" t="s">
        <v>106</v>
      </c>
      <c r="G220" t="s">
        <v>107</v>
      </c>
      <c r="H220" t="s">
        <v>21</v>
      </c>
      <c r="I220" t="s">
        <v>411</v>
      </c>
    </row>
    <row r="221" spans="1:9">
      <c r="A221" t="s">
        <v>110</v>
      </c>
      <c r="B221" t="s">
        <v>402</v>
      </c>
      <c r="C221" t="s">
        <v>392</v>
      </c>
      <c r="D221" s="6">
        <v>2010</v>
      </c>
      <c r="E221" s="8">
        <v>0.61199999999999999</v>
      </c>
      <c r="F221" t="s">
        <v>106</v>
      </c>
      <c r="G221" t="s">
        <v>107</v>
      </c>
      <c r="H221" t="s">
        <v>21</v>
      </c>
      <c r="I221" t="s">
        <v>411</v>
      </c>
    </row>
    <row r="222" spans="1:9">
      <c r="A222" t="s">
        <v>110</v>
      </c>
      <c r="B222" t="s">
        <v>402</v>
      </c>
      <c r="C222" t="s">
        <v>393</v>
      </c>
      <c r="D222" s="6">
        <v>2010</v>
      </c>
      <c r="E222" s="8">
        <v>0.61199999999999999</v>
      </c>
      <c r="F222" t="s">
        <v>106</v>
      </c>
      <c r="G222" t="s">
        <v>107</v>
      </c>
      <c r="H222" t="s">
        <v>21</v>
      </c>
      <c r="I222" t="s">
        <v>411</v>
      </c>
    </row>
    <row r="223" spans="1:9">
      <c r="A223" t="s">
        <v>110</v>
      </c>
      <c r="B223" t="s">
        <v>402</v>
      </c>
      <c r="C223" t="s">
        <v>394</v>
      </c>
      <c r="D223" s="6">
        <v>2010</v>
      </c>
      <c r="E223" s="8">
        <v>0.61199999999999999</v>
      </c>
      <c r="F223" t="s">
        <v>106</v>
      </c>
      <c r="G223" t="s">
        <v>107</v>
      </c>
      <c r="H223" t="s">
        <v>21</v>
      </c>
      <c r="I223" t="s">
        <v>411</v>
      </c>
    </row>
    <row r="224" spans="1:9">
      <c r="A224" t="s">
        <v>110</v>
      </c>
      <c r="B224" t="s">
        <v>402</v>
      </c>
      <c r="C224" t="s">
        <v>156</v>
      </c>
      <c r="D224" s="6">
        <v>2010</v>
      </c>
      <c r="E224" s="8">
        <v>0.61199999999999999</v>
      </c>
      <c r="F224" t="s">
        <v>106</v>
      </c>
      <c r="G224" t="s">
        <v>107</v>
      </c>
      <c r="H224" t="s">
        <v>21</v>
      </c>
      <c r="I224" t="s">
        <v>411</v>
      </c>
    </row>
    <row r="225" spans="1:9">
      <c r="A225" t="s">
        <v>110</v>
      </c>
      <c r="B225" t="s">
        <v>402</v>
      </c>
      <c r="C225" t="s">
        <v>157</v>
      </c>
      <c r="D225" s="6">
        <v>2010</v>
      </c>
      <c r="E225" s="8">
        <v>0.61199999999999999</v>
      </c>
      <c r="F225" t="s">
        <v>106</v>
      </c>
      <c r="G225" t="s">
        <v>107</v>
      </c>
      <c r="H225" t="s">
        <v>21</v>
      </c>
      <c r="I225" t="s">
        <v>411</v>
      </c>
    </row>
    <row r="226" spans="1:9">
      <c r="A226" t="s">
        <v>110</v>
      </c>
      <c r="B226" t="s">
        <v>402</v>
      </c>
      <c r="C226" t="s">
        <v>150</v>
      </c>
      <c r="D226" s="6">
        <v>2030</v>
      </c>
      <c r="E226" s="8">
        <v>0.51480000000000004</v>
      </c>
      <c r="F226" t="s">
        <v>106</v>
      </c>
      <c r="G226" t="s">
        <v>107</v>
      </c>
      <c r="H226" t="s">
        <v>21</v>
      </c>
      <c r="I226" t="s">
        <v>411</v>
      </c>
    </row>
    <row r="227" spans="1:9">
      <c r="A227" t="s">
        <v>110</v>
      </c>
      <c r="B227" t="s">
        <v>402</v>
      </c>
      <c r="C227" t="s">
        <v>151</v>
      </c>
      <c r="D227" s="6">
        <v>2030</v>
      </c>
      <c r="E227" s="8">
        <v>0.51480000000000004</v>
      </c>
      <c r="F227" t="s">
        <v>106</v>
      </c>
      <c r="G227" t="s">
        <v>107</v>
      </c>
      <c r="H227" t="s">
        <v>21</v>
      </c>
      <c r="I227" t="s">
        <v>411</v>
      </c>
    </row>
    <row r="228" spans="1:9">
      <c r="A228" t="s">
        <v>110</v>
      </c>
      <c r="B228" t="s">
        <v>402</v>
      </c>
      <c r="C228" t="s">
        <v>152</v>
      </c>
      <c r="D228" s="6">
        <v>2030</v>
      </c>
      <c r="E228" s="8">
        <v>0.51480000000000004</v>
      </c>
      <c r="F228" t="s">
        <v>106</v>
      </c>
      <c r="G228" t="s">
        <v>107</v>
      </c>
      <c r="H228" t="s">
        <v>21</v>
      </c>
      <c r="I228" t="s">
        <v>411</v>
      </c>
    </row>
    <row r="229" spans="1:9">
      <c r="A229" t="s">
        <v>110</v>
      </c>
      <c r="B229" t="s">
        <v>402</v>
      </c>
      <c r="C229" t="s">
        <v>392</v>
      </c>
      <c r="D229" s="6">
        <v>2030</v>
      </c>
      <c r="E229" s="8">
        <v>0.51480000000000004</v>
      </c>
      <c r="F229" t="s">
        <v>106</v>
      </c>
      <c r="G229" t="s">
        <v>107</v>
      </c>
      <c r="H229" t="s">
        <v>21</v>
      </c>
      <c r="I229" t="s">
        <v>411</v>
      </c>
    </row>
    <row r="230" spans="1:9">
      <c r="A230" t="s">
        <v>110</v>
      </c>
      <c r="B230" t="s">
        <v>402</v>
      </c>
      <c r="C230" t="s">
        <v>393</v>
      </c>
      <c r="D230" s="6">
        <v>2030</v>
      </c>
      <c r="E230" s="8">
        <v>0.51480000000000004</v>
      </c>
      <c r="F230" t="s">
        <v>106</v>
      </c>
      <c r="G230" t="s">
        <v>107</v>
      </c>
      <c r="H230" t="s">
        <v>21</v>
      </c>
      <c r="I230" t="s">
        <v>411</v>
      </c>
    </row>
    <row r="231" spans="1:9">
      <c r="A231" t="s">
        <v>110</v>
      </c>
      <c r="B231" t="s">
        <v>402</v>
      </c>
      <c r="C231" t="s">
        <v>394</v>
      </c>
      <c r="D231" s="6">
        <v>2030</v>
      </c>
      <c r="E231" s="8">
        <v>0.51480000000000004</v>
      </c>
      <c r="F231" t="s">
        <v>106</v>
      </c>
      <c r="G231" t="s">
        <v>107</v>
      </c>
      <c r="H231" t="s">
        <v>21</v>
      </c>
      <c r="I231" t="s">
        <v>411</v>
      </c>
    </row>
    <row r="232" spans="1:9">
      <c r="A232" t="s">
        <v>110</v>
      </c>
      <c r="B232" t="s">
        <v>402</v>
      </c>
      <c r="C232" t="s">
        <v>156</v>
      </c>
      <c r="D232" s="6">
        <v>2030</v>
      </c>
      <c r="E232" s="8">
        <v>0.51480000000000004</v>
      </c>
      <c r="F232" t="s">
        <v>106</v>
      </c>
      <c r="G232" t="s">
        <v>107</v>
      </c>
      <c r="H232" t="s">
        <v>21</v>
      </c>
      <c r="I232" t="s">
        <v>411</v>
      </c>
    </row>
    <row r="233" spans="1:9">
      <c r="A233" t="s">
        <v>110</v>
      </c>
      <c r="B233" t="s">
        <v>402</v>
      </c>
      <c r="C233" t="s">
        <v>157</v>
      </c>
      <c r="D233" s="6">
        <v>2030</v>
      </c>
      <c r="E233" s="8">
        <v>0.51480000000000004</v>
      </c>
      <c r="F233" t="s">
        <v>106</v>
      </c>
      <c r="G233" t="s">
        <v>107</v>
      </c>
      <c r="H233" t="s">
        <v>21</v>
      </c>
      <c r="I233" t="s">
        <v>411</v>
      </c>
    </row>
    <row r="234" spans="1:9">
      <c r="A234" t="s">
        <v>110</v>
      </c>
      <c r="B234" t="s">
        <v>402</v>
      </c>
      <c r="C234" t="s">
        <v>150</v>
      </c>
      <c r="D234" s="6">
        <v>2050</v>
      </c>
      <c r="E234" s="8">
        <v>0.51480000000000004</v>
      </c>
      <c r="F234" t="s">
        <v>106</v>
      </c>
      <c r="G234" t="s">
        <v>107</v>
      </c>
      <c r="H234" t="s">
        <v>21</v>
      </c>
      <c r="I234" t="s">
        <v>411</v>
      </c>
    </row>
    <row r="235" spans="1:9">
      <c r="A235" t="s">
        <v>110</v>
      </c>
      <c r="B235" t="s">
        <v>402</v>
      </c>
      <c r="C235" t="s">
        <v>151</v>
      </c>
      <c r="D235" s="6">
        <v>2050</v>
      </c>
      <c r="E235" s="8">
        <v>0.51480000000000004</v>
      </c>
      <c r="F235" t="s">
        <v>106</v>
      </c>
      <c r="G235" t="s">
        <v>107</v>
      </c>
      <c r="H235" t="s">
        <v>21</v>
      </c>
      <c r="I235" t="s">
        <v>411</v>
      </c>
    </row>
    <row r="236" spans="1:9">
      <c r="A236" t="s">
        <v>110</v>
      </c>
      <c r="B236" t="s">
        <v>402</v>
      </c>
      <c r="C236" t="s">
        <v>152</v>
      </c>
      <c r="D236" s="6">
        <v>2050</v>
      </c>
      <c r="E236" s="8">
        <v>0.51480000000000004</v>
      </c>
      <c r="F236" t="s">
        <v>106</v>
      </c>
      <c r="G236" t="s">
        <v>107</v>
      </c>
      <c r="H236" t="s">
        <v>21</v>
      </c>
      <c r="I236" t="s">
        <v>411</v>
      </c>
    </row>
    <row r="237" spans="1:9">
      <c r="A237" t="s">
        <v>110</v>
      </c>
      <c r="B237" t="s">
        <v>402</v>
      </c>
      <c r="C237" t="s">
        <v>392</v>
      </c>
      <c r="D237" s="6">
        <v>2050</v>
      </c>
      <c r="E237" s="8">
        <v>0.51480000000000004</v>
      </c>
      <c r="F237" t="s">
        <v>106</v>
      </c>
      <c r="G237" t="s">
        <v>107</v>
      </c>
      <c r="H237" t="s">
        <v>21</v>
      </c>
      <c r="I237" t="s">
        <v>411</v>
      </c>
    </row>
    <row r="238" spans="1:9">
      <c r="A238" t="s">
        <v>110</v>
      </c>
      <c r="B238" t="s">
        <v>402</v>
      </c>
      <c r="C238" t="s">
        <v>393</v>
      </c>
      <c r="D238" s="6">
        <v>2050</v>
      </c>
      <c r="E238" s="8">
        <v>0.51480000000000004</v>
      </c>
      <c r="F238" t="s">
        <v>106</v>
      </c>
      <c r="G238" t="s">
        <v>107</v>
      </c>
      <c r="H238" t="s">
        <v>21</v>
      </c>
      <c r="I238" t="s">
        <v>411</v>
      </c>
    </row>
    <row r="239" spans="1:9">
      <c r="A239" t="s">
        <v>110</v>
      </c>
      <c r="B239" t="s">
        <v>402</v>
      </c>
      <c r="C239" t="s">
        <v>394</v>
      </c>
      <c r="D239" s="6">
        <v>2050</v>
      </c>
      <c r="E239" s="8">
        <v>0.51480000000000004</v>
      </c>
      <c r="F239" t="s">
        <v>106</v>
      </c>
      <c r="G239" t="s">
        <v>107</v>
      </c>
      <c r="H239" t="s">
        <v>21</v>
      </c>
      <c r="I239" t="s">
        <v>411</v>
      </c>
    </row>
    <row r="240" spans="1:9">
      <c r="A240" t="s">
        <v>110</v>
      </c>
      <c r="B240" t="s">
        <v>402</v>
      </c>
      <c r="C240" t="s">
        <v>156</v>
      </c>
      <c r="D240" s="6">
        <v>2050</v>
      </c>
      <c r="E240" s="8">
        <v>0.51480000000000004</v>
      </c>
      <c r="F240" t="s">
        <v>106</v>
      </c>
      <c r="G240" t="s">
        <v>107</v>
      </c>
      <c r="H240" t="s">
        <v>21</v>
      </c>
      <c r="I240" t="s">
        <v>411</v>
      </c>
    </row>
    <row r="241" spans="1:9">
      <c r="A241" t="s">
        <v>110</v>
      </c>
      <c r="B241" t="s">
        <v>402</v>
      </c>
      <c r="C241" t="s">
        <v>157</v>
      </c>
      <c r="D241" s="6">
        <v>2050</v>
      </c>
      <c r="E241" s="8">
        <v>0.51480000000000004</v>
      </c>
      <c r="F241" t="s">
        <v>106</v>
      </c>
      <c r="G241" t="s">
        <v>107</v>
      </c>
      <c r="H241" t="s">
        <v>21</v>
      </c>
      <c r="I241" t="s">
        <v>411</v>
      </c>
    </row>
    <row r="242" spans="1:9">
      <c r="A242" t="s">
        <v>108</v>
      </c>
      <c r="B242" t="s">
        <v>402</v>
      </c>
      <c r="C242" t="s">
        <v>150</v>
      </c>
      <c r="D242" s="6">
        <v>2010</v>
      </c>
      <c r="E242" s="8">
        <v>2.0178000000000003</v>
      </c>
      <c r="F242" t="s">
        <v>106</v>
      </c>
      <c r="G242" t="s">
        <v>107</v>
      </c>
      <c r="H242" t="s">
        <v>21</v>
      </c>
      <c r="I242" t="s">
        <v>412</v>
      </c>
    </row>
    <row r="243" spans="1:9">
      <c r="A243" t="s">
        <v>108</v>
      </c>
      <c r="B243" t="s">
        <v>402</v>
      </c>
      <c r="C243" t="s">
        <v>151</v>
      </c>
      <c r="D243" s="6">
        <v>2010</v>
      </c>
      <c r="E243" s="8">
        <v>2.0178000000000003</v>
      </c>
      <c r="F243" t="s">
        <v>106</v>
      </c>
      <c r="G243" t="s">
        <v>107</v>
      </c>
      <c r="H243" t="s">
        <v>21</v>
      </c>
      <c r="I243" t="s">
        <v>412</v>
      </c>
    </row>
    <row r="244" spans="1:9">
      <c r="A244" t="s">
        <v>108</v>
      </c>
      <c r="B244" t="s">
        <v>402</v>
      </c>
      <c r="C244" t="s">
        <v>152</v>
      </c>
      <c r="D244" s="6">
        <v>2010</v>
      </c>
      <c r="E244" s="8">
        <v>2.0178000000000003</v>
      </c>
      <c r="F244" t="s">
        <v>106</v>
      </c>
      <c r="G244" t="s">
        <v>107</v>
      </c>
      <c r="H244" t="s">
        <v>21</v>
      </c>
      <c r="I244" t="s">
        <v>412</v>
      </c>
    </row>
    <row r="245" spans="1:9">
      <c r="A245" t="s">
        <v>108</v>
      </c>
      <c r="B245" t="s">
        <v>402</v>
      </c>
      <c r="C245" t="s">
        <v>392</v>
      </c>
      <c r="D245" s="6">
        <v>2010</v>
      </c>
      <c r="E245" s="8">
        <v>2.0178000000000003</v>
      </c>
      <c r="F245" t="s">
        <v>106</v>
      </c>
      <c r="G245" t="s">
        <v>107</v>
      </c>
      <c r="H245" t="s">
        <v>21</v>
      </c>
      <c r="I245" t="s">
        <v>412</v>
      </c>
    </row>
    <row r="246" spans="1:9">
      <c r="A246" t="s">
        <v>108</v>
      </c>
      <c r="B246" t="s">
        <v>402</v>
      </c>
      <c r="C246" t="s">
        <v>393</v>
      </c>
      <c r="D246" s="6">
        <v>2010</v>
      </c>
      <c r="E246" s="8">
        <v>2.0178000000000003</v>
      </c>
      <c r="F246" t="s">
        <v>106</v>
      </c>
      <c r="G246" t="s">
        <v>107</v>
      </c>
      <c r="H246" t="s">
        <v>21</v>
      </c>
      <c r="I246" t="s">
        <v>412</v>
      </c>
    </row>
    <row r="247" spans="1:9">
      <c r="A247" t="s">
        <v>108</v>
      </c>
      <c r="B247" t="s">
        <v>402</v>
      </c>
      <c r="C247" t="s">
        <v>394</v>
      </c>
      <c r="D247" s="6">
        <v>2010</v>
      </c>
      <c r="E247" s="8">
        <v>2.0178000000000003</v>
      </c>
      <c r="F247" t="s">
        <v>106</v>
      </c>
      <c r="G247" t="s">
        <v>107</v>
      </c>
      <c r="H247" t="s">
        <v>21</v>
      </c>
      <c r="I247" t="s">
        <v>412</v>
      </c>
    </row>
    <row r="248" spans="1:9">
      <c r="A248" t="s">
        <v>108</v>
      </c>
      <c r="B248" t="s">
        <v>402</v>
      </c>
      <c r="C248" t="s">
        <v>156</v>
      </c>
      <c r="D248" s="6">
        <v>2010</v>
      </c>
      <c r="E248" s="8">
        <v>2.0178000000000003</v>
      </c>
      <c r="F248" t="s">
        <v>106</v>
      </c>
      <c r="G248" t="s">
        <v>107</v>
      </c>
      <c r="H248" t="s">
        <v>21</v>
      </c>
      <c r="I248" t="s">
        <v>412</v>
      </c>
    </row>
    <row r="249" spans="1:9">
      <c r="A249" t="s">
        <v>108</v>
      </c>
      <c r="B249" t="s">
        <v>402</v>
      </c>
      <c r="C249" t="s">
        <v>157</v>
      </c>
      <c r="D249" s="6">
        <v>2010</v>
      </c>
      <c r="E249" s="8">
        <v>2.0178000000000003</v>
      </c>
      <c r="F249" t="s">
        <v>106</v>
      </c>
      <c r="G249" t="s">
        <v>107</v>
      </c>
      <c r="H249" t="s">
        <v>21</v>
      </c>
      <c r="I249" t="s">
        <v>412</v>
      </c>
    </row>
    <row r="250" spans="1:9">
      <c r="A250" t="s">
        <v>108</v>
      </c>
      <c r="B250" t="s">
        <v>402</v>
      </c>
      <c r="C250" t="s">
        <v>150</v>
      </c>
      <c r="D250" s="6">
        <v>2030</v>
      </c>
      <c r="E250" s="8">
        <v>1.46034</v>
      </c>
      <c r="F250" t="s">
        <v>106</v>
      </c>
      <c r="G250" t="s">
        <v>107</v>
      </c>
      <c r="H250" t="s">
        <v>21</v>
      </c>
      <c r="I250" t="s">
        <v>412</v>
      </c>
    </row>
    <row r="251" spans="1:9">
      <c r="A251" t="s">
        <v>108</v>
      </c>
      <c r="B251" t="s">
        <v>402</v>
      </c>
      <c r="C251" t="s">
        <v>151</v>
      </c>
      <c r="D251" s="6">
        <v>2030</v>
      </c>
      <c r="E251" s="8">
        <v>1.46034</v>
      </c>
      <c r="F251" t="s">
        <v>106</v>
      </c>
      <c r="G251" t="s">
        <v>107</v>
      </c>
      <c r="H251" t="s">
        <v>21</v>
      </c>
      <c r="I251" t="s">
        <v>412</v>
      </c>
    </row>
    <row r="252" spans="1:9">
      <c r="A252" t="s">
        <v>108</v>
      </c>
      <c r="B252" t="s">
        <v>402</v>
      </c>
      <c r="C252" t="s">
        <v>152</v>
      </c>
      <c r="D252" s="6">
        <v>2030</v>
      </c>
      <c r="E252" s="8">
        <v>1.46034</v>
      </c>
      <c r="F252" t="s">
        <v>106</v>
      </c>
      <c r="G252" t="s">
        <v>107</v>
      </c>
      <c r="H252" t="s">
        <v>21</v>
      </c>
      <c r="I252" t="s">
        <v>412</v>
      </c>
    </row>
    <row r="253" spans="1:9">
      <c r="A253" t="s">
        <v>108</v>
      </c>
      <c r="B253" t="s">
        <v>402</v>
      </c>
      <c r="C253" t="s">
        <v>392</v>
      </c>
      <c r="D253" s="6">
        <v>2030</v>
      </c>
      <c r="E253" s="8">
        <v>1.46034</v>
      </c>
      <c r="F253" t="s">
        <v>106</v>
      </c>
      <c r="G253" t="s">
        <v>107</v>
      </c>
      <c r="H253" t="s">
        <v>21</v>
      </c>
      <c r="I253" t="s">
        <v>412</v>
      </c>
    </row>
    <row r="254" spans="1:9">
      <c r="A254" t="s">
        <v>108</v>
      </c>
      <c r="B254" t="s">
        <v>402</v>
      </c>
      <c r="C254" t="s">
        <v>393</v>
      </c>
      <c r="D254" s="6">
        <v>2030</v>
      </c>
      <c r="E254" s="8">
        <v>1.46034</v>
      </c>
      <c r="F254" t="s">
        <v>106</v>
      </c>
      <c r="G254" t="s">
        <v>107</v>
      </c>
      <c r="H254" t="s">
        <v>21</v>
      </c>
      <c r="I254" t="s">
        <v>412</v>
      </c>
    </row>
    <row r="255" spans="1:9">
      <c r="A255" t="s">
        <v>108</v>
      </c>
      <c r="B255" t="s">
        <v>402</v>
      </c>
      <c r="C255" t="s">
        <v>394</v>
      </c>
      <c r="D255" s="6">
        <v>2030</v>
      </c>
      <c r="E255" s="8">
        <v>1.46034</v>
      </c>
      <c r="F255" t="s">
        <v>106</v>
      </c>
      <c r="G255" t="s">
        <v>107</v>
      </c>
      <c r="H255" t="s">
        <v>21</v>
      </c>
      <c r="I255" t="s">
        <v>412</v>
      </c>
    </row>
    <row r="256" spans="1:9">
      <c r="A256" t="s">
        <v>108</v>
      </c>
      <c r="B256" t="s">
        <v>402</v>
      </c>
      <c r="C256" t="s">
        <v>156</v>
      </c>
      <c r="D256" s="6">
        <v>2030</v>
      </c>
      <c r="E256" s="8">
        <v>1.46034</v>
      </c>
      <c r="F256" t="s">
        <v>106</v>
      </c>
      <c r="G256" t="s">
        <v>107</v>
      </c>
      <c r="H256" t="s">
        <v>21</v>
      </c>
      <c r="I256" t="s">
        <v>412</v>
      </c>
    </row>
    <row r="257" spans="1:9">
      <c r="A257" t="s">
        <v>108</v>
      </c>
      <c r="B257" t="s">
        <v>402</v>
      </c>
      <c r="C257" t="s">
        <v>157</v>
      </c>
      <c r="D257" s="6">
        <v>2030</v>
      </c>
      <c r="E257" s="8">
        <v>1.46034</v>
      </c>
      <c r="F257" t="s">
        <v>106</v>
      </c>
      <c r="G257" t="s">
        <v>107</v>
      </c>
      <c r="H257" t="s">
        <v>21</v>
      </c>
      <c r="I257" t="s">
        <v>412</v>
      </c>
    </row>
    <row r="258" spans="1:9">
      <c r="A258" t="s">
        <v>108</v>
      </c>
      <c r="B258" t="s">
        <v>402</v>
      </c>
      <c r="C258" t="s">
        <v>150</v>
      </c>
      <c r="D258" s="6">
        <v>2050</v>
      </c>
      <c r="E258" s="8">
        <v>1.1286</v>
      </c>
      <c r="F258" t="s">
        <v>106</v>
      </c>
      <c r="G258" t="s">
        <v>107</v>
      </c>
      <c r="H258" t="s">
        <v>21</v>
      </c>
      <c r="I258" t="s">
        <v>412</v>
      </c>
    </row>
    <row r="259" spans="1:9">
      <c r="A259" t="s">
        <v>108</v>
      </c>
      <c r="B259" t="s">
        <v>402</v>
      </c>
      <c r="C259" t="s">
        <v>151</v>
      </c>
      <c r="D259" s="6">
        <v>2050</v>
      </c>
      <c r="E259" s="8">
        <v>1.1286</v>
      </c>
      <c r="F259" t="s">
        <v>106</v>
      </c>
      <c r="G259" t="s">
        <v>107</v>
      </c>
      <c r="H259" t="s">
        <v>21</v>
      </c>
      <c r="I259" t="s">
        <v>412</v>
      </c>
    </row>
    <row r="260" spans="1:9">
      <c r="A260" t="s">
        <v>108</v>
      </c>
      <c r="B260" t="s">
        <v>402</v>
      </c>
      <c r="C260" t="s">
        <v>152</v>
      </c>
      <c r="D260" s="6">
        <v>2050</v>
      </c>
      <c r="E260" s="8">
        <v>1.1286</v>
      </c>
      <c r="F260" t="s">
        <v>106</v>
      </c>
      <c r="G260" t="s">
        <v>107</v>
      </c>
      <c r="H260" t="s">
        <v>21</v>
      </c>
      <c r="I260" t="s">
        <v>412</v>
      </c>
    </row>
    <row r="261" spans="1:9">
      <c r="A261" t="s">
        <v>108</v>
      </c>
      <c r="B261" t="s">
        <v>402</v>
      </c>
      <c r="C261" t="s">
        <v>392</v>
      </c>
      <c r="D261" s="6">
        <v>2050</v>
      </c>
      <c r="E261" s="8">
        <v>1.1286</v>
      </c>
      <c r="F261" t="s">
        <v>106</v>
      </c>
      <c r="G261" t="s">
        <v>107</v>
      </c>
      <c r="H261" t="s">
        <v>21</v>
      </c>
      <c r="I261" t="s">
        <v>412</v>
      </c>
    </row>
    <row r="262" spans="1:9">
      <c r="A262" t="s">
        <v>108</v>
      </c>
      <c r="B262" t="s">
        <v>402</v>
      </c>
      <c r="C262" t="s">
        <v>393</v>
      </c>
      <c r="D262" s="6">
        <v>2050</v>
      </c>
      <c r="E262" s="8">
        <v>1.1286</v>
      </c>
      <c r="F262" t="s">
        <v>106</v>
      </c>
      <c r="G262" t="s">
        <v>107</v>
      </c>
      <c r="H262" t="s">
        <v>21</v>
      </c>
      <c r="I262" t="s">
        <v>412</v>
      </c>
    </row>
    <row r="263" spans="1:9">
      <c r="A263" t="s">
        <v>108</v>
      </c>
      <c r="B263" t="s">
        <v>402</v>
      </c>
      <c r="C263" t="s">
        <v>394</v>
      </c>
      <c r="D263" s="6">
        <v>2050</v>
      </c>
      <c r="E263" s="8">
        <v>1.1286</v>
      </c>
      <c r="F263" t="s">
        <v>106</v>
      </c>
      <c r="G263" t="s">
        <v>107</v>
      </c>
      <c r="H263" t="s">
        <v>21</v>
      </c>
      <c r="I263" t="s">
        <v>412</v>
      </c>
    </row>
    <row r="264" spans="1:9">
      <c r="A264" t="s">
        <v>108</v>
      </c>
      <c r="B264" t="s">
        <v>402</v>
      </c>
      <c r="C264" t="s">
        <v>156</v>
      </c>
      <c r="D264" s="6">
        <v>2050</v>
      </c>
      <c r="E264" s="8">
        <v>1.1286</v>
      </c>
      <c r="F264" t="s">
        <v>106</v>
      </c>
      <c r="G264" t="s">
        <v>107</v>
      </c>
      <c r="H264" t="s">
        <v>21</v>
      </c>
      <c r="I264" t="s">
        <v>412</v>
      </c>
    </row>
    <row r="265" spans="1:9">
      <c r="A265" t="s">
        <v>108</v>
      </c>
      <c r="B265" t="s">
        <v>402</v>
      </c>
      <c r="C265" t="s">
        <v>157</v>
      </c>
      <c r="D265" s="6">
        <v>2050</v>
      </c>
      <c r="E265" s="8">
        <v>1.1286</v>
      </c>
      <c r="F265" t="s">
        <v>106</v>
      </c>
      <c r="G265" t="s">
        <v>107</v>
      </c>
      <c r="H265" t="s">
        <v>21</v>
      </c>
      <c r="I265" t="s">
        <v>412</v>
      </c>
    </row>
    <row r="266" spans="1:9">
      <c r="A266" t="s">
        <v>396</v>
      </c>
      <c r="B266" t="s">
        <v>403</v>
      </c>
      <c r="C266" t="s">
        <v>150</v>
      </c>
      <c r="D266" s="6">
        <v>2010</v>
      </c>
      <c r="E266" s="8">
        <v>182.14668</v>
      </c>
      <c r="F266" t="s">
        <v>106</v>
      </c>
      <c r="G266" t="s">
        <v>107</v>
      </c>
      <c r="H266" t="s">
        <v>21</v>
      </c>
      <c r="I266" t="s">
        <v>387</v>
      </c>
    </row>
    <row r="267" spans="1:9">
      <c r="A267" t="s">
        <v>396</v>
      </c>
      <c r="B267" t="s">
        <v>403</v>
      </c>
      <c r="C267" t="s">
        <v>151</v>
      </c>
      <c r="D267" s="6">
        <v>2010</v>
      </c>
      <c r="E267" s="8">
        <v>152.33382</v>
      </c>
      <c r="F267" t="s">
        <v>106</v>
      </c>
      <c r="G267" t="s">
        <v>107</v>
      </c>
      <c r="H267" t="s">
        <v>21</v>
      </c>
      <c r="I267" t="s">
        <v>387</v>
      </c>
    </row>
    <row r="268" spans="1:9">
      <c r="A268" t="s">
        <v>396</v>
      </c>
      <c r="B268" t="s">
        <v>403</v>
      </c>
      <c r="C268" t="s">
        <v>152</v>
      </c>
      <c r="D268" s="6">
        <v>2010</v>
      </c>
      <c r="E268" s="8">
        <v>172.08</v>
      </c>
      <c r="F268" t="s">
        <v>106</v>
      </c>
      <c r="G268" t="s">
        <v>107</v>
      </c>
      <c r="H268" t="s">
        <v>21</v>
      </c>
      <c r="I268" t="s">
        <v>387</v>
      </c>
    </row>
    <row r="269" spans="1:9">
      <c r="A269" t="s">
        <v>396</v>
      </c>
      <c r="B269" t="s">
        <v>403</v>
      </c>
      <c r="C269" t="s">
        <v>392</v>
      </c>
      <c r="D269" s="6">
        <v>2010</v>
      </c>
      <c r="E269" s="8">
        <v>152.54892000000001</v>
      </c>
      <c r="F269" t="s">
        <v>106</v>
      </c>
      <c r="G269" t="s">
        <v>107</v>
      </c>
      <c r="H269" t="s">
        <v>21</v>
      </c>
      <c r="I269" t="s">
        <v>387</v>
      </c>
    </row>
    <row r="270" spans="1:9">
      <c r="A270" t="s">
        <v>396</v>
      </c>
      <c r="B270" t="s">
        <v>403</v>
      </c>
      <c r="C270" t="s">
        <v>393</v>
      </c>
      <c r="D270" s="6">
        <v>2010</v>
      </c>
      <c r="E270" s="8">
        <v>175.34952000000001</v>
      </c>
      <c r="F270" t="s">
        <v>106</v>
      </c>
      <c r="G270" t="s">
        <v>107</v>
      </c>
      <c r="H270" t="s">
        <v>21</v>
      </c>
      <c r="I270" t="s">
        <v>387</v>
      </c>
    </row>
    <row r="271" spans="1:9">
      <c r="A271" t="s">
        <v>396</v>
      </c>
      <c r="B271" t="s">
        <v>403</v>
      </c>
      <c r="C271" t="s">
        <v>394</v>
      </c>
      <c r="D271" s="6">
        <v>2010</v>
      </c>
      <c r="E271" s="8">
        <v>218.41254000000001</v>
      </c>
      <c r="F271" t="s">
        <v>106</v>
      </c>
      <c r="G271" t="s">
        <v>107</v>
      </c>
      <c r="H271" t="s">
        <v>21</v>
      </c>
      <c r="I271" t="s">
        <v>387</v>
      </c>
    </row>
    <row r="272" spans="1:9">
      <c r="A272" t="s">
        <v>396</v>
      </c>
      <c r="B272" t="s">
        <v>403</v>
      </c>
      <c r="C272" t="s">
        <v>156</v>
      </c>
      <c r="D272" s="6">
        <v>2010</v>
      </c>
      <c r="E272" s="8">
        <v>180.08172000000002</v>
      </c>
      <c r="F272" t="s">
        <v>106</v>
      </c>
      <c r="G272" t="s">
        <v>107</v>
      </c>
      <c r="H272" t="s">
        <v>21</v>
      </c>
      <c r="I272" t="s">
        <v>387</v>
      </c>
    </row>
    <row r="273" spans="1:9">
      <c r="A273" t="s">
        <v>396</v>
      </c>
      <c r="B273" t="s">
        <v>403</v>
      </c>
      <c r="C273" t="s">
        <v>157</v>
      </c>
      <c r="D273" s="6">
        <v>2010</v>
      </c>
      <c r="E273" s="8">
        <v>182.14668</v>
      </c>
      <c r="F273" t="s">
        <v>106</v>
      </c>
      <c r="G273" t="s">
        <v>107</v>
      </c>
      <c r="H273" t="s">
        <v>21</v>
      </c>
      <c r="I273" t="s">
        <v>387</v>
      </c>
    </row>
    <row r="274" spans="1:9">
      <c r="A274" t="s">
        <v>396</v>
      </c>
      <c r="B274" t="s">
        <v>403</v>
      </c>
      <c r="C274" t="s">
        <v>150</v>
      </c>
      <c r="D274" s="6">
        <v>2030</v>
      </c>
      <c r="E274" s="8">
        <v>127.51128000000001</v>
      </c>
      <c r="F274" t="s">
        <v>106</v>
      </c>
      <c r="G274" t="s">
        <v>107</v>
      </c>
      <c r="H274" t="s">
        <v>21</v>
      </c>
      <c r="I274" t="s">
        <v>387</v>
      </c>
    </row>
    <row r="275" spans="1:9">
      <c r="A275" t="s">
        <v>396</v>
      </c>
      <c r="B275" t="s">
        <v>403</v>
      </c>
      <c r="C275" t="s">
        <v>151</v>
      </c>
      <c r="D275" s="6">
        <v>2030</v>
      </c>
      <c r="E275" s="8">
        <v>106.64658</v>
      </c>
      <c r="F275" t="s">
        <v>106</v>
      </c>
      <c r="G275" t="s">
        <v>107</v>
      </c>
      <c r="H275" t="s">
        <v>21</v>
      </c>
      <c r="I275" t="s">
        <v>387</v>
      </c>
    </row>
    <row r="276" spans="1:9">
      <c r="A276" t="s">
        <v>396</v>
      </c>
      <c r="B276" t="s">
        <v>403</v>
      </c>
      <c r="C276" t="s">
        <v>152</v>
      </c>
      <c r="D276" s="6">
        <v>2030</v>
      </c>
      <c r="E276" s="8">
        <v>120.456</v>
      </c>
      <c r="F276" t="s">
        <v>106</v>
      </c>
      <c r="G276" t="s">
        <v>107</v>
      </c>
      <c r="H276" t="s">
        <v>21</v>
      </c>
      <c r="I276" t="s">
        <v>387</v>
      </c>
    </row>
    <row r="277" spans="1:9">
      <c r="A277" t="s">
        <v>396</v>
      </c>
      <c r="B277" t="s">
        <v>403</v>
      </c>
      <c r="C277" t="s">
        <v>392</v>
      </c>
      <c r="D277" s="6">
        <v>2030</v>
      </c>
      <c r="E277" s="8">
        <v>106.77564000000001</v>
      </c>
      <c r="F277" t="s">
        <v>106</v>
      </c>
      <c r="G277" t="s">
        <v>107</v>
      </c>
      <c r="H277" t="s">
        <v>21</v>
      </c>
      <c r="I277" t="s">
        <v>387</v>
      </c>
    </row>
    <row r="278" spans="1:9">
      <c r="A278" t="s">
        <v>396</v>
      </c>
      <c r="B278" t="s">
        <v>403</v>
      </c>
      <c r="C278" t="s">
        <v>393</v>
      </c>
      <c r="D278" s="6">
        <v>2030</v>
      </c>
      <c r="E278" s="8">
        <v>122.73606000000001</v>
      </c>
      <c r="F278" t="s">
        <v>106</v>
      </c>
      <c r="G278" t="s">
        <v>107</v>
      </c>
      <c r="H278" t="s">
        <v>21</v>
      </c>
      <c r="I278" t="s">
        <v>387</v>
      </c>
    </row>
    <row r="279" spans="1:9">
      <c r="A279" t="s">
        <v>396</v>
      </c>
      <c r="B279" t="s">
        <v>403</v>
      </c>
      <c r="C279" t="s">
        <v>394</v>
      </c>
      <c r="D279" s="6">
        <v>2030</v>
      </c>
      <c r="E279" s="8">
        <v>152.89308</v>
      </c>
      <c r="F279" t="s">
        <v>106</v>
      </c>
      <c r="G279" t="s">
        <v>107</v>
      </c>
      <c r="H279" t="s">
        <v>21</v>
      </c>
      <c r="I279" t="s">
        <v>387</v>
      </c>
    </row>
    <row r="280" spans="1:9">
      <c r="A280" t="s">
        <v>396</v>
      </c>
      <c r="B280" t="s">
        <v>403</v>
      </c>
      <c r="C280" t="s">
        <v>156</v>
      </c>
      <c r="D280" s="6">
        <v>2030</v>
      </c>
      <c r="E280" s="8">
        <v>126.04860000000001</v>
      </c>
      <c r="F280" t="s">
        <v>106</v>
      </c>
      <c r="G280" t="s">
        <v>107</v>
      </c>
      <c r="H280" t="s">
        <v>21</v>
      </c>
      <c r="I280" t="s">
        <v>387</v>
      </c>
    </row>
    <row r="281" spans="1:9">
      <c r="A281" t="s">
        <v>396</v>
      </c>
      <c r="B281" t="s">
        <v>403</v>
      </c>
      <c r="C281" t="s">
        <v>157</v>
      </c>
      <c r="D281" s="6">
        <v>2030</v>
      </c>
      <c r="E281" s="8">
        <v>127.51128000000001</v>
      </c>
      <c r="F281" t="s">
        <v>106</v>
      </c>
      <c r="G281" t="s">
        <v>107</v>
      </c>
      <c r="H281" t="s">
        <v>21</v>
      </c>
      <c r="I281" t="s">
        <v>387</v>
      </c>
    </row>
    <row r="282" spans="1:9">
      <c r="A282" t="s">
        <v>396</v>
      </c>
      <c r="B282" t="s">
        <v>403</v>
      </c>
      <c r="C282" t="s">
        <v>150</v>
      </c>
      <c r="D282" s="6">
        <v>2050</v>
      </c>
      <c r="E282" s="8">
        <v>89.266500000000008</v>
      </c>
      <c r="F282" t="s">
        <v>106</v>
      </c>
      <c r="G282" t="s">
        <v>107</v>
      </c>
      <c r="H282" t="s">
        <v>21</v>
      </c>
      <c r="I282" t="s">
        <v>387</v>
      </c>
    </row>
    <row r="283" spans="1:9">
      <c r="A283" t="s">
        <v>396</v>
      </c>
      <c r="B283" t="s">
        <v>403</v>
      </c>
      <c r="C283" t="s">
        <v>151</v>
      </c>
      <c r="D283" s="6">
        <v>2050</v>
      </c>
      <c r="E283" s="8">
        <v>74.639700000000005</v>
      </c>
      <c r="F283" t="s">
        <v>106</v>
      </c>
      <c r="G283" t="s">
        <v>107</v>
      </c>
      <c r="H283" t="s">
        <v>21</v>
      </c>
      <c r="I283" t="s">
        <v>387</v>
      </c>
    </row>
    <row r="284" spans="1:9">
      <c r="A284" t="s">
        <v>396</v>
      </c>
      <c r="B284" t="s">
        <v>403</v>
      </c>
      <c r="C284" t="s">
        <v>152</v>
      </c>
      <c r="D284" s="6">
        <v>2050</v>
      </c>
      <c r="E284" s="8">
        <v>84.319200000000009</v>
      </c>
      <c r="F284" t="s">
        <v>106</v>
      </c>
      <c r="G284" t="s">
        <v>107</v>
      </c>
      <c r="H284" t="s">
        <v>21</v>
      </c>
      <c r="I284" t="s">
        <v>387</v>
      </c>
    </row>
    <row r="285" spans="1:9">
      <c r="A285" t="s">
        <v>396</v>
      </c>
      <c r="B285" t="s">
        <v>403</v>
      </c>
      <c r="C285" t="s">
        <v>392</v>
      </c>
      <c r="D285" s="6">
        <v>2050</v>
      </c>
      <c r="E285" s="8">
        <v>74.725740000000002</v>
      </c>
      <c r="F285" t="s">
        <v>106</v>
      </c>
      <c r="G285" t="s">
        <v>107</v>
      </c>
      <c r="H285" t="s">
        <v>21</v>
      </c>
      <c r="I285" t="s">
        <v>387</v>
      </c>
    </row>
    <row r="286" spans="1:9">
      <c r="A286" t="s">
        <v>396</v>
      </c>
      <c r="B286" t="s">
        <v>403</v>
      </c>
      <c r="C286" t="s">
        <v>393</v>
      </c>
      <c r="D286" s="6">
        <v>2050</v>
      </c>
      <c r="E286" s="8">
        <v>85.910940000000011</v>
      </c>
      <c r="F286" t="s">
        <v>106</v>
      </c>
      <c r="G286" t="s">
        <v>107</v>
      </c>
      <c r="H286" t="s">
        <v>21</v>
      </c>
      <c r="I286" t="s">
        <v>387</v>
      </c>
    </row>
    <row r="287" spans="1:9">
      <c r="A287" t="s">
        <v>396</v>
      </c>
      <c r="B287" t="s">
        <v>403</v>
      </c>
      <c r="C287" t="s">
        <v>394</v>
      </c>
      <c r="D287" s="6">
        <v>2050</v>
      </c>
      <c r="E287" s="8">
        <v>107.03376</v>
      </c>
      <c r="F287" t="s">
        <v>106</v>
      </c>
      <c r="G287" t="s">
        <v>107</v>
      </c>
      <c r="H287" t="s">
        <v>21</v>
      </c>
      <c r="I287" t="s">
        <v>387</v>
      </c>
    </row>
    <row r="288" spans="1:9">
      <c r="A288" t="s">
        <v>396</v>
      </c>
      <c r="B288" t="s">
        <v>403</v>
      </c>
      <c r="C288" t="s">
        <v>156</v>
      </c>
      <c r="D288" s="6">
        <v>2050</v>
      </c>
      <c r="E288" s="8">
        <v>88.234020000000001</v>
      </c>
      <c r="F288" t="s">
        <v>106</v>
      </c>
      <c r="G288" t="s">
        <v>107</v>
      </c>
      <c r="H288" t="s">
        <v>21</v>
      </c>
      <c r="I288" t="s">
        <v>387</v>
      </c>
    </row>
    <row r="289" spans="1:9">
      <c r="A289" t="s">
        <v>396</v>
      </c>
      <c r="B289" t="s">
        <v>403</v>
      </c>
      <c r="C289" t="s">
        <v>157</v>
      </c>
      <c r="D289" s="6">
        <v>2050</v>
      </c>
      <c r="E289" s="8">
        <v>89.266500000000008</v>
      </c>
      <c r="F289" t="s">
        <v>106</v>
      </c>
      <c r="G289" t="s">
        <v>107</v>
      </c>
      <c r="H289" t="s">
        <v>21</v>
      </c>
      <c r="I289" t="s">
        <v>387</v>
      </c>
    </row>
    <row r="290" spans="1:9">
      <c r="A290" t="s">
        <v>109</v>
      </c>
      <c r="B290" t="s">
        <v>404</v>
      </c>
      <c r="C290" s="50" t="s">
        <v>150</v>
      </c>
      <c r="D290" s="102">
        <v>2010</v>
      </c>
      <c r="E290" s="8">
        <v>11.417999999999999</v>
      </c>
      <c r="F290" t="s">
        <v>106</v>
      </c>
      <c r="G290" t="s">
        <v>107</v>
      </c>
      <c r="H290" t="s">
        <v>21</v>
      </c>
      <c r="I290" t="s">
        <v>388</v>
      </c>
    </row>
    <row r="291" spans="1:9">
      <c r="A291" t="s">
        <v>109</v>
      </c>
      <c r="B291" t="s">
        <v>404</v>
      </c>
      <c r="C291" s="50" t="s">
        <v>151</v>
      </c>
      <c r="D291" s="102">
        <v>2010</v>
      </c>
      <c r="E291" s="8">
        <v>16.953999999999997</v>
      </c>
      <c r="F291" t="s">
        <v>106</v>
      </c>
      <c r="G291" t="s">
        <v>107</v>
      </c>
      <c r="H291" t="s">
        <v>21</v>
      </c>
      <c r="I291" t="s">
        <v>388</v>
      </c>
    </row>
    <row r="292" spans="1:9">
      <c r="A292" t="s">
        <v>109</v>
      </c>
      <c r="B292" t="s">
        <v>404</v>
      </c>
      <c r="C292" s="50" t="s">
        <v>152</v>
      </c>
      <c r="D292" s="102">
        <v>2010</v>
      </c>
      <c r="E292" s="8">
        <v>16.262</v>
      </c>
      <c r="F292" t="s">
        <v>106</v>
      </c>
      <c r="G292" t="s">
        <v>107</v>
      </c>
      <c r="H292" t="s">
        <v>21</v>
      </c>
      <c r="I292" t="s">
        <v>388</v>
      </c>
    </row>
    <row r="293" spans="1:9">
      <c r="A293" t="s">
        <v>109</v>
      </c>
      <c r="B293" t="s">
        <v>404</v>
      </c>
      <c r="C293" s="50" t="s">
        <v>392</v>
      </c>
      <c r="D293" s="102">
        <v>2010</v>
      </c>
      <c r="E293" s="8">
        <v>16.262</v>
      </c>
      <c r="F293" t="s">
        <v>106</v>
      </c>
      <c r="G293" t="s">
        <v>107</v>
      </c>
      <c r="H293" t="s">
        <v>21</v>
      </c>
      <c r="I293" t="s">
        <v>388</v>
      </c>
    </row>
    <row r="294" spans="1:9">
      <c r="A294" t="s">
        <v>109</v>
      </c>
      <c r="B294" t="s">
        <v>404</v>
      </c>
      <c r="C294" s="50" t="s">
        <v>393</v>
      </c>
      <c r="D294" s="102">
        <v>2010</v>
      </c>
      <c r="E294" s="8">
        <v>16.262</v>
      </c>
      <c r="F294" t="s">
        <v>106</v>
      </c>
      <c r="G294" t="s">
        <v>107</v>
      </c>
      <c r="H294" t="s">
        <v>21</v>
      </c>
      <c r="I294" t="s">
        <v>388</v>
      </c>
    </row>
    <row r="295" spans="1:9">
      <c r="A295" t="s">
        <v>109</v>
      </c>
      <c r="B295" t="s">
        <v>404</v>
      </c>
      <c r="C295" s="50" t="s">
        <v>394</v>
      </c>
      <c r="D295" s="102">
        <v>2010</v>
      </c>
      <c r="E295" s="8">
        <v>16.262</v>
      </c>
      <c r="F295" t="s">
        <v>106</v>
      </c>
      <c r="G295" t="s">
        <v>107</v>
      </c>
      <c r="H295" t="s">
        <v>21</v>
      </c>
      <c r="I295" t="s">
        <v>388</v>
      </c>
    </row>
    <row r="296" spans="1:9">
      <c r="A296" t="s">
        <v>109</v>
      </c>
      <c r="B296" t="s">
        <v>404</v>
      </c>
      <c r="C296" s="50" t="s">
        <v>156</v>
      </c>
      <c r="D296" s="102">
        <v>2010</v>
      </c>
      <c r="E296" s="8">
        <v>10.725999999999999</v>
      </c>
      <c r="F296" t="s">
        <v>106</v>
      </c>
      <c r="G296" t="s">
        <v>107</v>
      </c>
      <c r="H296" t="s">
        <v>21</v>
      </c>
      <c r="I296" t="s">
        <v>388</v>
      </c>
    </row>
    <row r="297" spans="1:9">
      <c r="A297" t="s">
        <v>109</v>
      </c>
      <c r="B297" t="s">
        <v>404</v>
      </c>
      <c r="C297" s="50" t="s">
        <v>157</v>
      </c>
      <c r="D297" s="102">
        <v>2010</v>
      </c>
      <c r="E297" s="8">
        <v>13.84</v>
      </c>
      <c r="F297" t="s">
        <v>106</v>
      </c>
      <c r="G297" t="s">
        <v>107</v>
      </c>
      <c r="H297" t="s">
        <v>21</v>
      </c>
      <c r="I297" t="s">
        <v>388</v>
      </c>
    </row>
    <row r="298" spans="1:9">
      <c r="A298" t="s">
        <v>109</v>
      </c>
      <c r="B298" t="s">
        <v>404</v>
      </c>
      <c r="C298" s="50" t="s">
        <v>150</v>
      </c>
      <c r="D298" s="102">
        <v>2030</v>
      </c>
      <c r="E298" s="8">
        <v>9.6879999999999988</v>
      </c>
      <c r="F298" t="s">
        <v>106</v>
      </c>
      <c r="G298" t="s">
        <v>107</v>
      </c>
      <c r="H298" t="s">
        <v>21</v>
      </c>
      <c r="I298" t="s">
        <v>388</v>
      </c>
    </row>
    <row r="299" spans="1:9">
      <c r="A299" t="s">
        <v>109</v>
      </c>
      <c r="B299" t="s">
        <v>404</v>
      </c>
      <c r="C299" s="50" t="s">
        <v>151</v>
      </c>
      <c r="D299" s="102">
        <v>2030</v>
      </c>
      <c r="E299" s="8">
        <v>14.531999999999998</v>
      </c>
      <c r="F299" t="s">
        <v>106</v>
      </c>
      <c r="G299" t="s">
        <v>107</v>
      </c>
      <c r="H299" t="s">
        <v>21</v>
      </c>
      <c r="I299" t="s">
        <v>388</v>
      </c>
    </row>
    <row r="300" spans="1:9">
      <c r="A300" t="s">
        <v>109</v>
      </c>
      <c r="B300" t="s">
        <v>404</v>
      </c>
      <c r="C300" s="50" t="s">
        <v>152</v>
      </c>
      <c r="D300" s="102">
        <v>2030</v>
      </c>
      <c r="E300" s="8">
        <v>13.84</v>
      </c>
      <c r="F300" t="s">
        <v>106</v>
      </c>
      <c r="G300" t="s">
        <v>107</v>
      </c>
      <c r="H300" t="s">
        <v>21</v>
      </c>
      <c r="I300" t="s">
        <v>388</v>
      </c>
    </row>
    <row r="301" spans="1:9">
      <c r="A301" t="s">
        <v>109</v>
      </c>
      <c r="B301" t="s">
        <v>404</v>
      </c>
      <c r="C301" s="50" t="s">
        <v>392</v>
      </c>
      <c r="D301" s="102">
        <v>2030</v>
      </c>
      <c r="E301" s="8">
        <v>13.84</v>
      </c>
      <c r="F301" t="s">
        <v>106</v>
      </c>
      <c r="G301" t="s">
        <v>107</v>
      </c>
      <c r="H301" t="s">
        <v>21</v>
      </c>
      <c r="I301" t="s">
        <v>388</v>
      </c>
    </row>
    <row r="302" spans="1:9">
      <c r="A302" t="s">
        <v>109</v>
      </c>
      <c r="B302" t="s">
        <v>404</v>
      </c>
      <c r="C302" s="50" t="s">
        <v>393</v>
      </c>
      <c r="D302" s="102">
        <v>2030</v>
      </c>
      <c r="E302" s="8">
        <v>13.84</v>
      </c>
      <c r="F302" t="s">
        <v>106</v>
      </c>
      <c r="G302" t="s">
        <v>107</v>
      </c>
      <c r="H302" t="s">
        <v>21</v>
      </c>
      <c r="I302" t="s">
        <v>388</v>
      </c>
    </row>
    <row r="303" spans="1:9">
      <c r="A303" t="s">
        <v>109</v>
      </c>
      <c r="B303" t="s">
        <v>404</v>
      </c>
      <c r="C303" s="50" t="s">
        <v>394</v>
      </c>
      <c r="D303" s="102">
        <v>2030</v>
      </c>
      <c r="E303" s="8">
        <v>13.84</v>
      </c>
      <c r="F303" t="s">
        <v>106</v>
      </c>
      <c r="G303" t="s">
        <v>107</v>
      </c>
      <c r="H303" t="s">
        <v>21</v>
      </c>
      <c r="I303" t="s">
        <v>388</v>
      </c>
    </row>
    <row r="304" spans="1:9">
      <c r="A304" t="s">
        <v>109</v>
      </c>
      <c r="B304" t="s">
        <v>404</v>
      </c>
      <c r="C304" s="50" t="s">
        <v>156</v>
      </c>
      <c r="D304" s="102">
        <v>2030</v>
      </c>
      <c r="E304" s="8">
        <v>9.6879999999999988</v>
      </c>
      <c r="F304" t="s">
        <v>106</v>
      </c>
      <c r="G304" t="s">
        <v>107</v>
      </c>
      <c r="H304" t="s">
        <v>21</v>
      </c>
      <c r="I304" t="s">
        <v>388</v>
      </c>
    </row>
    <row r="305" spans="1:9">
      <c r="A305" t="s">
        <v>109</v>
      </c>
      <c r="B305" t="s">
        <v>404</v>
      </c>
      <c r="C305" s="50" t="s">
        <v>157</v>
      </c>
      <c r="D305" s="102">
        <v>2030</v>
      </c>
      <c r="E305" s="8">
        <v>10.725999999999999</v>
      </c>
      <c r="F305" t="s">
        <v>106</v>
      </c>
      <c r="G305" t="s">
        <v>107</v>
      </c>
      <c r="H305" t="s">
        <v>21</v>
      </c>
      <c r="I305" t="s">
        <v>388</v>
      </c>
    </row>
    <row r="306" spans="1:9">
      <c r="A306" t="s">
        <v>109</v>
      </c>
      <c r="B306" t="s">
        <v>404</v>
      </c>
      <c r="C306" s="50" t="s">
        <v>150</v>
      </c>
      <c r="D306" s="102">
        <v>2050</v>
      </c>
      <c r="E306" s="8">
        <v>7.9579999999999993</v>
      </c>
      <c r="F306" t="s">
        <v>106</v>
      </c>
      <c r="G306" t="s">
        <v>107</v>
      </c>
      <c r="H306" t="s">
        <v>21</v>
      </c>
      <c r="I306" t="s">
        <v>388</v>
      </c>
    </row>
    <row r="307" spans="1:9">
      <c r="A307" t="s">
        <v>109</v>
      </c>
      <c r="B307" t="s">
        <v>404</v>
      </c>
      <c r="C307" s="50" t="s">
        <v>151</v>
      </c>
      <c r="D307" s="102">
        <v>2050</v>
      </c>
      <c r="E307" s="8">
        <v>11.763999999999999</v>
      </c>
      <c r="F307" t="s">
        <v>106</v>
      </c>
      <c r="G307" t="s">
        <v>107</v>
      </c>
      <c r="H307" t="s">
        <v>21</v>
      </c>
      <c r="I307" t="s">
        <v>388</v>
      </c>
    </row>
    <row r="308" spans="1:9">
      <c r="A308" t="s">
        <v>109</v>
      </c>
      <c r="B308" t="s">
        <v>404</v>
      </c>
      <c r="C308" s="50" t="s">
        <v>152</v>
      </c>
      <c r="D308" s="102">
        <v>2050</v>
      </c>
      <c r="E308" s="8">
        <v>11.763999999999999</v>
      </c>
      <c r="F308" t="s">
        <v>106</v>
      </c>
      <c r="G308" t="s">
        <v>107</v>
      </c>
      <c r="H308" t="s">
        <v>21</v>
      </c>
      <c r="I308" t="s">
        <v>388</v>
      </c>
    </row>
    <row r="309" spans="1:9">
      <c r="A309" t="s">
        <v>109</v>
      </c>
      <c r="B309" t="s">
        <v>404</v>
      </c>
      <c r="C309" s="50" t="s">
        <v>392</v>
      </c>
      <c r="D309" s="102">
        <v>2050</v>
      </c>
      <c r="E309" s="8">
        <v>11.763999999999999</v>
      </c>
      <c r="F309" t="s">
        <v>106</v>
      </c>
      <c r="G309" t="s">
        <v>107</v>
      </c>
      <c r="H309" t="s">
        <v>21</v>
      </c>
      <c r="I309" t="s">
        <v>388</v>
      </c>
    </row>
    <row r="310" spans="1:9">
      <c r="A310" t="s">
        <v>109</v>
      </c>
      <c r="B310" t="s">
        <v>404</v>
      </c>
      <c r="C310" s="50" t="s">
        <v>393</v>
      </c>
      <c r="D310" s="102">
        <v>2050</v>
      </c>
      <c r="E310" s="8">
        <v>11.763999999999999</v>
      </c>
      <c r="F310" t="s">
        <v>106</v>
      </c>
      <c r="G310" t="s">
        <v>107</v>
      </c>
      <c r="H310" t="s">
        <v>21</v>
      </c>
      <c r="I310" t="s">
        <v>388</v>
      </c>
    </row>
    <row r="311" spans="1:9">
      <c r="A311" t="s">
        <v>109</v>
      </c>
      <c r="B311" t="s">
        <v>404</v>
      </c>
      <c r="C311" s="50" t="s">
        <v>394</v>
      </c>
      <c r="D311" s="102">
        <v>2050</v>
      </c>
      <c r="E311" s="8">
        <v>11.763999999999999</v>
      </c>
      <c r="F311" t="s">
        <v>106</v>
      </c>
      <c r="G311" t="s">
        <v>107</v>
      </c>
      <c r="H311" t="s">
        <v>21</v>
      </c>
      <c r="I311" t="s">
        <v>388</v>
      </c>
    </row>
    <row r="312" spans="1:9">
      <c r="A312" t="s">
        <v>109</v>
      </c>
      <c r="B312" t="s">
        <v>404</v>
      </c>
      <c r="C312" s="50" t="s">
        <v>156</v>
      </c>
      <c r="D312" s="102">
        <v>2050</v>
      </c>
      <c r="E312" s="8">
        <v>7.6119999999999992</v>
      </c>
      <c r="F312" t="s">
        <v>106</v>
      </c>
      <c r="G312" t="s">
        <v>107</v>
      </c>
      <c r="H312" t="s">
        <v>21</v>
      </c>
      <c r="I312" t="s">
        <v>388</v>
      </c>
    </row>
    <row r="313" spans="1:9">
      <c r="A313" t="s">
        <v>109</v>
      </c>
      <c r="B313" t="s">
        <v>404</v>
      </c>
      <c r="C313" s="50" t="s">
        <v>157</v>
      </c>
      <c r="D313" s="102">
        <v>2050</v>
      </c>
      <c r="E313" s="8">
        <v>9.6879999999999988</v>
      </c>
      <c r="F313" t="s">
        <v>106</v>
      </c>
      <c r="G313" t="s">
        <v>107</v>
      </c>
      <c r="H313" t="s">
        <v>21</v>
      </c>
      <c r="I313" t="s">
        <v>388</v>
      </c>
    </row>
    <row r="314" spans="1:9">
      <c r="A314" t="s">
        <v>395</v>
      </c>
      <c r="B314" t="s">
        <v>405</v>
      </c>
      <c r="C314" s="50" t="s">
        <v>150</v>
      </c>
      <c r="D314" s="102">
        <v>2010</v>
      </c>
      <c r="E314" s="8">
        <v>4335.7</v>
      </c>
      <c r="F314" t="s">
        <v>106</v>
      </c>
      <c r="G314" t="s">
        <v>107</v>
      </c>
      <c r="H314" t="s">
        <v>21</v>
      </c>
      <c r="I314" t="s">
        <v>389</v>
      </c>
    </row>
    <row r="315" spans="1:9">
      <c r="A315" t="s">
        <v>395</v>
      </c>
      <c r="B315" t="s">
        <v>405</v>
      </c>
      <c r="C315" s="50" t="s">
        <v>151</v>
      </c>
      <c r="D315" s="102">
        <v>2010</v>
      </c>
      <c r="E315" s="8">
        <v>4335.7</v>
      </c>
      <c r="F315" t="s">
        <v>106</v>
      </c>
      <c r="G315" t="s">
        <v>107</v>
      </c>
      <c r="H315" t="s">
        <v>21</v>
      </c>
      <c r="I315" t="s">
        <v>389</v>
      </c>
    </row>
    <row r="316" spans="1:9">
      <c r="A316" t="s">
        <v>395</v>
      </c>
      <c r="B316" t="s">
        <v>405</v>
      </c>
      <c r="C316" s="50" t="s">
        <v>152</v>
      </c>
      <c r="D316" s="102">
        <v>2010</v>
      </c>
      <c r="E316" s="8">
        <v>4335.7</v>
      </c>
      <c r="F316" t="s">
        <v>106</v>
      </c>
      <c r="G316" t="s">
        <v>107</v>
      </c>
      <c r="H316" t="s">
        <v>21</v>
      </c>
      <c r="I316" t="s">
        <v>389</v>
      </c>
    </row>
    <row r="317" spans="1:9">
      <c r="A317" t="s">
        <v>395</v>
      </c>
      <c r="B317" t="s">
        <v>405</v>
      </c>
      <c r="C317" s="50" t="s">
        <v>392</v>
      </c>
      <c r="D317" s="102">
        <v>2010</v>
      </c>
      <c r="E317" s="8">
        <v>4335.7</v>
      </c>
      <c r="F317" t="s">
        <v>106</v>
      </c>
      <c r="G317" t="s">
        <v>107</v>
      </c>
      <c r="H317" t="s">
        <v>21</v>
      </c>
      <c r="I317" t="s">
        <v>389</v>
      </c>
    </row>
    <row r="318" spans="1:9">
      <c r="A318" t="s">
        <v>395</v>
      </c>
      <c r="B318" t="s">
        <v>405</v>
      </c>
      <c r="C318" s="50" t="s">
        <v>393</v>
      </c>
      <c r="D318" s="102">
        <v>2010</v>
      </c>
      <c r="E318" s="8">
        <v>4335.7</v>
      </c>
      <c r="F318" t="s">
        <v>106</v>
      </c>
      <c r="G318" t="s">
        <v>107</v>
      </c>
      <c r="H318" t="s">
        <v>21</v>
      </c>
      <c r="I318" t="s">
        <v>389</v>
      </c>
    </row>
    <row r="319" spans="1:9">
      <c r="A319" t="s">
        <v>395</v>
      </c>
      <c r="B319" t="s">
        <v>405</v>
      </c>
      <c r="C319" s="50" t="s">
        <v>394</v>
      </c>
      <c r="D319" s="102">
        <v>2010</v>
      </c>
      <c r="E319" s="8">
        <v>4335.7</v>
      </c>
      <c r="F319" t="s">
        <v>106</v>
      </c>
      <c r="G319" t="s">
        <v>107</v>
      </c>
      <c r="H319" t="s">
        <v>21</v>
      </c>
      <c r="I319" t="s">
        <v>389</v>
      </c>
    </row>
    <row r="320" spans="1:9">
      <c r="A320" t="s">
        <v>395</v>
      </c>
      <c r="B320" t="s">
        <v>405</v>
      </c>
      <c r="C320" s="50" t="s">
        <v>156</v>
      </c>
      <c r="D320" s="102">
        <v>2010</v>
      </c>
      <c r="E320" s="8">
        <v>4335.7</v>
      </c>
      <c r="F320" t="s">
        <v>106</v>
      </c>
      <c r="G320" t="s">
        <v>107</v>
      </c>
      <c r="H320" t="s">
        <v>21</v>
      </c>
      <c r="I320" t="s">
        <v>389</v>
      </c>
    </row>
    <row r="321" spans="1:9">
      <c r="A321" t="s">
        <v>395</v>
      </c>
      <c r="B321" t="s">
        <v>405</v>
      </c>
      <c r="C321" s="50" t="s">
        <v>157</v>
      </c>
      <c r="D321" s="102">
        <v>2010</v>
      </c>
      <c r="E321" s="8">
        <v>4335.7</v>
      </c>
      <c r="F321" t="s">
        <v>106</v>
      </c>
      <c r="G321" t="s">
        <v>107</v>
      </c>
      <c r="H321" t="s">
        <v>21</v>
      </c>
      <c r="I321" t="s">
        <v>389</v>
      </c>
    </row>
    <row r="322" spans="1:9">
      <c r="A322" t="s">
        <v>395</v>
      </c>
      <c r="B322" t="s">
        <v>405</v>
      </c>
      <c r="C322" s="50" t="s">
        <v>150</v>
      </c>
      <c r="D322" s="102">
        <v>2030</v>
      </c>
      <c r="E322" s="8">
        <v>3032.7200000000003</v>
      </c>
      <c r="F322" t="s">
        <v>106</v>
      </c>
      <c r="G322" t="s">
        <v>107</v>
      </c>
      <c r="H322" t="s">
        <v>21</v>
      </c>
      <c r="I322" t="s">
        <v>389</v>
      </c>
    </row>
    <row r="323" spans="1:9">
      <c r="A323" t="s">
        <v>395</v>
      </c>
      <c r="B323" t="s">
        <v>405</v>
      </c>
      <c r="C323" s="50" t="s">
        <v>151</v>
      </c>
      <c r="D323" s="102">
        <v>2030</v>
      </c>
      <c r="E323" s="8">
        <v>3032.7200000000003</v>
      </c>
      <c r="F323" t="s">
        <v>106</v>
      </c>
      <c r="G323" t="s">
        <v>107</v>
      </c>
      <c r="H323" t="s">
        <v>21</v>
      </c>
      <c r="I323" t="s">
        <v>389</v>
      </c>
    </row>
    <row r="324" spans="1:9">
      <c r="A324" t="s">
        <v>395</v>
      </c>
      <c r="B324" t="s">
        <v>405</v>
      </c>
      <c r="C324" s="50" t="s">
        <v>152</v>
      </c>
      <c r="D324" s="102">
        <v>2030</v>
      </c>
      <c r="E324" s="8">
        <v>3032.7200000000003</v>
      </c>
      <c r="F324" t="s">
        <v>106</v>
      </c>
      <c r="G324" t="s">
        <v>107</v>
      </c>
      <c r="H324" t="s">
        <v>21</v>
      </c>
      <c r="I324" t="s">
        <v>389</v>
      </c>
    </row>
    <row r="325" spans="1:9">
      <c r="A325" t="s">
        <v>395</v>
      </c>
      <c r="B325" t="s">
        <v>405</v>
      </c>
      <c r="C325" s="50" t="s">
        <v>392</v>
      </c>
      <c r="D325" s="102">
        <v>2030</v>
      </c>
      <c r="E325" s="8">
        <v>3032.7200000000003</v>
      </c>
      <c r="F325" t="s">
        <v>106</v>
      </c>
      <c r="G325" t="s">
        <v>107</v>
      </c>
      <c r="H325" t="s">
        <v>21</v>
      </c>
      <c r="I325" t="s">
        <v>389</v>
      </c>
    </row>
    <row r="326" spans="1:9">
      <c r="A326" t="s">
        <v>395</v>
      </c>
      <c r="B326" t="s">
        <v>405</v>
      </c>
      <c r="C326" s="50" t="s">
        <v>393</v>
      </c>
      <c r="D326" s="102">
        <v>2030</v>
      </c>
      <c r="E326" s="8">
        <v>3032.7200000000003</v>
      </c>
      <c r="F326" t="s">
        <v>106</v>
      </c>
      <c r="G326" t="s">
        <v>107</v>
      </c>
      <c r="H326" t="s">
        <v>21</v>
      </c>
      <c r="I326" t="s">
        <v>389</v>
      </c>
    </row>
    <row r="327" spans="1:9">
      <c r="A327" t="s">
        <v>395</v>
      </c>
      <c r="B327" t="s">
        <v>405</v>
      </c>
      <c r="C327" s="50" t="s">
        <v>394</v>
      </c>
      <c r="D327" s="102">
        <v>2030</v>
      </c>
      <c r="E327" s="8">
        <v>3032.7200000000003</v>
      </c>
      <c r="F327" t="s">
        <v>106</v>
      </c>
      <c r="G327" t="s">
        <v>107</v>
      </c>
      <c r="H327" t="s">
        <v>21</v>
      </c>
      <c r="I327" t="s">
        <v>389</v>
      </c>
    </row>
    <row r="328" spans="1:9">
      <c r="A328" t="s">
        <v>395</v>
      </c>
      <c r="B328" t="s">
        <v>405</v>
      </c>
      <c r="C328" s="50" t="s">
        <v>156</v>
      </c>
      <c r="D328" s="102">
        <v>2030</v>
      </c>
      <c r="E328" s="8">
        <v>3032.7200000000003</v>
      </c>
      <c r="F328" t="s">
        <v>106</v>
      </c>
      <c r="G328" t="s">
        <v>107</v>
      </c>
      <c r="H328" t="s">
        <v>21</v>
      </c>
      <c r="I328" t="s">
        <v>389</v>
      </c>
    </row>
    <row r="329" spans="1:9">
      <c r="A329" t="s">
        <v>395</v>
      </c>
      <c r="B329" t="s">
        <v>405</v>
      </c>
      <c r="C329" s="50" t="s">
        <v>157</v>
      </c>
      <c r="D329" s="102">
        <v>2030</v>
      </c>
      <c r="E329" s="8">
        <v>3032.7200000000003</v>
      </c>
      <c r="F329" t="s">
        <v>106</v>
      </c>
      <c r="G329" t="s">
        <v>107</v>
      </c>
      <c r="H329" t="s">
        <v>21</v>
      </c>
      <c r="I329" t="s">
        <v>389</v>
      </c>
    </row>
    <row r="330" spans="1:9">
      <c r="A330" t="s">
        <v>395</v>
      </c>
      <c r="B330" t="s">
        <v>405</v>
      </c>
      <c r="C330" s="50" t="s">
        <v>150</v>
      </c>
      <c r="D330" s="102">
        <v>2050</v>
      </c>
      <c r="E330" s="8">
        <v>2124.7200000000003</v>
      </c>
      <c r="F330" t="s">
        <v>106</v>
      </c>
      <c r="G330" t="s">
        <v>107</v>
      </c>
      <c r="H330" t="s">
        <v>21</v>
      </c>
      <c r="I330" t="s">
        <v>389</v>
      </c>
    </row>
    <row r="331" spans="1:9">
      <c r="A331" t="s">
        <v>395</v>
      </c>
      <c r="B331" t="s">
        <v>405</v>
      </c>
      <c r="C331" s="50" t="s">
        <v>151</v>
      </c>
      <c r="D331" s="102">
        <v>2050</v>
      </c>
      <c r="E331" s="8">
        <v>2124.7200000000003</v>
      </c>
      <c r="F331" t="s">
        <v>106</v>
      </c>
      <c r="G331" t="s">
        <v>107</v>
      </c>
      <c r="H331" t="s">
        <v>21</v>
      </c>
      <c r="I331" t="s">
        <v>389</v>
      </c>
    </row>
    <row r="332" spans="1:9">
      <c r="A332" t="s">
        <v>395</v>
      </c>
      <c r="B332" t="s">
        <v>405</v>
      </c>
      <c r="C332" s="50" t="s">
        <v>152</v>
      </c>
      <c r="D332" s="102">
        <v>2050</v>
      </c>
      <c r="E332" s="8">
        <v>2124.7200000000003</v>
      </c>
      <c r="F332" t="s">
        <v>106</v>
      </c>
      <c r="G332" t="s">
        <v>107</v>
      </c>
      <c r="H332" t="s">
        <v>21</v>
      </c>
      <c r="I332" t="s">
        <v>389</v>
      </c>
    </row>
    <row r="333" spans="1:9">
      <c r="A333" t="s">
        <v>395</v>
      </c>
      <c r="B333" t="s">
        <v>405</v>
      </c>
      <c r="C333" s="50" t="s">
        <v>392</v>
      </c>
      <c r="D333" s="102">
        <v>2050</v>
      </c>
      <c r="E333" s="8">
        <v>2124.7200000000003</v>
      </c>
      <c r="F333" t="s">
        <v>106</v>
      </c>
      <c r="G333" t="s">
        <v>107</v>
      </c>
      <c r="H333" t="s">
        <v>21</v>
      </c>
      <c r="I333" t="s">
        <v>389</v>
      </c>
    </row>
    <row r="334" spans="1:9">
      <c r="A334" t="s">
        <v>395</v>
      </c>
      <c r="B334" t="s">
        <v>405</v>
      </c>
      <c r="C334" s="50" t="s">
        <v>393</v>
      </c>
      <c r="D334" s="102">
        <v>2050</v>
      </c>
      <c r="E334" s="8">
        <v>2124.7200000000003</v>
      </c>
      <c r="F334" t="s">
        <v>106</v>
      </c>
      <c r="G334" t="s">
        <v>107</v>
      </c>
      <c r="H334" t="s">
        <v>21</v>
      </c>
      <c r="I334" t="s">
        <v>389</v>
      </c>
    </row>
    <row r="335" spans="1:9">
      <c r="A335" t="s">
        <v>395</v>
      </c>
      <c r="B335" t="s">
        <v>405</v>
      </c>
      <c r="C335" s="50" t="s">
        <v>394</v>
      </c>
      <c r="D335" s="102">
        <v>2050</v>
      </c>
      <c r="E335" s="8">
        <v>2124.7200000000003</v>
      </c>
      <c r="F335" t="s">
        <v>106</v>
      </c>
      <c r="G335" t="s">
        <v>107</v>
      </c>
      <c r="H335" t="s">
        <v>21</v>
      </c>
      <c r="I335" t="s">
        <v>389</v>
      </c>
    </row>
    <row r="336" spans="1:9">
      <c r="A336" t="s">
        <v>395</v>
      </c>
      <c r="B336" t="s">
        <v>405</v>
      </c>
      <c r="C336" s="50" t="s">
        <v>156</v>
      </c>
      <c r="D336" s="102">
        <v>2050</v>
      </c>
      <c r="E336" s="8">
        <v>2124.7200000000003</v>
      </c>
      <c r="F336" t="s">
        <v>106</v>
      </c>
      <c r="G336" t="s">
        <v>107</v>
      </c>
      <c r="H336" t="s">
        <v>21</v>
      </c>
      <c r="I336" t="s">
        <v>389</v>
      </c>
    </row>
    <row r="337" spans="1:9">
      <c r="A337" t="s">
        <v>395</v>
      </c>
      <c r="B337" t="s">
        <v>405</v>
      </c>
      <c r="C337" s="50" t="s">
        <v>157</v>
      </c>
      <c r="D337" s="102">
        <v>2050</v>
      </c>
      <c r="E337" s="8">
        <v>2124.7200000000003</v>
      </c>
      <c r="F337" t="s">
        <v>106</v>
      </c>
      <c r="G337" t="s">
        <v>107</v>
      </c>
      <c r="H337" t="s">
        <v>21</v>
      </c>
      <c r="I337" t="s">
        <v>389</v>
      </c>
    </row>
    <row r="338" spans="1:9">
      <c r="A338" t="s">
        <v>395</v>
      </c>
      <c r="B338" t="s">
        <v>406</v>
      </c>
      <c r="C338" s="50" t="s">
        <v>150</v>
      </c>
      <c r="D338" s="102">
        <v>2010</v>
      </c>
      <c r="E338" s="8">
        <v>4294.84</v>
      </c>
      <c r="F338" t="s">
        <v>106</v>
      </c>
      <c r="G338" t="s">
        <v>107</v>
      </c>
      <c r="H338" t="s">
        <v>21</v>
      </c>
      <c r="I338" t="s">
        <v>390</v>
      </c>
    </row>
    <row r="339" spans="1:9">
      <c r="A339" t="s">
        <v>395</v>
      </c>
      <c r="B339" t="s">
        <v>406</v>
      </c>
      <c r="C339" s="50" t="s">
        <v>151</v>
      </c>
      <c r="D339" s="102">
        <v>2010</v>
      </c>
      <c r="E339" s="8">
        <v>4294.84</v>
      </c>
      <c r="F339" t="s">
        <v>106</v>
      </c>
      <c r="G339" t="s">
        <v>107</v>
      </c>
      <c r="H339" t="s">
        <v>21</v>
      </c>
      <c r="I339" t="s">
        <v>390</v>
      </c>
    </row>
    <row r="340" spans="1:9">
      <c r="A340" t="s">
        <v>395</v>
      </c>
      <c r="B340" t="s">
        <v>406</v>
      </c>
      <c r="C340" s="50" t="s">
        <v>152</v>
      </c>
      <c r="D340" s="102">
        <v>2010</v>
      </c>
      <c r="E340" s="8">
        <v>4294.84</v>
      </c>
      <c r="F340" t="s">
        <v>106</v>
      </c>
      <c r="G340" t="s">
        <v>107</v>
      </c>
      <c r="H340" t="s">
        <v>21</v>
      </c>
      <c r="I340" t="s">
        <v>390</v>
      </c>
    </row>
    <row r="341" spans="1:9">
      <c r="A341" t="s">
        <v>395</v>
      </c>
      <c r="B341" t="s">
        <v>406</v>
      </c>
      <c r="C341" s="50" t="s">
        <v>392</v>
      </c>
      <c r="D341" s="102">
        <v>2010</v>
      </c>
      <c r="E341" s="8">
        <v>4294.84</v>
      </c>
      <c r="F341" t="s">
        <v>106</v>
      </c>
      <c r="G341" t="s">
        <v>107</v>
      </c>
      <c r="H341" t="s">
        <v>21</v>
      </c>
      <c r="I341" t="s">
        <v>390</v>
      </c>
    </row>
    <row r="342" spans="1:9">
      <c r="A342" t="s">
        <v>395</v>
      </c>
      <c r="B342" t="s">
        <v>406</v>
      </c>
      <c r="C342" s="50" t="s">
        <v>393</v>
      </c>
      <c r="D342" s="102">
        <v>2010</v>
      </c>
      <c r="E342" s="8">
        <v>4294.84</v>
      </c>
      <c r="F342" t="s">
        <v>106</v>
      </c>
      <c r="G342" t="s">
        <v>107</v>
      </c>
      <c r="H342" t="s">
        <v>21</v>
      </c>
      <c r="I342" t="s">
        <v>390</v>
      </c>
    </row>
    <row r="343" spans="1:9">
      <c r="A343" t="s">
        <v>395</v>
      </c>
      <c r="B343" t="s">
        <v>406</v>
      </c>
      <c r="C343" s="50" t="s">
        <v>394</v>
      </c>
      <c r="D343" s="102">
        <v>2010</v>
      </c>
      <c r="E343" s="8">
        <v>4294.84</v>
      </c>
      <c r="F343" t="s">
        <v>106</v>
      </c>
      <c r="G343" t="s">
        <v>107</v>
      </c>
      <c r="H343" t="s">
        <v>21</v>
      </c>
      <c r="I343" t="s">
        <v>390</v>
      </c>
    </row>
    <row r="344" spans="1:9">
      <c r="A344" t="s">
        <v>395</v>
      </c>
      <c r="B344" t="s">
        <v>406</v>
      </c>
      <c r="C344" s="50" t="s">
        <v>156</v>
      </c>
      <c r="D344" s="102">
        <v>2010</v>
      </c>
      <c r="E344" s="8">
        <v>4294.84</v>
      </c>
      <c r="F344" t="s">
        <v>106</v>
      </c>
      <c r="G344" t="s">
        <v>107</v>
      </c>
      <c r="H344" t="s">
        <v>21</v>
      </c>
      <c r="I344" t="s">
        <v>390</v>
      </c>
    </row>
    <row r="345" spans="1:9">
      <c r="A345" t="s">
        <v>395</v>
      </c>
      <c r="B345" t="s">
        <v>406</v>
      </c>
      <c r="C345" s="50" t="s">
        <v>157</v>
      </c>
      <c r="D345" s="102">
        <v>2010</v>
      </c>
      <c r="E345" s="8">
        <v>4294.84</v>
      </c>
      <c r="F345" t="s">
        <v>106</v>
      </c>
      <c r="G345" t="s">
        <v>107</v>
      </c>
      <c r="H345" t="s">
        <v>21</v>
      </c>
      <c r="I345" t="s">
        <v>390</v>
      </c>
    </row>
    <row r="346" spans="1:9">
      <c r="A346" t="s">
        <v>395</v>
      </c>
      <c r="B346" t="s">
        <v>406</v>
      </c>
      <c r="C346" s="50" t="s">
        <v>150</v>
      </c>
      <c r="D346" s="102">
        <v>2030</v>
      </c>
      <c r="E346" s="8">
        <v>3005.48</v>
      </c>
      <c r="F346" t="s">
        <v>106</v>
      </c>
      <c r="G346" t="s">
        <v>107</v>
      </c>
      <c r="H346" t="s">
        <v>21</v>
      </c>
      <c r="I346" t="s">
        <v>390</v>
      </c>
    </row>
    <row r="347" spans="1:9">
      <c r="A347" t="s">
        <v>395</v>
      </c>
      <c r="B347" t="s">
        <v>406</v>
      </c>
      <c r="C347" s="50" t="s">
        <v>151</v>
      </c>
      <c r="D347" s="102">
        <v>2030</v>
      </c>
      <c r="E347" s="8">
        <v>3005.48</v>
      </c>
      <c r="F347" t="s">
        <v>106</v>
      </c>
      <c r="G347" t="s">
        <v>107</v>
      </c>
      <c r="H347" t="s">
        <v>21</v>
      </c>
      <c r="I347" t="s">
        <v>390</v>
      </c>
    </row>
    <row r="348" spans="1:9">
      <c r="A348" t="s">
        <v>395</v>
      </c>
      <c r="B348" t="s">
        <v>406</v>
      </c>
      <c r="C348" s="50" t="s">
        <v>152</v>
      </c>
      <c r="D348" s="102">
        <v>2030</v>
      </c>
      <c r="E348" s="8">
        <v>3005.48</v>
      </c>
      <c r="F348" t="s">
        <v>106</v>
      </c>
      <c r="G348" t="s">
        <v>107</v>
      </c>
      <c r="H348" t="s">
        <v>21</v>
      </c>
      <c r="I348" t="s">
        <v>390</v>
      </c>
    </row>
    <row r="349" spans="1:9">
      <c r="A349" t="s">
        <v>395</v>
      </c>
      <c r="B349" t="s">
        <v>406</v>
      </c>
      <c r="C349" s="50" t="s">
        <v>392</v>
      </c>
      <c r="D349" s="102">
        <v>2030</v>
      </c>
      <c r="E349" s="8">
        <v>3005.48</v>
      </c>
      <c r="F349" t="s">
        <v>106</v>
      </c>
      <c r="G349" t="s">
        <v>107</v>
      </c>
      <c r="H349" t="s">
        <v>21</v>
      </c>
      <c r="I349" t="s">
        <v>390</v>
      </c>
    </row>
    <row r="350" spans="1:9">
      <c r="A350" t="s">
        <v>395</v>
      </c>
      <c r="B350" t="s">
        <v>406</v>
      </c>
      <c r="C350" s="50" t="s">
        <v>393</v>
      </c>
      <c r="D350" s="102">
        <v>2030</v>
      </c>
      <c r="E350" s="8">
        <v>3005.48</v>
      </c>
      <c r="F350" t="s">
        <v>106</v>
      </c>
      <c r="G350" t="s">
        <v>107</v>
      </c>
      <c r="H350" t="s">
        <v>21</v>
      </c>
      <c r="I350" t="s">
        <v>390</v>
      </c>
    </row>
    <row r="351" spans="1:9">
      <c r="A351" t="s">
        <v>395</v>
      </c>
      <c r="B351" t="s">
        <v>406</v>
      </c>
      <c r="C351" s="50" t="s">
        <v>394</v>
      </c>
      <c r="D351" s="102">
        <v>2030</v>
      </c>
      <c r="E351" s="8">
        <v>3005.48</v>
      </c>
      <c r="F351" t="s">
        <v>106</v>
      </c>
      <c r="G351" t="s">
        <v>107</v>
      </c>
      <c r="H351" t="s">
        <v>21</v>
      </c>
      <c r="I351" t="s">
        <v>390</v>
      </c>
    </row>
    <row r="352" spans="1:9">
      <c r="A352" t="s">
        <v>395</v>
      </c>
      <c r="B352" t="s">
        <v>406</v>
      </c>
      <c r="C352" s="50" t="s">
        <v>156</v>
      </c>
      <c r="D352" s="102">
        <v>2030</v>
      </c>
      <c r="E352" s="8">
        <v>3005.48</v>
      </c>
      <c r="F352" t="s">
        <v>106</v>
      </c>
      <c r="G352" t="s">
        <v>107</v>
      </c>
      <c r="H352" t="s">
        <v>21</v>
      </c>
      <c r="I352" t="s">
        <v>390</v>
      </c>
    </row>
    <row r="353" spans="1:9">
      <c r="A353" t="s">
        <v>395</v>
      </c>
      <c r="B353" t="s">
        <v>406</v>
      </c>
      <c r="C353" s="50" t="s">
        <v>157</v>
      </c>
      <c r="D353" s="102">
        <v>2030</v>
      </c>
      <c r="E353" s="8">
        <v>3005.48</v>
      </c>
      <c r="F353" t="s">
        <v>106</v>
      </c>
      <c r="G353" t="s">
        <v>107</v>
      </c>
      <c r="H353" t="s">
        <v>21</v>
      </c>
      <c r="I353" t="s">
        <v>390</v>
      </c>
    </row>
    <row r="354" spans="1:9">
      <c r="A354" t="s">
        <v>395</v>
      </c>
      <c r="B354" t="s">
        <v>406</v>
      </c>
      <c r="C354" s="50" t="s">
        <v>150</v>
      </c>
      <c r="D354" s="102">
        <v>2050</v>
      </c>
      <c r="E354" s="8">
        <v>2106.56</v>
      </c>
      <c r="F354" t="s">
        <v>106</v>
      </c>
      <c r="G354" t="s">
        <v>107</v>
      </c>
      <c r="H354" t="s">
        <v>21</v>
      </c>
      <c r="I354" t="s">
        <v>390</v>
      </c>
    </row>
    <row r="355" spans="1:9">
      <c r="A355" t="s">
        <v>395</v>
      </c>
      <c r="B355" t="s">
        <v>406</v>
      </c>
      <c r="C355" s="50" t="s">
        <v>151</v>
      </c>
      <c r="D355" s="102">
        <v>2050</v>
      </c>
      <c r="E355" s="8">
        <v>2106.56</v>
      </c>
      <c r="F355" t="s">
        <v>106</v>
      </c>
      <c r="G355" t="s">
        <v>107</v>
      </c>
      <c r="H355" t="s">
        <v>21</v>
      </c>
      <c r="I355" t="s">
        <v>390</v>
      </c>
    </row>
    <row r="356" spans="1:9">
      <c r="A356" t="s">
        <v>395</v>
      </c>
      <c r="B356" t="s">
        <v>406</v>
      </c>
      <c r="C356" s="50" t="s">
        <v>152</v>
      </c>
      <c r="D356" s="102">
        <v>2050</v>
      </c>
      <c r="E356" s="8">
        <v>2106.56</v>
      </c>
      <c r="F356" t="s">
        <v>106</v>
      </c>
      <c r="G356" t="s">
        <v>107</v>
      </c>
      <c r="H356" t="s">
        <v>21</v>
      </c>
      <c r="I356" t="s">
        <v>390</v>
      </c>
    </row>
    <row r="357" spans="1:9">
      <c r="A357" t="s">
        <v>395</v>
      </c>
      <c r="B357" t="s">
        <v>406</v>
      </c>
      <c r="C357" s="50" t="s">
        <v>392</v>
      </c>
      <c r="D357" s="102">
        <v>2050</v>
      </c>
      <c r="E357" s="8">
        <v>2106.56</v>
      </c>
      <c r="F357" t="s">
        <v>106</v>
      </c>
      <c r="G357" t="s">
        <v>107</v>
      </c>
      <c r="H357" t="s">
        <v>21</v>
      </c>
      <c r="I357" t="s">
        <v>390</v>
      </c>
    </row>
    <row r="358" spans="1:9">
      <c r="A358" t="s">
        <v>395</v>
      </c>
      <c r="B358" t="s">
        <v>406</v>
      </c>
      <c r="C358" s="50" t="s">
        <v>393</v>
      </c>
      <c r="D358" s="102">
        <v>2050</v>
      </c>
      <c r="E358" s="8">
        <v>2106.56</v>
      </c>
      <c r="F358" t="s">
        <v>106</v>
      </c>
      <c r="G358" t="s">
        <v>107</v>
      </c>
      <c r="H358" t="s">
        <v>21</v>
      </c>
      <c r="I358" t="s">
        <v>390</v>
      </c>
    </row>
    <row r="359" spans="1:9">
      <c r="A359" t="s">
        <v>395</v>
      </c>
      <c r="B359" t="s">
        <v>406</v>
      </c>
      <c r="C359" s="50" t="s">
        <v>394</v>
      </c>
      <c r="D359" s="102">
        <v>2050</v>
      </c>
      <c r="E359" s="8">
        <v>2106.56</v>
      </c>
      <c r="F359" t="s">
        <v>106</v>
      </c>
      <c r="G359" t="s">
        <v>107</v>
      </c>
      <c r="H359" t="s">
        <v>21</v>
      </c>
      <c r="I359" t="s">
        <v>390</v>
      </c>
    </row>
    <row r="360" spans="1:9">
      <c r="A360" t="s">
        <v>395</v>
      </c>
      <c r="B360" t="s">
        <v>406</v>
      </c>
      <c r="C360" s="50" t="s">
        <v>156</v>
      </c>
      <c r="D360" s="102">
        <v>2050</v>
      </c>
      <c r="E360" s="8">
        <v>2106.56</v>
      </c>
      <c r="F360" t="s">
        <v>106</v>
      </c>
      <c r="G360" t="s">
        <v>107</v>
      </c>
      <c r="H360" t="s">
        <v>21</v>
      </c>
      <c r="I360" t="s">
        <v>390</v>
      </c>
    </row>
    <row r="361" spans="1:9">
      <c r="A361" t="s">
        <v>395</v>
      </c>
      <c r="B361" t="s">
        <v>406</v>
      </c>
      <c r="C361" s="50" t="s">
        <v>157</v>
      </c>
      <c r="D361" s="102">
        <v>2050</v>
      </c>
      <c r="E361" s="8">
        <v>2106.56</v>
      </c>
      <c r="F361" t="s">
        <v>106</v>
      </c>
      <c r="G361" t="s">
        <v>107</v>
      </c>
      <c r="H361" t="s">
        <v>21</v>
      </c>
      <c r="I361" t="s">
        <v>390</v>
      </c>
    </row>
  </sheetData>
  <phoneticPr fontId="6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AF43-6F1A-469D-95F3-3D5B1439FBD3}">
  <dimension ref="A1"/>
  <sheetViews>
    <sheetView workbookViewId="0">
      <selection activeCell="A31" sqref="A31"/>
    </sheetView>
  </sheetViews>
  <sheetFormatPr baseColWidth="10" defaultRowHeight="14.4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B51C-46DD-B149-8CF3-397DDE57BB5B}">
  <dimension ref="A1:R137"/>
  <sheetViews>
    <sheetView topLeftCell="A61" zoomScale="55" zoomScaleNormal="55" workbookViewId="0">
      <pane xSplit="3" topLeftCell="D1" activePane="topRight" state="frozen"/>
      <selection pane="topRight" activeCell="A112" sqref="A112"/>
    </sheetView>
  </sheetViews>
  <sheetFormatPr baseColWidth="10" defaultRowHeight="14.4"/>
  <cols>
    <col min="1" max="1" width="27.47265625" customWidth="1"/>
    <col min="2" max="2" width="12.3125" customWidth="1"/>
    <col min="3" max="3" width="32" customWidth="1"/>
    <col min="4" max="4" width="18" customWidth="1"/>
    <col min="7" max="7" width="15.15625" customWidth="1"/>
    <col min="10" max="10" width="20" customWidth="1"/>
    <col min="11" max="11" width="18.83984375" customWidth="1"/>
    <col min="15" max="18" width="11"/>
  </cols>
  <sheetData>
    <row r="1" spans="1:18">
      <c r="A1" s="93" t="s">
        <v>343</v>
      </c>
      <c r="B1" s="93" t="s">
        <v>340</v>
      </c>
      <c r="C1" s="93"/>
      <c r="D1" s="9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>
      <c r="A2" t="s">
        <v>149</v>
      </c>
      <c r="B2" s="1" t="s">
        <v>105</v>
      </c>
      <c r="C2" s="1" t="s">
        <v>14</v>
      </c>
      <c r="D2" s="100">
        <v>2010</v>
      </c>
      <c r="E2" s="100">
        <v>2030</v>
      </c>
      <c r="F2" s="100">
        <v>2050</v>
      </c>
      <c r="G2" s="100" t="s">
        <v>160</v>
      </c>
      <c r="H2" s="100">
        <v>2010</v>
      </c>
      <c r="I2" s="100">
        <v>2030</v>
      </c>
      <c r="J2" s="100">
        <v>2050</v>
      </c>
      <c r="K2" s="100">
        <v>2010</v>
      </c>
      <c r="L2" s="100">
        <v>2030</v>
      </c>
      <c r="M2" s="100">
        <v>2050</v>
      </c>
      <c r="N2" s="100"/>
      <c r="O2" s="101">
        <v>2010</v>
      </c>
      <c r="P2" s="101">
        <v>2030</v>
      </c>
      <c r="Q2" s="101">
        <v>2050</v>
      </c>
      <c r="R2" s="101" t="s">
        <v>160</v>
      </c>
    </row>
    <row r="3" spans="1:18">
      <c r="B3" s="1"/>
      <c r="C3" s="1"/>
      <c r="D3" s="119" t="s">
        <v>158</v>
      </c>
      <c r="E3" s="119"/>
      <c r="F3" s="119"/>
      <c r="G3" s="119"/>
      <c r="H3" s="118" t="s">
        <v>163</v>
      </c>
      <c r="I3" s="118"/>
      <c r="J3" s="118"/>
      <c r="K3" s="118" t="s">
        <v>164</v>
      </c>
      <c r="L3" s="118"/>
      <c r="M3" s="118"/>
      <c r="N3" s="8"/>
      <c r="O3" s="120" t="s">
        <v>145</v>
      </c>
      <c r="P3" s="120"/>
      <c r="Q3" s="120"/>
      <c r="R3" s="120"/>
    </row>
    <row r="4" spans="1:18">
      <c r="A4" t="s">
        <v>150</v>
      </c>
      <c r="B4" t="s">
        <v>129</v>
      </c>
      <c r="C4" t="s">
        <v>161</v>
      </c>
      <c r="D4" s="8">
        <v>50</v>
      </c>
      <c r="E4" s="8">
        <v>35</v>
      </c>
      <c r="F4" s="8">
        <v>27.5</v>
      </c>
      <c r="G4" s="8">
        <f>SUM(D4:F4)/3</f>
        <v>37.5</v>
      </c>
      <c r="H4" s="8">
        <f>D4*0.346</f>
        <v>17.299999999999997</v>
      </c>
      <c r="I4" s="8">
        <f>E4*0.346</f>
        <v>12.11</v>
      </c>
      <c r="J4" s="8">
        <f>F4*0.346</f>
        <v>9.5149999999999988</v>
      </c>
      <c r="K4" s="8">
        <v>16</v>
      </c>
      <c r="L4" s="8">
        <v>16</v>
      </c>
      <c r="M4" s="8">
        <v>16</v>
      </c>
      <c r="N4" s="8"/>
      <c r="O4" s="94">
        <f t="shared" ref="O4:Q11" si="0">H4/K4</f>
        <v>1.0812499999999998</v>
      </c>
      <c r="P4" s="94">
        <f t="shared" si="0"/>
        <v>0.75687499999999996</v>
      </c>
      <c r="Q4" s="94">
        <f t="shared" si="0"/>
        <v>0.59468749999999992</v>
      </c>
      <c r="R4" s="94">
        <f>SUM(O4:Q4)/3</f>
        <v>0.81093749999999998</v>
      </c>
    </row>
    <row r="5" spans="1:18">
      <c r="A5" t="s">
        <v>151</v>
      </c>
      <c r="B5" t="s">
        <v>129</v>
      </c>
      <c r="C5" t="s">
        <v>161</v>
      </c>
      <c r="D5" s="8">
        <v>65</v>
      </c>
      <c r="E5" s="8">
        <v>45.5</v>
      </c>
      <c r="F5" s="8">
        <v>35.75</v>
      </c>
      <c r="G5" s="8">
        <f t="shared" ref="G5:G11" si="1">SUM(D5:F5)/3</f>
        <v>48.75</v>
      </c>
      <c r="H5" s="8">
        <f t="shared" ref="H5:H11" si="2">D5*0.346</f>
        <v>22.49</v>
      </c>
      <c r="I5" s="8">
        <f t="shared" ref="I5:I11" si="3">E5*0.346</f>
        <v>15.742999999999999</v>
      </c>
      <c r="J5" s="8">
        <f t="shared" ref="J5:J11" si="4">F5*0.346</f>
        <v>12.369499999999999</v>
      </c>
      <c r="K5" s="8">
        <v>22</v>
      </c>
      <c r="L5" s="8">
        <v>22</v>
      </c>
      <c r="M5" s="8">
        <v>22</v>
      </c>
      <c r="N5" s="8"/>
      <c r="O5" s="94">
        <f t="shared" si="0"/>
        <v>1.0222727272727272</v>
      </c>
      <c r="P5" s="94">
        <f t="shared" si="0"/>
        <v>0.71559090909090906</v>
      </c>
      <c r="Q5" s="94">
        <f t="shared" si="0"/>
        <v>0.56224999999999992</v>
      </c>
      <c r="R5" s="94">
        <f t="shared" ref="R5:R11" si="5">SUM(O5:Q5)/3</f>
        <v>0.76670454545454536</v>
      </c>
    </row>
    <row r="6" spans="1:18">
      <c r="A6" t="s">
        <v>152</v>
      </c>
      <c r="B6" t="s">
        <v>129</v>
      </c>
      <c r="C6" t="s">
        <v>161</v>
      </c>
      <c r="D6" s="8">
        <v>65</v>
      </c>
      <c r="E6" s="8">
        <v>45.5</v>
      </c>
      <c r="F6" s="8">
        <v>35.799999999999997</v>
      </c>
      <c r="G6" s="8">
        <f t="shared" si="1"/>
        <v>48.766666666666673</v>
      </c>
      <c r="H6" s="8">
        <f t="shared" si="2"/>
        <v>22.49</v>
      </c>
      <c r="I6" s="8">
        <f t="shared" si="3"/>
        <v>15.742999999999999</v>
      </c>
      <c r="J6" s="8">
        <f t="shared" si="4"/>
        <v>12.386799999999997</v>
      </c>
      <c r="K6" s="8">
        <v>22</v>
      </c>
      <c r="L6" s="8">
        <v>22</v>
      </c>
      <c r="M6" s="8">
        <v>22</v>
      </c>
      <c r="N6" s="8"/>
      <c r="O6" s="94">
        <f t="shared" si="0"/>
        <v>1.0222727272727272</v>
      </c>
      <c r="P6" s="94">
        <f t="shared" si="0"/>
        <v>0.71559090909090906</v>
      </c>
      <c r="Q6" s="94">
        <f t="shared" si="0"/>
        <v>0.56303636363636356</v>
      </c>
      <c r="R6" s="94">
        <f t="shared" si="5"/>
        <v>0.76696666666666669</v>
      </c>
    </row>
    <row r="7" spans="1:18">
      <c r="A7" t="s">
        <v>153</v>
      </c>
      <c r="B7" t="s">
        <v>129</v>
      </c>
      <c r="C7" t="s">
        <v>161</v>
      </c>
      <c r="D7" s="8">
        <v>65</v>
      </c>
      <c r="E7" s="8">
        <v>45.5</v>
      </c>
      <c r="F7" s="8">
        <v>35.799999999999997</v>
      </c>
      <c r="G7" s="8">
        <f t="shared" si="1"/>
        <v>48.766666666666673</v>
      </c>
      <c r="H7" s="8">
        <f t="shared" si="2"/>
        <v>22.49</v>
      </c>
      <c r="I7" s="8">
        <f t="shared" si="3"/>
        <v>15.742999999999999</v>
      </c>
      <c r="J7" s="8">
        <f t="shared" si="4"/>
        <v>12.386799999999997</v>
      </c>
      <c r="K7" s="8">
        <v>14</v>
      </c>
      <c r="L7" s="8">
        <v>14</v>
      </c>
      <c r="M7" s="8">
        <v>14</v>
      </c>
      <c r="N7" s="8"/>
      <c r="O7" s="94">
        <f t="shared" si="0"/>
        <v>1.6064285714285713</v>
      </c>
      <c r="P7" s="94">
        <f t="shared" si="0"/>
        <v>1.1244999999999998</v>
      </c>
      <c r="Q7" s="94">
        <f t="shared" si="0"/>
        <v>0.88477142857142843</v>
      </c>
      <c r="R7" s="94">
        <f t="shared" si="5"/>
        <v>1.2052333333333332</v>
      </c>
    </row>
    <row r="8" spans="1:18">
      <c r="A8" t="s">
        <v>154</v>
      </c>
      <c r="B8" t="s">
        <v>129</v>
      </c>
      <c r="C8" t="s">
        <v>161</v>
      </c>
      <c r="D8" s="8">
        <v>65</v>
      </c>
      <c r="E8" s="8">
        <v>45.5</v>
      </c>
      <c r="F8" s="8">
        <v>35.799999999999997</v>
      </c>
      <c r="G8" s="8">
        <f t="shared" si="1"/>
        <v>48.766666666666673</v>
      </c>
      <c r="H8" s="8">
        <f t="shared" si="2"/>
        <v>22.49</v>
      </c>
      <c r="I8" s="8">
        <f t="shared" si="3"/>
        <v>15.742999999999999</v>
      </c>
      <c r="J8" s="8">
        <f t="shared" si="4"/>
        <v>12.386799999999997</v>
      </c>
      <c r="K8" s="8">
        <v>17</v>
      </c>
      <c r="L8" s="8">
        <v>17</v>
      </c>
      <c r="M8" s="8">
        <v>17</v>
      </c>
      <c r="N8" s="8"/>
      <c r="O8" s="94">
        <f t="shared" si="0"/>
        <v>1.3229411764705881</v>
      </c>
      <c r="P8" s="94">
        <f t="shared" si="0"/>
        <v>0.92605882352941171</v>
      </c>
      <c r="Q8" s="94">
        <f t="shared" si="0"/>
        <v>0.72863529411764694</v>
      </c>
      <c r="R8" s="94">
        <f t="shared" si="5"/>
        <v>0.99254509803921553</v>
      </c>
    </row>
    <row r="9" spans="1:18">
      <c r="A9" t="s">
        <v>155</v>
      </c>
      <c r="B9" t="s">
        <v>129</v>
      </c>
      <c r="C9" t="s">
        <v>161</v>
      </c>
      <c r="D9" s="8">
        <v>65</v>
      </c>
      <c r="E9" s="8">
        <v>45.5</v>
      </c>
      <c r="F9" s="8">
        <v>35.799999999999997</v>
      </c>
      <c r="G9" s="8">
        <f t="shared" si="1"/>
        <v>48.766666666666673</v>
      </c>
      <c r="H9" s="8">
        <f t="shared" si="2"/>
        <v>22.49</v>
      </c>
      <c r="I9" s="8">
        <f t="shared" si="3"/>
        <v>15.742999999999999</v>
      </c>
      <c r="J9" s="8">
        <f t="shared" si="4"/>
        <v>12.386799999999997</v>
      </c>
      <c r="K9" s="8">
        <v>22</v>
      </c>
      <c r="L9" s="8">
        <v>22</v>
      </c>
      <c r="M9" s="8">
        <v>22</v>
      </c>
      <c r="N9" s="8"/>
      <c r="O9" s="94">
        <f t="shared" si="0"/>
        <v>1.0222727272727272</v>
      </c>
      <c r="P9" s="94">
        <f t="shared" si="0"/>
        <v>0.71559090909090906</v>
      </c>
      <c r="Q9" s="94">
        <f t="shared" si="0"/>
        <v>0.56303636363636356</v>
      </c>
      <c r="R9" s="94">
        <f t="shared" si="5"/>
        <v>0.76696666666666669</v>
      </c>
    </row>
    <row r="10" spans="1:18">
      <c r="A10" t="s">
        <v>156</v>
      </c>
      <c r="B10" t="s">
        <v>129</v>
      </c>
      <c r="C10" t="s">
        <v>161</v>
      </c>
      <c r="D10" s="8">
        <v>50</v>
      </c>
      <c r="E10" s="8">
        <v>35.5</v>
      </c>
      <c r="F10" s="8">
        <v>27.5</v>
      </c>
      <c r="G10" s="8">
        <f t="shared" si="1"/>
        <v>37.666666666666664</v>
      </c>
      <c r="H10" s="8">
        <f t="shared" si="2"/>
        <v>17.299999999999997</v>
      </c>
      <c r="I10" s="8">
        <f t="shared" si="3"/>
        <v>12.282999999999999</v>
      </c>
      <c r="J10" s="8">
        <f t="shared" si="4"/>
        <v>9.5149999999999988</v>
      </c>
      <c r="K10" s="8">
        <v>14</v>
      </c>
      <c r="L10" s="8">
        <v>14</v>
      </c>
      <c r="M10" s="8">
        <v>14</v>
      </c>
      <c r="N10" s="8"/>
      <c r="O10" s="94">
        <f t="shared" si="0"/>
        <v>1.2357142857142855</v>
      </c>
      <c r="P10" s="94">
        <f t="shared" si="0"/>
        <v>0.87735714285714284</v>
      </c>
      <c r="Q10" s="94">
        <f t="shared" si="0"/>
        <v>0.6796428571428571</v>
      </c>
      <c r="R10" s="94">
        <f t="shared" si="5"/>
        <v>0.93090476190476179</v>
      </c>
    </row>
    <row r="11" spans="1:18">
      <c r="A11" t="s">
        <v>157</v>
      </c>
      <c r="B11" t="s">
        <v>129</v>
      </c>
      <c r="C11" t="s">
        <v>161</v>
      </c>
      <c r="D11" s="8">
        <v>50</v>
      </c>
      <c r="E11" s="8">
        <v>35.5</v>
      </c>
      <c r="F11" s="8">
        <v>27.5</v>
      </c>
      <c r="G11" s="8">
        <f t="shared" si="1"/>
        <v>37.666666666666664</v>
      </c>
      <c r="H11" s="8">
        <f t="shared" si="2"/>
        <v>17.299999999999997</v>
      </c>
      <c r="I11" s="8">
        <f t="shared" si="3"/>
        <v>12.282999999999999</v>
      </c>
      <c r="J11" s="8">
        <f t="shared" si="4"/>
        <v>9.5149999999999988</v>
      </c>
      <c r="K11" s="8">
        <v>12</v>
      </c>
      <c r="L11" s="8">
        <v>12</v>
      </c>
      <c r="M11" s="8">
        <v>12</v>
      </c>
      <c r="N11" s="8"/>
      <c r="O11" s="94">
        <f t="shared" si="0"/>
        <v>1.4416666666666664</v>
      </c>
      <c r="P11" s="94">
        <f t="shared" si="0"/>
        <v>1.0235833333333333</v>
      </c>
      <c r="Q11" s="94">
        <f t="shared" si="0"/>
        <v>0.7929166666666666</v>
      </c>
      <c r="R11" s="94">
        <f t="shared" si="5"/>
        <v>1.0860555555555556</v>
      </c>
    </row>
    <row r="12" spans="1:18">
      <c r="D12" s="118" t="s">
        <v>159</v>
      </c>
      <c r="E12" s="118"/>
      <c r="F12" s="118"/>
      <c r="G12" s="118"/>
      <c r="H12" s="118" t="s">
        <v>163</v>
      </c>
      <c r="I12" s="118"/>
      <c r="J12" s="118"/>
      <c r="K12" s="118" t="s">
        <v>164</v>
      </c>
      <c r="L12" s="118"/>
      <c r="M12" s="118"/>
      <c r="N12" s="8"/>
      <c r="O12" s="120" t="s">
        <v>145</v>
      </c>
      <c r="P12" s="120"/>
      <c r="Q12" s="120"/>
      <c r="R12" s="120"/>
    </row>
    <row r="13" spans="1:18">
      <c r="A13" t="s">
        <v>150</v>
      </c>
      <c r="B13" t="s">
        <v>129</v>
      </c>
      <c r="C13" t="s">
        <v>162</v>
      </c>
      <c r="D13" s="8">
        <v>560</v>
      </c>
      <c r="E13" s="8">
        <v>560</v>
      </c>
      <c r="F13" s="8">
        <v>560</v>
      </c>
      <c r="G13" s="8">
        <v>560</v>
      </c>
      <c r="H13" s="8">
        <f>G13*0.346</f>
        <v>193.76</v>
      </c>
      <c r="I13" s="8">
        <v>193.76</v>
      </c>
      <c r="J13" s="8">
        <v>193.76</v>
      </c>
      <c r="K13" s="8">
        <v>221</v>
      </c>
      <c r="L13" s="8">
        <v>221</v>
      </c>
      <c r="M13" s="8">
        <v>221</v>
      </c>
      <c r="N13" s="8"/>
      <c r="O13" s="94">
        <f t="shared" ref="O13:Q20" si="6">H13/K13</f>
        <v>0.87674208144796373</v>
      </c>
      <c r="P13" s="94">
        <f t="shared" si="6"/>
        <v>0.87674208144796373</v>
      </c>
      <c r="Q13" s="94">
        <f t="shared" si="6"/>
        <v>0.87674208144796373</v>
      </c>
      <c r="R13" s="94">
        <f>SUM(O13:Q13)/3</f>
        <v>0.87674208144796373</v>
      </c>
    </row>
    <row r="14" spans="1:18">
      <c r="A14" t="s">
        <v>151</v>
      </c>
      <c r="B14" t="s">
        <v>129</v>
      </c>
      <c r="C14" t="s">
        <v>162</v>
      </c>
      <c r="D14" s="8">
        <v>560</v>
      </c>
      <c r="E14" s="8">
        <v>560</v>
      </c>
      <c r="F14" s="8">
        <v>560</v>
      </c>
      <c r="G14" s="8">
        <v>560</v>
      </c>
      <c r="H14" s="8">
        <f t="shared" ref="H14:H20" si="7">G14*0.346</f>
        <v>193.76</v>
      </c>
      <c r="I14" s="8">
        <v>193.76</v>
      </c>
      <c r="J14" s="8">
        <v>193.76</v>
      </c>
      <c r="K14" s="8">
        <v>221</v>
      </c>
      <c r="L14" s="8">
        <v>221</v>
      </c>
      <c r="M14" s="8">
        <v>221</v>
      </c>
      <c r="N14" s="8"/>
      <c r="O14" s="94">
        <f t="shared" si="6"/>
        <v>0.87674208144796373</v>
      </c>
      <c r="P14" s="94">
        <f t="shared" si="6"/>
        <v>0.87674208144796373</v>
      </c>
      <c r="Q14" s="94">
        <f t="shared" si="6"/>
        <v>0.87674208144796373</v>
      </c>
      <c r="R14" s="94">
        <f t="shared" ref="R14:R20" si="8">SUM(O14:Q14)/3</f>
        <v>0.87674208144796373</v>
      </c>
    </row>
    <row r="15" spans="1:18">
      <c r="A15" t="s">
        <v>152</v>
      </c>
      <c r="B15" t="s">
        <v>129</v>
      </c>
      <c r="C15" t="s">
        <v>162</v>
      </c>
      <c r="D15" s="8">
        <v>560</v>
      </c>
      <c r="E15" s="8">
        <v>560</v>
      </c>
      <c r="F15" s="8">
        <v>560</v>
      </c>
      <c r="G15" s="8">
        <v>560</v>
      </c>
      <c r="H15" s="8">
        <f t="shared" si="7"/>
        <v>193.76</v>
      </c>
      <c r="I15" s="8">
        <v>193.76</v>
      </c>
      <c r="J15" s="8">
        <v>193.76</v>
      </c>
      <c r="K15" s="8">
        <v>221</v>
      </c>
      <c r="L15" s="8">
        <v>221</v>
      </c>
      <c r="M15" s="8">
        <v>221</v>
      </c>
      <c r="N15" s="8"/>
      <c r="O15" s="94">
        <f t="shared" si="6"/>
        <v>0.87674208144796373</v>
      </c>
      <c r="P15" s="94">
        <f t="shared" si="6"/>
        <v>0.87674208144796373</v>
      </c>
      <c r="Q15" s="94">
        <f t="shared" si="6"/>
        <v>0.87674208144796373</v>
      </c>
      <c r="R15" s="94">
        <f t="shared" si="8"/>
        <v>0.87674208144796373</v>
      </c>
    </row>
    <row r="16" spans="1:18">
      <c r="A16" t="s">
        <v>153</v>
      </c>
      <c r="B16" t="s">
        <v>129</v>
      </c>
      <c r="C16" t="s">
        <v>162</v>
      </c>
      <c r="D16" s="8">
        <v>560</v>
      </c>
      <c r="E16" s="8">
        <v>560</v>
      </c>
      <c r="F16" s="8">
        <v>560</v>
      </c>
      <c r="G16" s="8">
        <v>560</v>
      </c>
      <c r="H16" s="8">
        <f t="shared" si="7"/>
        <v>193.76</v>
      </c>
      <c r="I16" s="8">
        <v>193.76</v>
      </c>
      <c r="J16" s="8">
        <v>193.76</v>
      </c>
      <c r="K16" s="8">
        <v>221</v>
      </c>
      <c r="L16" s="8">
        <v>221</v>
      </c>
      <c r="M16" s="8">
        <v>221</v>
      </c>
      <c r="N16" s="8"/>
      <c r="O16" s="94">
        <f t="shared" si="6"/>
        <v>0.87674208144796373</v>
      </c>
      <c r="P16" s="94">
        <f t="shared" si="6"/>
        <v>0.87674208144796373</v>
      </c>
      <c r="Q16" s="94">
        <f t="shared" si="6"/>
        <v>0.87674208144796373</v>
      </c>
      <c r="R16" s="94">
        <f t="shared" si="8"/>
        <v>0.87674208144796373</v>
      </c>
    </row>
    <row r="17" spans="1:18">
      <c r="A17" t="s">
        <v>154</v>
      </c>
      <c r="B17" t="s">
        <v>129</v>
      </c>
      <c r="C17" t="s">
        <v>162</v>
      </c>
      <c r="D17" s="8">
        <v>560</v>
      </c>
      <c r="E17" s="8">
        <v>560</v>
      </c>
      <c r="F17" s="8">
        <v>560</v>
      </c>
      <c r="G17" s="8">
        <v>560</v>
      </c>
      <c r="H17" s="8">
        <f t="shared" si="7"/>
        <v>193.76</v>
      </c>
      <c r="I17" s="8">
        <v>193.76</v>
      </c>
      <c r="J17" s="8">
        <v>193.76</v>
      </c>
      <c r="K17" s="8">
        <v>221</v>
      </c>
      <c r="L17" s="8">
        <v>221</v>
      </c>
      <c r="M17" s="8">
        <v>221</v>
      </c>
      <c r="N17" s="8"/>
      <c r="O17" s="94">
        <f t="shared" si="6"/>
        <v>0.87674208144796373</v>
      </c>
      <c r="P17" s="94">
        <f t="shared" si="6"/>
        <v>0.87674208144796373</v>
      </c>
      <c r="Q17" s="94">
        <f t="shared" si="6"/>
        <v>0.87674208144796373</v>
      </c>
      <c r="R17" s="94">
        <f t="shared" si="8"/>
        <v>0.87674208144796373</v>
      </c>
    </row>
    <row r="18" spans="1:18">
      <c r="A18" t="s">
        <v>155</v>
      </c>
      <c r="B18" t="s">
        <v>129</v>
      </c>
      <c r="C18" t="s">
        <v>162</v>
      </c>
      <c r="D18" s="8">
        <v>560</v>
      </c>
      <c r="E18" s="8">
        <v>560</v>
      </c>
      <c r="F18" s="8">
        <v>560</v>
      </c>
      <c r="G18" s="8">
        <v>560</v>
      </c>
      <c r="H18" s="8">
        <f t="shared" si="7"/>
        <v>193.76</v>
      </c>
      <c r="I18" s="8">
        <v>193.76</v>
      </c>
      <c r="J18" s="8">
        <v>193.76</v>
      </c>
      <c r="K18" s="8">
        <v>221</v>
      </c>
      <c r="L18" s="8">
        <v>221</v>
      </c>
      <c r="M18" s="8">
        <v>221</v>
      </c>
      <c r="N18" s="8"/>
      <c r="O18" s="94">
        <f t="shared" si="6"/>
        <v>0.87674208144796373</v>
      </c>
      <c r="P18" s="94">
        <f t="shared" si="6"/>
        <v>0.87674208144796373</v>
      </c>
      <c r="Q18" s="94">
        <f t="shared" si="6"/>
        <v>0.87674208144796373</v>
      </c>
      <c r="R18" s="94">
        <f t="shared" si="8"/>
        <v>0.87674208144796373</v>
      </c>
    </row>
    <row r="19" spans="1:18">
      <c r="A19" t="s">
        <v>156</v>
      </c>
      <c r="B19" t="s">
        <v>129</v>
      </c>
      <c r="C19" t="s">
        <v>162</v>
      </c>
      <c r="D19" s="8">
        <v>560</v>
      </c>
      <c r="E19" s="8">
        <v>560</v>
      </c>
      <c r="F19" s="8">
        <v>560</v>
      </c>
      <c r="G19" s="8">
        <v>560</v>
      </c>
      <c r="H19" s="8">
        <f t="shared" si="7"/>
        <v>193.76</v>
      </c>
      <c r="I19" s="8">
        <v>193.76</v>
      </c>
      <c r="J19" s="8">
        <v>193.76</v>
      </c>
      <c r="K19" s="8">
        <v>221</v>
      </c>
      <c r="L19" s="8">
        <v>221</v>
      </c>
      <c r="M19" s="8">
        <v>221</v>
      </c>
      <c r="N19" s="8"/>
      <c r="O19" s="94">
        <f t="shared" si="6"/>
        <v>0.87674208144796373</v>
      </c>
      <c r="P19" s="94">
        <f t="shared" si="6"/>
        <v>0.87674208144796373</v>
      </c>
      <c r="Q19" s="94">
        <f t="shared" si="6"/>
        <v>0.87674208144796373</v>
      </c>
      <c r="R19" s="94">
        <f t="shared" si="8"/>
        <v>0.87674208144796373</v>
      </c>
    </row>
    <row r="20" spans="1:18">
      <c r="A20" t="s">
        <v>157</v>
      </c>
      <c r="B20" t="s">
        <v>129</v>
      </c>
      <c r="C20" t="s">
        <v>162</v>
      </c>
      <c r="D20" s="8">
        <v>560</v>
      </c>
      <c r="E20" s="8">
        <v>560</v>
      </c>
      <c r="F20" s="8">
        <v>560</v>
      </c>
      <c r="G20" s="8">
        <v>560</v>
      </c>
      <c r="H20" s="8">
        <f t="shared" si="7"/>
        <v>193.76</v>
      </c>
      <c r="I20" s="8">
        <v>193.76</v>
      </c>
      <c r="J20" s="8">
        <v>193.76</v>
      </c>
      <c r="K20" s="8">
        <v>221</v>
      </c>
      <c r="L20" s="8">
        <v>221</v>
      </c>
      <c r="M20" s="8">
        <v>221</v>
      </c>
      <c r="N20" s="8"/>
      <c r="O20" s="94">
        <f t="shared" si="6"/>
        <v>0.87674208144796373</v>
      </c>
      <c r="P20" s="94">
        <f t="shared" si="6"/>
        <v>0.87674208144796373</v>
      </c>
      <c r="Q20" s="94">
        <f t="shared" si="6"/>
        <v>0.87674208144796373</v>
      </c>
      <c r="R20" s="94">
        <f t="shared" si="8"/>
        <v>0.87674208144796373</v>
      </c>
    </row>
    <row r="21" spans="1:18">
      <c r="D21" s="118" t="s">
        <v>409</v>
      </c>
      <c r="E21" s="118"/>
      <c r="F21" s="118"/>
      <c r="G21" s="118"/>
      <c r="H21" s="118" t="s">
        <v>163</v>
      </c>
      <c r="I21" s="118"/>
      <c r="J21" s="118"/>
      <c r="K21" s="118" t="s">
        <v>164</v>
      </c>
      <c r="L21" s="118"/>
      <c r="M21" s="118"/>
      <c r="N21" s="8"/>
      <c r="O21" s="120" t="s">
        <v>145</v>
      </c>
      <c r="P21" s="120"/>
      <c r="Q21" s="120"/>
      <c r="R21" s="120"/>
    </row>
    <row r="22" spans="1:18">
      <c r="A22" t="s">
        <v>150</v>
      </c>
      <c r="B22" t="s">
        <v>165</v>
      </c>
      <c r="C22" t="s">
        <v>162</v>
      </c>
      <c r="D22" s="8">
        <v>1400</v>
      </c>
      <c r="E22" s="8">
        <v>1050</v>
      </c>
      <c r="F22" s="8">
        <v>945</v>
      </c>
      <c r="G22" s="8">
        <f>SUM(D22:F22)/3</f>
        <v>1131.6666666666667</v>
      </c>
      <c r="H22" s="8">
        <f>D22*0.036</f>
        <v>50.4</v>
      </c>
      <c r="I22" s="8">
        <f>E22*0.036</f>
        <v>37.799999999999997</v>
      </c>
      <c r="J22" s="8">
        <f>F22*0.036</f>
        <v>34.019999999999996</v>
      </c>
      <c r="K22" s="8">
        <v>221</v>
      </c>
      <c r="L22" s="8">
        <v>221</v>
      </c>
      <c r="M22" s="8">
        <v>221</v>
      </c>
      <c r="N22" s="8"/>
      <c r="O22" s="94">
        <f t="shared" ref="O22:Q29" si="9">H22/K22</f>
        <v>0.22805429864253393</v>
      </c>
      <c r="P22" s="94">
        <f t="shared" si="9"/>
        <v>0.17104072398190043</v>
      </c>
      <c r="Q22" s="94">
        <f t="shared" si="9"/>
        <v>0.15393665158371039</v>
      </c>
      <c r="R22" s="94">
        <f>SUM(O22:Q22)/3</f>
        <v>0.1843438914027149</v>
      </c>
    </row>
    <row r="23" spans="1:18">
      <c r="A23" t="s">
        <v>151</v>
      </c>
      <c r="B23" t="s">
        <v>165</v>
      </c>
      <c r="C23" t="s">
        <v>162</v>
      </c>
      <c r="D23" s="8">
        <v>1400</v>
      </c>
      <c r="E23" s="8">
        <v>1050</v>
      </c>
      <c r="F23" s="8">
        <v>945</v>
      </c>
      <c r="G23" s="8">
        <f t="shared" ref="G23:G29" si="10">SUM(D23:F23)/3</f>
        <v>1131.6666666666667</v>
      </c>
      <c r="H23" s="8">
        <f t="shared" ref="H23:H29" si="11">D23*0.036</f>
        <v>50.4</v>
      </c>
      <c r="I23" s="8">
        <f t="shared" ref="I23:I29" si="12">E23*0.036</f>
        <v>37.799999999999997</v>
      </c>
      <c r="J23" s="8">
        <f t="shared" ref="J23:J29" si="13">F23*0.036</f>
        <v>34.019999999999996</v>
      </c>
      <c r="K23" s="8">
        <v>221</v>
      </c>
      <c r="L23" s="8">
        <v>221</v>
      </c>
      <c r="M23" s="8">
        <v>221</v>
      </c>
      <c r="N23" s="8"/>
      <c r="O23" s="94">
        <f t="shared" si="9"/>
        <v>0.22805429864253393</v>
      </c>
      <c r="P23" s="94">
        <f t="shared" si="9"/>
        <v>0.17104072398190043</v>
      </c>
      <c r="Q23" s="94">
        <f t="shared" si="9"/>
        <v>0.15393665158371039</v>
      </c>
      <c r="R23" s="94">
        <f t="shared" ref="R23:R29" si="14">SUM(O23:Q23)/3</f>
        <v>0.1843438914027149</v>
      </c>
    </row>
    <row r="24" spans="1:18">
      <c r="A24" t="s">
        <v>152</v>
      </c>
      <c r="B24" t="s">
        <v>165</v>
      </c>
      <c r="C24" t="s">
        <v>162</v>
      </c>
      <c r="D24" s="8">
        <v>1400</v>
      </c>
      <c r="E24" s="8">
        <v>1050</v>
      </c>
      <c r="F24" s="8">
        <v>945</v>
      </c>
      <c r="G24" s="8">
        <f t="shared" si="10"/>
        <v>1131.6666666666667</v>
      </c>
      <c r="H24" s="8">
        <f t="shared" si="11"/>
        <v>50.4</v>
      </c>
      <c r="I24" s="8">
        <f t="shared" si="12"/>
        <v>37.799999999999997</v>
      </c>
      <c r="J24" s="8">
        <f t="shared" si="13"/>
        <v>34.019999999999996</v>
      </c>
      <c r="K24" s="8">
        <v>221</v>
      </c>
      <c r="L24" s="8">
        <v>221</v>
      </c>
      <c r="M24" s="8">
        <v>221</v>
      </c>
      <c r="N24" s="8"/>
      <c r="O24" s="94">
        <f t="shared" si="9"/>
        <v>0.22805429864253393</v>
      </c>
      <c r="P24" s="94">
        <f t="shared" si="9"/>
        <v>0.17104072398190043</v>
      </c>
      <c r="Q24" s="94">
        <f t="shared" si="9"/>
        <v>0.15393665158371039</v>
      </c>
      <c r="R24" s="94">
        <f t="shared" si="14"/>
        <v>0.1843438914027149</v>
      </c>
    </row>
    <row r="25" spans="1:18">
      <c r="A25" t="s">
        <v>153</v>
      </c>
      <c r="B25" t="s">
        <v>165</v>
      </c>
      <c r="C25" t="s">
        <v>162</v>
      </c>
      <c r="D25" s="8">
        <v>1400</v>
      </c>
      <c r="E25" s="8">
        <v>1050</v>
      </c>
      <c r="F25" s="8">
        <v>945</v>
      </c>
      <c r="G25" s="8">
        <f t="shared" si="10"/>
        <v>1131.6666666666667</v>
      </c>
      <c r="H25" s="8">
        <f t="shared" si="11"/>
        <v>50.4</v>
      </c>
      <c r="I25" s="8">
        <f t="shared" si="12"/>
        <v>37.799999999999997</v>
      </c>
      <c r="J25" s="8">
        <f t="shared" si="13"/>
        <v>34.019999999999996</v>
      </c>
      <c r="K25" s="8">
        <v>221</v>
      </c>
      <c r="L25" s="8">
        <v>221</v>
      </c>
      <c r="M25" s="8">
        <v>221</v>
      </c>
      <c r="N25" s="8"/>
      <c r="O25" s="94">
        <f t="shared" si="9"/>
        <v>0.22805429864253393</v>
      </c>
      <c r="P25" s="94">
        <f t="shared" si="9"/>
        <v>0.17104072398190043</v>
      </c>
      <c r="Q25" s="94">
        <f t="shared" si="9"/>
        <v>0.15393665158371039</v>
      </c>
      <c r="R25" s="94">
        <f t="shared" si="14"/>
        <v>0.1843438914027149</v>
      </c>
    </row>
    <row r="26" spans="1:18">
      <c r="A26" t="s">
        <v>154</v>
      </c>
      <c r="B26" t="s">
        <v>165</v>
      </c>
      <c r="C26" t="s">
        <v>162</v>
      </c>
      <c r="D26" s="8">
        <v>1400</v>
      </c>
      <c r="E26" s="8">
        <v>1050</v>
      </c>
      <c r="F26" s="8">
        <v>945</v>
      </c>
      <c r="G26" s="8">
        <f t="shared" si="10"/>
        <v>1131.6666666666667</v>
      </c>
      <c r="H26" s="8">
        <f t="shared" si="11"/>
        <v>50.4</v>
      </c>
      <c r="I26" s="8">
        <f t="shared" si="12"/>
        <v>37.799999999999997</v>
      </c>
      <c r="J26" s="8">
        <f t="shared" si="13"/>
        <v>34.019999999999996</v>
      </c>
      <c r="K26" s="8">
        <v>221</v>
      </c>
      <c r="L26" s="8">
        <v>221</v>
      </c>
      <c r="M26" s="8">
        <v>221</v>
      </c>
      <c r="N26" s="8"/>
      <c r="O26" s="94">
        <f t="shared" si="9"/>
        <v>0.22805429864253393</v>
      </c>
      <c r="P26" s="94">
        <f t="shared" si="9"/>
        <v>0.17104072398190043</v>
      </c>
      <c r="Q26" s="94">
        <f t="shared" si="9"/>
        <v>0.15393665158371039</v>
      </c>
      <c r="R26" s="94">
        <f t="shared" si="14"/>
        <v>0.1843438914027149</v>
      </c>
    </row>
    <row r="27" spans="1:18">
      <c r="A27" t="s">
        <v>155</v>
      </c>
      <c r="B27" t="s">
        <v>165</v>
      </c>
      <c r="C27" t="s">
        <v>162</v>
      </c>
      <c r="D27" s="8">
        <v>1400</v>
      </c>
      <c r="E27" s="8">
        <v>1050</v>
      </c>
      <c r="F27" s="8">
        <v>945</v>
      </c>
      <c r="G27" s="8">
        <f t="shared" si="10"/>
        <v>1131.6666666666667</v>
      </c>
      <c r="H27" s="8">
        <f t="shared" si="11"/>
        <v>50.4</v>
      </c>
      <c r="I27" s="8">
        <f t="shared" si="12"/>
        <v>37.799999999999997</v>
      </c>
      <c r="J27" s="8">
        <f t="shared" si="13"/>
        <v>34.019999999999996</v>
      </c>
      <c r="K27" s="8">
        <v>221</v>
      </c>
      <c r="L27" s="8">
        <v>221</v>
      </c>
      <c r="M27" s="8">
        <v>221</v>
      </c>
      <c r="N27" s="8"/>
      <c r="O27" s="94">
        <f t="shared" si="9"/>
        <v>0.22805429864253393</v>
      </c>
      <c r="P27" s="94">
        <f t="shared" si="9"/>
        <v>0.17104072398190043</v>
      </c>
      <c r="Q27" s="94">
        <f t="shared" si="9"/>
        <v>0.15393665158371039</v>
      </c>
      <c r="R27" s="94">
        <f t="shared" si="14"/>
        <v>0.1843438914027149</v>
      </c>
    </row>
    <row r="28" spans="1:18">
      <c r="A28" t="s">
        <v>156</v>
      </c>
      <c r="B28" t="s">
        <v>165</v>
      </c>
      <c r="C28" t="s">
        <v>162</v>
      </c>
      <c r="D28" s="8">
        <v>1400</v>
      </c>
      <c r="E28" s="8">
        <v>1050</v>
      </c>
      <c r="F28" s="8">
        <v>945</v>
      </c>
      <c r="G28" s="8">
        <f t="shared" si="10"/>
        <v>1131.6666666666667</v>
      </c>
      <c r="H28" s="8">
        <f t="shared" si="11"/>
        <v>50.4</v>
      </c>
      <c r="I28" s="8">
        <f t="shared" si="12"/>
        <v>37.799999999999997</v>
      </c>
      <c r="J28" s="8">
        <f t="shared" si="13"/>
        <v>34.019999999999996</v>
      </c>
      <c r="K28" s="8">
        <v>221</v>
      </c>
      <c r="L28" s="8">
        <v>221</v>
      </c>
      <c r="M28" s="8">
        <v>221</v>
      </c>
      <c r="N28" s="8"/>
      <c r="O28" s="94">
        <f t="shared" si="9"/>
        <v>0.22805429864253393</v>
      </c>
      <c r="P28" s="94">
        <f t="shared" si="9"/>
        <v>0.17104072398190043</v>
      </c>
      <c r="Q28" s="94">
        <f t="shared" si="9"/>
        <v>0.15393665158371039</v>
      </c>
      <c r="R28" s="94">
        <f t="shared" si="14"/>
        <v>0.1843438914027149</v>
      </c>
    </row>
    <row r="29" spans="1:18">
      <c r="A29" t="s">
        <v>157</v>
      </c>
      <c r="B29" t="s">
        <v>165</v>
      </c>
      <c r="C29" t="s">
        <v>162</v>
      </c>
      <c r="D29" s="8">
        <v>1400</v>
      </c>
      <c r="E29" s="8">
        <v>1050</v>
      </c>
      <c r="F29" s="8">
        <v>945</v>
      </c>
      <c r="G29" s="8">
        <f t="shared" si="10"/>
        <v>1131.6666666666667</v>
      </c>
      <c r="H29" s="8">
        <f t="shared" si="11"/>
        <v>50.4</v>
      </c>
      <c r="I29" s="8">
        <f t="shared" si="12"/>
        <v>37.799999999999997</v>
      </c>
      <c r="J29" s="8">
        <f t="shared" si="13"/>
        <v>34.019999999999996</v>
      </c>
      <c r="K29" s="8">
        <v>221</v>
      </c>
      <c r="L29" s="8">
        <v>221</v>
      </c>
      <c r="M29" s="8">
        <v>221</v>
      </c>
      <c r="N29" s="8"/>
      <c r="O29" s="94">
        <f t="shared" si="9"/>
        <v>0.22805429864253393</v>
      </c>
      <c r="P29" s="94">
        <f t="shared" si="9"/>
        <v>0.17104072398190043</v>
      </c>
      <c r="Q29" s="94">
        <f t="shared" si="9"/>
        <v>0.15393665158371039</v>
      </c>
      <c r="R29" s="94">
        <f t="shared" si="14"/>
        <v>0.1843438914027149</v>
      </c>
    </row>
    <row r="30" spans="1:18">
      <c r="D30" s="118" t="s">
        <v>409</v>
      </c>
      <c r="E30" s="118"/>
      <c r="F30" s="118"/>
      <c r="G30" s="118"/>
      <c r="H30" s="118" t="s">
        <v>163</v>
      </c>
      <c r="I30" s="118"/>
      <c r="J30" s="118"/>
      <c r="K30" s="118" t="s">
        <v>164</v>
      </c>
      <c r="L30" s="118"/>
      <c r="M30" s="118"/>
      <c r="N30" s="8"/>
      <c r="O30" s="120" t="s">
        <v>145</v>
      </c>
      <c r="P30" s="120"/>
      <c r="Q30" s="120"/>
      <c r="R30" s="120"/>
    </row>
    <row r="31" spans="1:18">
      <c r="A31" t="s">
        <v>150</v>
      </c>
      <c r="B31" t="s">
        <v>165</v>
      </c>
      <c r="C31" t="s">
        <v>167</v>
      </c>
      <c r="D31" s="8">
        <v>2000</v>
      </c>
      <c r="E31" s="8">
        <v>1500</v>
      </c>
      <c r="F31" s="8">
        <v>1350</v>
      </c>
      <c r="G31" s="8">
        <f>SUM(D31:F31)/3</f>
        <v>1616.6666666666667</v>
      </c>
      <c r="H31" s="8">
        <f>D31*0.036</f>
        <v>72</v>
      </c>
      <c r="I31" s="8">
        <f>E31*0.036</f>
        <v>53.999999999999993</v>
      </c>
      <c r="J31" s="8">
        <f>F31*0.036</f>
        <v>48.599999999999994</v>
      </c>
      <c r="K31" s="8">
        <v>436</v>
      </c>
      <c r="L31" s="8">
        <v>436</v>
      </c>
      <c r="M31" s="8">
        <v>436</v>
      </c>
      <c r="N31" s="8"/>
      <c r="O31" s="94">
        <f t="shared" ref="O31:Q38" si="15">H31/K31</f>
        <v>0.16513761467889909</v>
      </c>
      <c r="P31" s="94">
        <f t="shared" si="15"/>
        <v>0.12385321100917429</v>
      </c>
      <c r="Q31" s="94">
        <f t="shared" si="15"/>
        <v>0.11146788990825687</v>
      </c>
      <c r="R31" s="94" cm="1">
        <f t="array" ref="R31">SUM(O31:Q31/3)</f>
        <v>0.13348623853211009</v>
      </c>
    </row>
    <row r="32" spans="1:18">
      <c r="A32" t="s">
        <v>151</v>
      </c>
      <c r="B32" t="s">
        <v>165</v>
      </c>
      <c r="C32" t="s">
        <v>167</v>
      </c>
      <c r="D32" s="8">
        <v>2000</v>
      </c>
      <c r="E32" s="8">
        <v>1500</v>
      </c>
      <c r="F32" s="8">
        <v>1350</v>
      </c>
      <c r="G32" s="8">
        <f t="shared" ref="G32:G38" si="16">SUM(D32:F32)/3</f>
        <v>1616.6666666666667</v>
      </c>
      <c r="H32" s="8">
        <f t="shared" ref="H32:H38" si="17">D32*0.036</f>
        <v>72</v>
      </c>
      <c r="I32" s="8">
        <f t="shared" ref="I32:I38" si="18">E32*0.036</f>
        <v>53.999999999999993</v>
      </c>
      <c r="J32" s="8">
        <f t="shared" ref="J32:J38" si="19">F32*0.036</f>
        <v>48.599999999999994</v>
      </c>
      <c r="K32" s="8">
        <v>436</v>
      </c>
      <c r="L32" s="8">
        <v>436</v>
      </c>
      <c r="M32" s="8">
        <v>436</v>
      </c>
      <c r="N32" s="8"/>
      <c r="O32" s="94">
        <f t="shared" si="15"/>
        <v>0.16513761467889909</v>
      </c>
      <c r="P32" s="94">
        <f t="shared" si="15"/>
        <v>0.12385321100917429</v>
      </c>
      <c r="Q32" s="94">
        <f t="shared" si="15"/>
        <v>0.11146788990825687</v>
      </c>
      <c r="R32" s="94" cm="1">
        <f t="array" ref="R32">SUM(O32:Q32/3)</f>
        <v>0.13348623853211009</v>
      </c>
    </row>
    <row r="33" spans="1:18">
      <c r="A33" t="s">
        <v>152</v>
      </c>
      <c r="B33" t="s">
        <v>165</v>
      </c>
      <c r="C33" t="s">
        <v>167</v>
      </c>
      <c r="D33" s="8">
        <v>2000</v>
      </c>
      <c r="E33" s="8">
        <v>1500</v>
      </c>
      <c r="F33" s="8">
        <v>1350</v>
      </c>
      <c r="G33" s="8">
        <f t="shared" si="16"/>
        <v>1616.6666666666667</v>
      </c>
      <c r="H33" s="8">
        <f t="shared" si="17"/>
        <v>72</v>
      </c>
      <c r="I33" s="8">
        <f t="shared" si="18"/>
        <v>53.999999999999993</v>
      </c>
      <c r="J33" s="8">
        <f t="shared" si="19"/>
        <v>48.599999999999994</v>
      </c>
      <c r="K33" s="8">
        <v>436</v>
      </c>
      <c r="L33" s="8">
        <v>436</v>
      </c>
      <c r="M33" s="8">
        <v>436</v>
      </c>
      <c r="N33" s="8"/>
      <c r="O33" s="94">
        <f t="shared" si="15"/>
        <v>0.16513761467889909</v>
      </c>
      <c r="P33" s="94">
        <f t="shared" si="15"/>
        <v>0.12385321100917429</v>
      </c>
      <c r="Q33" s="94">
        <f t="shared" si="15"/>
        <v>0.11146788990825687</v>
      </c>
      <c r="R33" s="94" cm="1">
        <f t="array" ref="R33">SUM(O33:Q33/3)</f>
        <v>0.13348623853211009</v>
      </c>
    </row>
    <row r="34" spans="1:18">
      <c r="A34" t="s">
        <v>153</v>
      </c>
      <c r="B34" t="s">
        <v>165</v>
      </c>
      <c r="C34" t="s">
        <v>167</v>
      </c>
      <c r="D34" s="8">
        <v>2000</v>
      </c>
      <c r="E34" s="8">
        <v>1500</v>
      </c>
      <c r="F34" s="8">
        <v>1350</v>
      </c>
      <c r="G34" s="8">
        <f t="shared" si="16"/>
        <v>1616.6666666666667</v>
      </c>
      <c r="H34" s="8">
        <f t="shared" si="17"/>
        <v>72</v>
      </c>
      <c r="I34" s="8">
        <f t="shared" si="18"/>
        <v>53.999999999999993</v>
      </c>
      <c r="J34" s="8">
        <f t="shared" si="19"/>
        <v>48.599999999999994</v>
      </c>
      <c r="K34" s="8">
        <v>436</v>
      </c>
      <c r="L34" s="8">
        <v>436</v>
      </c>
      <c r="M34" s="8">
        <v>436</v>
      </c>
      <c r="N34" s="8"/>
      <c r="O34" s="94">
        <f t="shared" si="15"/>
        <v>0.16513761467889909</v>
      </c>
      <c r="P34" s="94">
        <f t="shared" si="15"/>
        <v>0.12385321100917429</v>
      </c>
      <c r="Q34" s="94">
        <f t="shared" si="15"/>
        <v>0.11146788990825687</v>
      </c>
      <c r="R34" s="94" cm="1">
        <f t="array" ref="R34">SUM(O34:Q34/3)</f>
        <v>0.13348623853211009</v>
      </c>
    </row>
    <row r="35" spans="1:18">
      <c r="A35" t="s">
        <v>154</v>
      </c>
      <c r="B35" t="s">
        <v>165</v>
      </c>
      <c r="C35" t="s">
        <v>167</v>
      </c>
      <c r="D35" s="8">
        <v>2000</v>
      </c>
      <c r="E35" s="8">
        <v>1500</v>
      </c>
      <c r="F35" s="8">
        <v>1350</v>
      </c>
      <c r="G35" s="8">
        <f t="shared" si="16"/>
        <v>1616.6666666666667</v>
      </c>
      <c r="H35" s="8">
        <f t="shared" si="17"/>
        <v>72</v>
      </c>
      <c r="I35" s="8">
        <f t="shared" si="18"/>
        <v>53.999999999999993</v>
      </c>
      <c r="J35" s="8">
        <f t="shared" si="19"/>
        <v>48.599999999999994</v>
      </c>
      <c r="K35" s="8">
        <v>436</v>
      </c>
      <c r="L35" s="8">
        <v>436</v>
      </c>
      <c r="M35" s="8">
        <v>436</v>
      </c>
      <c r="N35" s="8"/>
      <c r="O35" s="94">
        <f t="shared" si="15"/>
        <v>0.16513761467889909</v>
      </c>
      <c r="P35" s="94">
        <f t="shared" si="15"/>
        <v>0.12385321100917429</v>
      </c>
      <c r="Q35" s="94">
        <f t="shared" si="15"/>
        <v>0.11146788990825687</v>
      </c>
      <c r="R35" s="94" cm="1">
        <f t="array" ref="R35">SUM(O35:Q35/3)</f>
        <v>0.13348623853211009</v>
      </c>
    </row>
    <row r="36" spans="1:18">
      <c r="A36" t="s">
        <v>155</v>
      </c>
      <c r="B36" t="s">
        <v>165</v>
      </c>
      <c r="C36" t="s">
        <v>167</v>
      </c>
      <c r="D36" s="8">
        <v>2000</v>
      </c>
      <c r="E36" s="8">
        <v>1500</v>
      </c>
      <c r="F36" s="8">
        <v>1350</v>
      </c>
      <c r="G36" s="8">
        <f t="shared" si="16"/>
        <v>1616.6666666666667</v>
      </c>
      <c r="H36" s="8">
        <f t="shared" si="17"/>
        <v>72</v>
      </c>
      <c r="I36" s="8">
        <f t="shared" si="18"/>
        <v>53.999999999999993</v>
      </c>
      <c r="J36" s="8">
        <f t="shared" si="19"/>
        <v>48.599999999999994</v>
      </c>
      <c r="K36" s="8">
        <v>436</v>
      </c>
      <c r="L36" s="8">
        <v>436</v>
      </c>
      <c r="M36" s="8">
        <v>436</v>
      </c>
      <c r="N36" s="8"/>
      <c r="O36" s="94">
        <f t="shared" si="15"/>
        <v>0.16513761467889909</v>
      </c>
      <c r="P36" s="94">
        <f t="shared" si="15"/>
        <v>0.12385321100917429</v>
      </c>
      <c r="Q36" s="94">
        <f t="shared" si="15"/>
        <v>0.11146788990825687</v>
      </c>
      <c r="R36" s="94" cm="1">
        <f t="array" ref="R36">SUM(O36:Q36/3)</f>
        <v>0.13348623853211009</v>
      </c>
    </row>
    <row r="37" spans="1:18">
      <c r="A37" t="s">
        <v>156</v>
      </c>
      <c r="B37" t="s">
        <v>165</v>
      </c>
      <c r="C37" t="s">
        <v>167</v>
      </c>
      <c r="D37" s="8">
        <v>2000</v>
      </c>
      <c r="E37" s="8">
        <v>1500</v>
      </c>
      <c r="F37" s="8">
        <v>1350</v>
      </c>
      <c r="G37" s="8">
        <f t="shared" si="16"/>
        <v>1616.6666666666667</v>
      </c>
      <c r="H37" s="8">
        <f t="shared" si="17"/>
        <v>72</v>
      </c>
      <c r="I37" s="8">
        <f t="shared" si="18"/>
        <v>53.999999999999993</v>
      </c>
      <c r="J37" s="8">
        <f t="shared" si="19"/>
        <v>48.599999999999994</v>
      </c>
      <c r="K37" s="8">
        <v>436</v>
      </c>
      <c r="L37" s="8">
        <v>436</v>
      </c>
      <c r="M37" s="8">
        <v>436</v>
      </c>
      <c r="N37" s="8"/>
      <c r="O37" s="94">
        <f t="shared" si="15"/>
        <v>0.16513761467889909</v>
      </c>
      <c r="P37" s="94">
        <f t="shared" si="15"/>
        <v>0.12385321100917429</v>
      </c>
      <c r="Q37" s="94">
        <f t="shared" si="15"/>
        <v>0.11146788990825687</v>
      </c>
      <c r="R37" s="94" cm="1">
        <f t="array" ref="R37">SUM(O37:Q37/3)</f>
        <v>0.13348623853211009</v>
      </c>
    </row>
    <row r="38" spans="1:18">
      <c r="A38" t="s">
        <v>157</v>
      </c>
      <c r="B38" t="s">
        <v>165</v>
      </c>
      <c r="C38" t="s">
        <v>167</v>
      </c>
      <c r="D38" s="8">
        <v>2000</v>
      </c>
      <c r="E38" s="8">
        <v>1500</v>
      </c>
      <c r="F38" s="8">
        <v>1350</v>
      </c>
      <c r="G38" s="8">
        <f t="shared" si="16"/>
        <v>1616.6666666666667</v>
      </c>
      <c r="H38" s="8">
        <f t="shared" si="17"/>
        <v>72</v>
      </c>
      <c r="I38" s="8">
        <f t="shared" si="18"/>
        <v>53.999999999999993</v>
      </c>
      <c r="J38" s="8">
        <f t="shared" si="19"/>
        <v>48.599999999999994</v>
      </c>
      <c r="K38" s="8">
        <v>436</v>
      </c>
      <c r="L38" s="8">
        <v>436</v>
      </c>
      <c r="M38" s="8">
        <v>436</v>
      </c>
      <c r="N38" s="8"/>
      <c r="O38" s="94">
        <f t="shared" si="15"/>
        <v>0.16513761467889909</v>
      </c>
      <c r="P38" s="94">
        <f t="shared" si="15"/>
        <v>0.12385321100917429</v>
      </c>
      <c r="Q38" s="94">
        <f t="shared" si="15"/>
        <v>0.11146788990825687</v>
      </c>
      <c r="R38" s="94" cm="1">
        <f t="array" ref="R38">SUM(O38:Q38/3)</f>
        <v>0.13348623853211009</v>
      </c>
    </row>
    <row r="39" spans="1:18">
      <c r="D39" s="118" t="s">
        <v>159</v>
      </c>
      <c r="E39" s="118"/>
      <c r="F39" s="118"/>
      <c r="G39" s="118"/>
      <c r="H39" s="118" t="s">
        <v>163</v>
      </c>
      <c r="I39" s="118"/>
      <c r="J39" s="118"/>
      <c r="K39" s="118" t="s">
        <v>173</v>
      </c>
      <c r="L39" s="118"/>
      <c r="M39" s="118"/>
      <c r="N39" s="8"/>
      <c r="O39" s="120" t="s">
        <v>146</v>
      </c>
      <c r="P39" s="120"/>
      <c r="Q39" s="120"/>
      <c r="R39" s="120"/>
    </row>
    <row r="40" spans="1:18">
      <c r="A40" t="s">
        <v>150</v>
      </c>
      <c r="B40" t="s">
        <v>129</v>
      </c>
      <c r="C40" t="s">
        <v>172</v>
      </c>
      <c r="D40" s="8">
        <v>15</v>
      </c>
      <c r="E40" s="8">
        <v>13</v>
      </c>
      <c r="F40" s="8">
        <v>11</v>
      </c>
      <c r="G40" s="8">
        <f>SUM(D40:F40)/3</f>
        <v>13</v>
      </c>
      <c r="H40" s="8">
        <f>D40*0.346</f>
        <v>5.1899999999999995</v>
      </c>
      <c r="I40" s="8">
        <f>E40*0.346</f>
        <v>4.4979999999999993</v>
      </c>
      <c r="J40" s="8">
        <f>F40*0.346</f>
        <v>3.8059999999999996</v>
      </c>
      <c r="K40" s="8">
        <v>4.2</v>
      </c>
      <c r="L40" s="8">
        <v>4.2</v>
      </c>
      <c r="M40" s="8">
        <v>4.2</v>
      </c>
      <c r="N40" s="8"/>
      <c r="O40" s="94">
        <f t="shared" ref="O40:Q47" si="20">H40/K40</f>
        <v>1.2357142857142855</v>
      </c>
      <c r="P40" s="94">
        <f t="shared" si="20"/>
        <v>1.0709523809523807</v>
      </c>
      <c r="Q40" s="94">
        <f t="shared" si="20"/>
        <v>0.9061904761904761</v>
      </c>
      <c r="R40" s="94">
        <f>SUM(O40:Q40)/3</f>
        <v>1.0709523809523807</v>
      </c>
    </row>
    <row r="41" spans="1:18">
      <c r="A41" t="s">
        <v>151</v>
      </c>
      <c r="B41" t="s">
        <v>129</v>
      </c>
      <c r="C41" t="s">
        <v>172</v>
      </c>
      <c r="D41" s="8">
        <v>24</v>
      </c>
      <c r="E41" s="8">
        <v>20</v>
      </c>
      <c r="F41" s="8">
        <v>17</v>
      </c>
      <c r="G41" s="8">
        <f t="shared" ref="G41:G47" si="21">SUM(D41:F41)/3</f>
        <v>20.333333333333332</v>
      </c>
      <c r="H41" s="8">
        <f t="shared" ref="H41:H47" si="22">D41*0.346</f>
        <v>8.3039999999999985</v>
      </c>
      <c r="I41" s="8">
        <f t="shared" ref="I41:I46" si="23">E41*0.346</f>
        <v>6.92</v>
      </c>
      <c r="J41" s="8">
        <f t="shared" ref="J41:J47" si="24">F41*0.346</f>
        <v>5.8819999999999997</v>
      </c>
      <c r="K41" s="8">
        <v>4.2</v>
      </c>
      <c r="L41" s="8">
        <v>4.2</v>
      </c>
      <c r="M41" s="8">
        <v>4.2</v>
      </c>
      <c r="N41" s="8"/>
      <c r="O41" s="94">
        <f t="shared" si="20"/>
        <v>1.9771428571428566</v>
      </c>
      <c r="P41" s="94">
        <f t="shared" si="20"/>
        <v>1.6476190476190475</v>
      </c>
      <c r="Q41" s="94">
        <f t="shared" si="20"/>
        <v>1.4004761904761904</v>
      </c>
      <c r="R41" s="94">
        <f t="shared" ref="R41:R47" si="25">SUM(O41:Q41)/3</f>
        <v>1.6750793650793649</v>
      </c>
    </row>
    <row r="42" spans="1:18">
      <c r="A42" t="s">
        <v>152</v>
      </c>
      <c r="B42" t="s">
        <v>129</v>
      </c>
      <c r="C42" t="s">
        <v>172</v>
      </c>
      <c r="D42" s="8">
        <v>35</v>
      </c>
      <c r="E42" s="8">
        <v>23</v>
      </c>
      <c r="F42" s="8">
        <v>20</v>
      </c>
      <c r="G42" s="8">
        <f t="shared" si="21"/>
        <v>26</v>
      </c>
      <c r="H42" s="8">
        <f t="shared" si="22"/>
        <v>12.11</v>
      </c>
      <c r="I42" s="8">
        <f t="shared" si="23"/>
        <v>7.9579999999999993</v>
      </c>
      <c r="J42" s="8">
        <f t="shared" si="24"/>
        <v>6.92</v>
      </c>
      <c r="K42" s="8">
        <v>4.2</v>
      </c>
      <c r="L42" s="8">
        <v>4.2</v>
      </c>
      <c r="M42" s="8">
        <v>4.2</v>
      </c>
      <c r="N42" s="8"/>
      <c r="O42" s="94">
        <f t="shared" si="20"/>
        <v>2.8833333333333329</v>
      </c>
      <c r="P42" s="94">
        <f t="shared" si="20"/>
        <v>1.8947619047619044</v>
      </c>
      <c r="Q42" s="94">
        <f t="shared" si="20"/>
        <v>1.6476190476190475</v>
      </c>
      <c r="R42" s="94">
        <f t="shared" si="25"/>
        <v>2.1419047619047618</v>
      </c>
    </row>
    <row r="43" spans="1:18">
      <c r="A43" t="s">
        <v>153</v>
      </c>
      <c r="B43" t="s">
        <v>129</v>
      </c>
      <c r="C43" t="s">
        <v>172</v>
      </c>
      <c r="D43" s="8">
        <v>35</v>
      </c>
      <c r="E43" s="8">
        <v>23</v>
      </c>
      <c r="F43" s="8">
        <v>20</v>
      </c>
      <c r="G43" s="8">
        <f t="shared" si="21"/>
        <v>26</v>
      </c>
      <c r="H43" s="8">
        <f t="shared" si="22"/>
        <v>12.11</v>
      </c>
      <c r="I43" s="8">
        <f t="shared" si="23"/>
        <v>7.9579999999999993</v>
      </c>
      <c r="J43" s="8">
        <f t="shared" si="24"/>
        <v>6.92</v>
      </c>
      <c r="K43" s="8">
        <v>4.2</v>
      </c>
      <c r="L43" s="8">
        <v>4.2</v>
      </c>
      <c r="M43" s="8">
        <v>4.2</v>
      </c>
      <c r="N43" s="8"/>
      <c r="O43" s="94">
        <f t="shared" si="20"/>
        <v>2.8833333333333329</v>
      </c>
      <c r="P43" s="94">
        <f t="shared" si="20"/>
        <v>1.8947619047619044</v>
      </c>
      <c r="Q43" s="94">
        <f t="shared" si="20"/>
        <v>1.6476190476190475</v>
      </c>
      <c r="R43" s="94">
        <f t="shared" si="25"/>
        <v>2.1419047619047618</v>
      </c>
    </row>
    <row r="44" spans="1:18">
      <c r="A44" t="s">
        <v>154</v>
      </c>
      <c r="B44" t="s">
        <v>129</v>
      </c>
      <c r="C44" t="s">
        <v>172</v>
      </c>
      <c r="D44" s="8">
        <v>35</v>
      </c>
      <c r="E44" s="8">
        <v>23</v>
      </c>
      <c r="F44" s="8">
        <v>20</v>
      </c>
      <c r="G44" s="8">
        <f t="shared" si="21"/>
        <v>26</v>
      </c>
      <c r="H44" s="8">
        <f t="shared" si="22"/>
        <v>12.11</v>
      </c>
      <c r="I44" s="8">
        <f t="shared" si="23"/>
        <v>7.9579999999999993</v>
      </c>
      <c r="J44" s="8">
        <f t="shared" si="24"/>
        <v>6.92</v>
      </c>
      <c r="K44" s="8">
        <v>4.2</v>
      </c>
      <c r="L44" s="8">
        <v>4.2</v>
      </c>
      <c r="M44" s="8">
        <v>4.2</v>
      </c>
      <c r="N44" s="8"/>
      <c r="O44" s="94">
        <f t="shared" si="20"/>
        <v>2.8833333333333329</v>
      </c>
      <c r="P44" s="94">
        <f t="shared" si="20"/>
        <v>1.8947619047619044</v>
      </c>
      <c r="Q44" s="94">
        <f t="shared" si="20"/>
        <v>1.6476190476190475</v>
      </c>
      <c r="R44" s="94">
        <f t="shared" si="25"/>
        <v>2.1419047619047618</v>
      </c>
    </row>
    <row r="45" spans="1:18">
      <c r="A45" t="s">
        <v>155</v>
      </c>
      <c r="B45" t="s">
        <v>129</v>
      </c>
      <c r="C45" t="s">
        <v>172</v>
      </c>
      <c r="D45" s="8">
        <v>35</v>
      </c>
      <c r="E45" s="8">
        <v>23</v>
      </c>
      <c r="F45" s="8">
        <v>20</v>
      </c>
      <c r="G45" s="8">
        <f t="shared" si="21"/>
        <v>26</v>
      </c>
      <c r="H45" s="8">
        <f t="shared" si="22"/>
        <v>12.11</v>
      </c>
      <c r="I45" s="8">
        <f t="shared" si="23"/>
        <v>7.9579999999999993</v>
      </c>
      <c r="J45" s="8">
        <f t="shared" si="24"/>
        <v>6.92</v>
      </c>
      <c r="K45" s="8">
        <v>4.2</v>
      </c>
      <c r="L45" s="8">
        <v>4.2</v>
      </c>
      <c r="M45" s="8">
        <v>4.2</v>
      </c>
      <c r="N45" s="8"/>
      <c r="O45" s="94">
        <f t="shared" si="20"/>
        <v>2.8833333333333329</v>
      </c>
      <c r="P45" s="94">
        <f t="shared" si="20"/>
        <v>1.8947619047619044</v>
      </c>
      <c r="Q45" s="94">
        <f t="shared" si="20"/>
        <v>1.6476190476190475</v>
      </c>
      <c r="R45" s="94">
        <f t="shared" si="25"/>
        <v>2.1419047619047618</v>
      </c>
    </row>
    <row r="46" spans="1:18">
      <c r="A46" t="s">
        <v>156</v>
      </c>
      <c r="B46" t="s">
        <v>129</v>
      </c>
      <c r="C46" t="s">
        <v>172</v>
      </c>
      <c r="D46" s="8">
        <v>21</v>
      </c>
      <c r="E46" s="8">
        <v>18</v>
      </c>
      <c r="F46" s="8">
        <v>15</v>
      </c>
      <c r="G46" s="8">
        <f t="shared" si="21"/>
        <v>18</v>
      </c>
      <c r="H46" s="8">
        <f t="shared" si="22"/>
        <v>7.2659999999999991</v>
      </c>
      <c r="I46" s="8">
        <f t="shared" si="23"/>
        <v>6.2279999999999998</v>
      </c>
      <c r="J46" s="8">
        <f t="shared" si="24"/>
        <v>5.1899999999999995</v>
      </c>
      <c r="K46" s="8">
        <v>4.2</v>
      </c>
      <c r="L46" s="8">
        <v>4.2</v>
      </c>
      <c r="M46" s="8">
        <v>4.2</v>
      </c>
      <c r="N46" s="8"/>
      <c r="O46" s="94">
        <f t="shared" si="20"/>
        <v>1.7299999999999998</v>
      </c>
      <c r="P46" s="94">
        <f t="shared" si="20"/>
        <v>1.4828571428571427</v>
      </c>
      <c r="Q46" s="94">
        <f t="shared" si="20"/>
        <v>1.2357142857142855</v>
      </c>
      <c r="R46" s="94">
        <f t="shared" si="25"/>
        <v>1.4828571428571429</v>
      </c>
    </row>
    <row r="47" spans="1:18">
      <c r="A47" t="s">
        <v>157</v>
      </c>
      <c r="B47" t="s">
        <v>129</v>
      </c>
      <c r="C47" t="s">
        <v>172</v>
      </c>
      <c r="D47" s="8">
        <v>23</v>
      </c>
      <c r="E47" s="8">
        <v>20</v>
      </c>
      <c r="F47" s="8">
        <v>16</v>
      </c>
      <c r="G47" s="8">
        <f t="shared" si="21"/>
        <v>19.666666666666668</v>
      </c>
      <c r="H47" s="8">
        <f t="shared" si="22"/>
        <v>7.9579999999999993</v>
      </c>
      <c r="I47" s="8">
        <f>E47*0.346</f>
        <v>6.92</v>
      </c>
      <c r="J47" s="8">
        <f t="shared" si="24"/>
        <v>5.5359999999999996</v>
      </c>
      <c r="K47" s="8">
        <v>4.2</v>
      </c>
      <c r="L47" s="8">
        <v>4.2</v>
      </c>
      <c r="M47" s="8">
        <v>4.2</v>
      </c>
      <c r="N47" s="8"/>
      <c r="O47" s="94">
        <f t="shared" si="20"/>
        <v>1.8947619047619044</v>
      </c>
      <c r="P47" s="94">
        <f t="shared" si="20"/>
        <v>1.6476190476190475</v>
      </c>
      <c r="Q47" s="94">
        <f t="shared" si="20"/>
        <v>1.318095238095238</v>
      </c>
      <c r="R47" s="94">
        <f t="shared" si="25"/>
        <v>1.6201587301587299</v>
      </c>
    </row>
    <row r="48" spans="1:18">
      <c r="D48" s="118" t="s">
        <v>159</v>
      </c>
      <c r="E48" s="118"/>
      <c r="F48" s="118"/>
      <c r="G48" s="118"/>
      <c r="H48" s="118" t="s">
        <v>163</v>
      </c>
      <c r="I48" s="118"/>
      <c r="J48" s="118"/>
      <c r="K48" s="118" t="s">
        <v>173</v>
      </c>
      <c r="L48" s="118"/>
      <c r="M48" s="118"/>
      <c r="N48" s="8"/>
      <c r="O48" s="120" t="s">
        <v>146</v>
      </c>
      <c r="P48" s="120"/>
      <c r="Q48" s="120"/>
      <c r="R48" s="120"/>
    </row>
    <row r="49" spans="1:18">
      <c r="A49" t="s">
        <v>150</v>
      </c>
      <c r="B49" t="s">
        <v>129</v>
      </c>
      <c r="C49" t="s">
        <v>174</v>
      </c>
      <c r="D49" s="8">
        <v>1680</v>
      </c>
      <c r="E49" s="8">
        <v>1512</v>
      </c>
      <c r="F49" s="8">
        <v>1344</v>
      </c>
      <c r="G49" s="8">
        <f>SUM(D49:F49)/3</f>
        <v>1512</v>
      </c>
      <c r="H49" s="8">
        <f>D49*0.346</f>
        <v>581.28</v>
      </c>
      <c r="I49" s="8">
        <f>E49*0.346</f>
        <v>523.15199999999993</v>
      </c>
      <c r="J49" s="8">
        <f>F49*0.346</f>
        <v>465.02399999999994</v>
      </c>
      <c r="K49" s="8">
        <v>2800</v>
      </c>
      <c r="L49" s="8">
        <v>2800</v>
      </c>
      <c r="M49" s="8">
        <v>2800</v>
      </c>
      <c r="N49" s="8"/>
      <c r="O49" s="94">
        <f t="shared" ref="O49:Q58" si="26">H49/K49</f>
        <v>0.20759999999999998</v>
      </c>
      <c r="P49" s="94">
        <f t="shared" si="26"/>
        <v>0.18683999999999998</v>
      </c>
      <c r="Q49" s="94">
        <f t="shared" si="26"/>
        <v>0.16607999999999998</v>
      </c>
      <c r="R49" s="94">
        <f>SUM(O49:Q49)/3</f>
        <v>0.18683999999999998</v>
      </c>
    </row>
    <row r="50" spans="1:18">
      <c r="A50" t="s">
        <v>151</v>
      </c>
      <c r="B50" t="s">
        <v>129</v>
      </c>
      <c r="C50" t="s">
        <v>174</v>
      </c>
      <c r="D50" s="8">
        <v>1680</v>
      </c>
      <c r="E50" s="8">
        <v>1512</v>
      </c>
      <c r="F50" s="8">
        <v>1344</v>
      </c>
      <c r="G50" s="8">
        <f t="shared" ref="G50:G56" si="27">SUM(D50:F50)/3</f>
        <v>1512</v>
      </c>
      <c r="H50" s="8">
        <f t="shared" ref="H50:H56" si="28">D50*0.346</f>
        <v>581.28</v>
      </c>
      <c r="I50" s="8">
        <f t="shared" ref="I50:I55" si="29">E50*0.346</f>
        <v>523.15199999999993</v>
      </c>
      <c r="J50" s="8">
        <f t="shared" ref="J50:J56" si="30">F50*0.346</f>
        <v>465.02399999999994</v>
      </c>
      <c r="K50" s="8">
        <v>3300</v>
      </c>
      <c r="L50" s="8">
        <v>3300</v>
      </c>
      <c r="M50" s="8">
        <v>3300</v>
      </c>
      <c r="N50" s="8"/>
      <c r="O50" s="94">
        <f t="shared" si="26"/>
        <v>0.17614545454545455</v>
      </c>
      <c r="P50" s="94">
        <f t="shared" si="26"/>
        <v>0.15853090909090908</v>
      </c>
      <c r="Q50" s="94">
        <f t="shared" si="26"/>
        <v>0.14091636363636362</v>
      </c>
      <c r="R50" s="94">
        <f t="shared" ref="R50:R56" si="31">SUM(O50:Q50)/3</f>
        <v>0.15853090909090908</v>
      </c>
    </row>
    <row r="51" spans="1:18">
      <c r="A51" t="s">
        <v>152</v>
      </c>
      <c r="B51" t="s">
        <v>129</v>
      </c>
      <c r="C51" t="s">
        <v>174</v>
      </c>
      <c r="D51" s="8">
        <v>1680</v>
      </c>
      <c r="E51" s="8">
        <v>1512</v>
      </c>
      <c r="F51" s="8">
        <v>1344</v>
      </c>
      <c r="G51" s="8">
        <f t="shared" si="27"/>
        <v>1512</v>
      </c>
      <c r="H51" s="8">
        <f t="shared" si="28"/>
        <v>581.28</v>
      </c>
      <c r="I51" s="8">
        <f t="shared" si="29"/>
        <v>523.15199999999993</v>
      </c>
      <c r="J51" s="8">
        <f t="shared" si="30"/>
        <v>465.02399999999994</v>
      </c>
      <c r="K51" s="8">
        <v>2800</v>
      </c>
      <c r="L51" s="8">
        <v>2800</v>
      </c>
      <c r="M51" s="8">
        <v>2800</v>
      </c>
      <c r="N51" s="8"/>
      <c r="O51" s="94">
        <f t="shared" si="26"/>
        <v>0.20759999999999998</v>
      </c>
      <c r="P51" s="94">
        <f t="shared" si="26"/>
        <v>0.18683999999999998</v>
      </c>
      <c r="Q51" s="94">
        <f t="shared" si="26"/>
        <v>0.16607999999999998</v>
      </c>
      <c r="R51" s="94">
        <f t="shared" si="31"/>
        <v>0.18683999999999998</v>
      </c>
    </row>
    <row r="52" spans="1:18">
      <c r="A52" t="s">
        <v>153</v>
      </c>
      <c r="B52" t="s">
        <v>129</v>
      </c>
      <c r="C52" t="s">
        <v>174</v>
      </c>
      <c r="D52" s="8">
        <v>1680</v>
      </c>
      <c r="E52" s="8">
        <v>1512</v>
      </c>
      <c r="F52" s="8">
        <v>1344</v>
      </c>
      <c r="G52" s="8">
        <f t="shared" si="27"/>
        <v>1512</v>
      </c>
      <c r="H52" s="8">
        <f t="shared" si="28"/>
        <v>581.28</v>
      </c>
      <c r="I52" s="8">
        <f t="shared" si="29"/>
        <v>523.15199999999993</v>
      </c>
      <c r="J52" s="8">
        <f t="shared" si="30"/>
        <v>465.02399999999994</v>
      </c>
      <c r="K52" s="8">
        <v>2800</v>
      </c>
      <c r="L52" s="8">
        <v>2800</v>
      </c>
      <c r="M52" s="8">
        <v>2800</v>
      </c>
      <c r="N52" s="8"/>
      <c r="O52" s="94">
        <f t="shared" si="26"/>
        <v>0.20759999999999998</v>
      </c>
      <c r="P52" s="94">
        <f t="shared" si="26"/>
        <v>0.18683999999999998</v>
      </c>
      <c r="Q52" s="94">
        <f t="shared" si="26"/>
        <v>0.16607999999999998</v>
      </c>
      <c r="R52" s="94">
        <f t="shared" si="31"/>
        <v>0.18683999999999998</v>
      </c>
    </row>
    <row r="53" spans="1:18">
      <c r="A53" t="s">
        <v>154</v>
      </c>
      <c r="B53" t="s">
        <v>129</v>
      </c>
      <c r="C53" t="s">
        <v>174</v>
      </c>
      <c r="D53" s="8">
        <v>1680</v>
      </c>
      <c r="E53" s="8">
        <v>1512</v>
      </c>
      <c r="F53" s="8">
        <v>1344</v>
      </c>
      <c r="G53" s="8">
        <f t="shared" si="27"/>
        <v>1512</v>
      </c>
      <c r="H53" s="8">
        <f t="shared" si="28"/>
        <v>581.28</v>
      </c>
      <c r="I53" s="8">
        <f t="shared" si="29"/>
        <v>523.15199999999993</v>
      </c>
      <c r="J53" s="8">
        <f t="shared" si="30"/>
        <v>465.02399999999994</v>
      </c>
      <c r="K53" s="8">
        <v>2800</v>
      </c>
      <c r="L53" s="8">
        <v>2800</v>
      </c>
      <c r="M53" s="8">
        <v>2800</v>
      </c>
      <c r="N53" s="8"/>
      <c r="O53" s="94">
        <f t="shared" si="26"/>
        <v>0.20759999999999998</v>
      </c>
      <c r="P53" s="94">
        <f t="shared" si="26"/>
        <v>0.18683999999999998</v>
      </c>
      <c r="Q53" s="94">
        <f t="shared" si="26"/>
        <v>0.16607999999999998</v>
      </c>
      <c r="R53" s="94">
        <f t="shared" si="31"/>
        <v>0.18683999999999998</v>
      </c>
    </row>
    <row r="54" spans="1:18">
      <c r="A54" t="s">
        <v>155</v>
      </c>
      <c r="B54" t="s">
        <v>129</v>
      </c>
      <c r="C54" t="s">
        <v>174</v>
      </c>
      <c r="D54" s="8">
        <v>1680</v>
      </c>
      <c r="E54" s="8">
        <v>1512</v>
      </c>
      <c r="F54" s="8">
        <v>1344</v>
      </c>
      <c r="G54" s="8">
        <f t="shared" si="27"/>
        <v>1512</v>
      </c>
      <c r="H54" s="8">
        <f t="shared" si="28"/>
        <v>581.28</v>
      </c>
      <c r="I54" s="8">
        <f t="shared" si="29"/>
        <v>523.15199999999993</v>
      </c>
      <c r="J54" s="8">
        <f t="shared" si="30"/>
        <v>465.02399999999994</v>
      </c>
      <c r="K54" s="8">
        <v>2800</v>
      </c>
      <c r="L54" s="8">
        <v>2800</v>
      </c>
      <c r="M54" s="8">
        <v>2800</v>
      </c>
      <c r="N54" s="8"/>
      <c r="O54" s="94">
        <f t="shared" si="26"/>
        <v>0.20759999999999998</v>
      </c>
      <c r="P54" s="94">
        <f t="shared" si="26"/>
        <v>0.18683999999999998</v>
      </c>
      <c r="Q54" s="94">
        <f t="shared" si="26"/>
        <v>0.16607999999999998</v>
      </c>
      <c r="R54" s="94">
        <f t="shared" si="31"/>
        <v>0.18683999999999998</v>
      </c>
    </row>
    <row r="55" spans="1:18">
      <c r="A55" t="s">
        <v>156</v>
      </c>
      <c r="B55" t="s">
        <v>129</v>
      </c>
      <c r="C55" t="s">
        <v>174</v>
      </c>
      <c r="D55" s="8">
        <v>1680</v>
      </c>
      <c r="E55" s="8">
        <v>1512</v>
      </c>
      <c r="F55" s="8">
        <v>1344</v>
      </c>
      <c r="G55" s="8">
        <f t="shared" si="27"/>
        <v>1512</v>
      </c>
      <c r="H55" s="8">
        <f t="shared" si="28"/>
        <v>581.28</v>
      </c>
      <c r="I55" s="8">
        <f t="shared" si="29"/>
        <v>523.15199999999993</v>
      </c>
      <c r="J55" s="8">
        <f t="shared" si="30"/>
        <v>465.02399999999994</v>
      </c>
      <c r="K55" s="8">
        <v>2800</v>
      </c>
      <c r="L55" s="8">
        <v>2800</v>
      </c>
      <c r="M55" s="8">
        <v>2800</v>
      </c>
      <c r="N55" s="8"/>
      <c r="O55" s="94">
        <f t="shared" si="26"/>
        <v>0.20759999999999998</v>
      </c>
      <c r="P55" s="94">
        <f t="shared" si="26"/>
        <v>0.18683999999999998</v>
      </c>
      <c r="Q55" s="94">
        <f t="shared" si="26"/>
        <v>0.16607999999999998</v>
      </c>
      <c r="R55" s="94">
        <f t="shared" si="31"/>
        <v>0.18683999999999998</v>
      </c>
    </row>
    <row r="56" spans="1:18">
      <c r="A56" t="s">
        <v>157</v>
      </c>
      <c r="B56" t="s">
        <v>129</v>
      </c>
      <c r="C56" t="s">
        <v>174</v>
      </c>
      <c r="D56" s="8">
        <v>1680</v>
      </c>
      <c r="E56" s="8">
        <v>1512</v>
      </c>
      <c r="F56" s="8">
        <v>1344</v>
      </c>
      <c r="G56" s="8">
        <f t="shared" si="27"/>
        <v>1512</v>
      </c>
      <c r="H56" s="8">
        <f t="shared" si="28"/>
        <v>581.28</v>
      </c>
      <c r="I56" s="8">
        <f>E56*0.346</f>
        <v>523.15199999999993</v>
      </c>
      <c r="J56" s="8">
        <f t="shared" si="30"/>
        <v>465.02399999999994</v>
      </c>
      <c r="K56" s="8">
        <v>3500</v>
      </c>
      <c r="L56" s="8">
        <v>3500</v>
      </c>
      <c r="M56" s="8">
        <v>3500</v>
      </c>
      <c r="N56" s="8"/>
      <c r="O56" s="94">
        <f t="shared" si="26"/>
        <v>0.16608000000000001</v>
      </c>
      <c r="P56" s="94">
        <f t="shared" si="26"/>
        <v>0.14947199999999999</v>
      </c>
      <c r="Q56" s="94">
        <f t="shared" si="26"/>
        <v>0.13286399999999998</v>
      </c>
      <c r="R56" s="94">
        <f t="shared" si="31"/>
        <v>0.14947199999999999</v>
      </c>
    </row>
    <row r="57" spans="1:18">
      <c r="D57" s="118" t="s">
        <v>159</v>
      </c>
      <c r="E57" s="118"/>
      <c r="F57" s="118"/>
      <c r="G57" s="118"/>
      <c r="H57" s="118" t="s">
        <v>163</v>
      </c>
      <c r="I57" s="118"/>
      <c r="J57" s="118"/>
      <c r="K57" s="118" t="s">
        <v>164</v>
      </c>
      <c r="L57" s="118"/>
      <c r="M57" s="118"/>
      <c r="N57" s="8"/>
      <c r="O57" s="120" t="s">
        <v>145</v>
      </c>
      <c r="P57" s="120"/>
      <c r="Q57" s="120"/>
      <c r="R57" s="120"/>
    </row>
    <row r="58" spans="1:18">
      <c r="A58" t="s">
        <v>150</v>
      </c>
      <c r="B58" t="s">
        <v>120</v>
      </c>
      <c r="C58" t="s">
        <v>366</v>
      </c>
      <c r="D58" s="97">
        <v>5.9</v>
      </c>
      <c r="E58" s="97">
        <v>4.3</v>
      </c>
      <c r="F58" s="97">
        <v>3.3</v>
      </c>
      <c r="G58" s="8">
        <f>SUM(D58:F58)/3</f>
        <v>4.5</v>
      </c>
      <c r="H58" s="8">
        <f>D58*0.342</f>
        <v>2.0178000000000003</v>
      </c>
      <c r="I58" s="8">
        <f>E58*0.342</f>
        <v>1.4706000000000001</v>
      </c>
      <c r="J58" s="8">
        <f>F58*0.342</f>
        <v>1.1286</v>
      </c>
      <c r="K58" s="8">
        <v>1.74</v>
      </c>
      <c r="L58" s="8">
        <v>1.74</v>
      </c>
      <c r="M58" s="8">
        <v>1.74</v>
      </c>
      <c r="N58" s="8"/>
      <c r="O58" s="94">
        <f t="shared" si="26"/>
        <v>1.1596551724137933</v>
      </c>
      <c r="P58" s="94">
        <f t="shared" ref="P58" si="32">I58/L58</f>
        <v>0.84517241379310348</v>
      </c>
      <c r="Q58" s="94">
        <f t="shared" ref="Q58" si="33">J58/M58</f>
        <v>0.6486206896551725</v>
      </c>
      <c r="R58" s="94">
        <f>SUM(O58:Q58)/3</f>
        <v>0.8844827586206897</v>
      </c>
    </row>
    <row r="59" spans="1:18">
      <c r="A59" t="s">
        <v>151</v>
      </c>
      <c r="B59" t="s">
        <v>120</v>
      </c>
      <c r="C59" t="s">
        <v>366</v>
      </c>
      <c r="D59" s="97">
        <v>7.7</v>
      </c>
      <c r="E59" s="97">
        <v>4.7</v>
      </c>
      <c r="F59" s="97">
        <v>3.3</v>
      </c>
      <c r="G59" s="8">
        <f t="shared" ref="G59:G65" si="34">SUM(D59:F59)/3</f>
        <v>5.2333333333333334</v>
      </c>
      <c r="H59" s="8">
        <f t="shared" ref="H59:H65" si="35">D59*0.342</f>
        <v>2.6334000000000004</v>
      </c>
      <c r="I59" s="8">
        <f t="shared" ref="I59:I65" si="36">E59*0.342</f>
        <v>1.6074000000000002</v>
      </c>
      <c r="J59" s="8">
        <f t="shared" ref="J59:J65" si="37">F59*0.342</f>
        <v>1.1286</v>
      </c>
      <c r="K59" s="8">
        <v>1.89</v>
      </c>
      <c r="L59" s="8">
        <v>1.89</v>
      </c>
      <c r="M59" s="8">
        <v>1.89</v>
      </c>
      <c r="N59" s="8"/>
      <c r="O59" s="94">
        <f t="shared" ref="O59:O65" si="38">H59/K59</f>
        <v>1.3933333333333335</v>
      </c>
      <c r="P59" s="94">
        <f t="shared" ref="P59:P65" si="39">I59/L59</f>
        <v>0.85047619047619061</v>
      </c>
      <c r="Q59" s="94">
        <f t="shared" ref="Q59:Q65" si="40">J59/M59</f>
        <v>0.5971428571428572</v>
      </c>
      <c r="R59" s="94">
        <f t="shared" ref="R59:R65" si="41">SUM(O59:Q59)/3</f>
        <v>0.94698412698412715</v>
      </c>
    </row>
    <row r="60" spans="1:18">
      <c r="A60" t="s">
        <v>152</v>
      </c>
      <c r="B60" t="s">
        <v>120</v>
      </c>
      <c r="C60" t="s">
        <v>366</v>
      </c>
      <c r="D60" s="97">
        <v>5.9</v>
      </c>
      <c r="E60" s="97">
        <v>5.0999999999999996</v>
      </c>
      <c r="F60" s="97">
        <v>4.2</v>
      </c>
      <c r="G60" s="8">
        <f t="shared" si="34"/>
        <v>5.0666666666666664</v>
      </c>
      <c r="H60" s="8">
        <f t="shared" si="35"/>
        <v>2.0178000000000003</v>
      </c>
      <c r="I60" s="8">
        <f t="shared" si="36"/>
        <v>1.7442</v>
      </c>
      <c r="J60" s="8">
        <f t="shared" si="37"/>
        <v>1.4364000000000001</v>
      </c>
      <c r="K60" s="8">
        <v>1.89</v>
      </c>
      <c r="L60" s="8">
        <v>1.89</v>
      </c>
      <c r="M60" s="8">
        <v>1.89</v>
      </c>
      <c r="N60" s="8"/>
      <c r="O60" s="94">
        <f t="shared" si="38"/>
        <v>1.0676190476190479</v>
      </c>
      <c r="P60" s="94">
        <f t="shared" si="39"/>
        <v>0.92285714285714293</v>
      </c>
      <c r="Q60" s="94">
        <f t="shared" si="40"/>
        <v>0.76000000000000012</v>
      </c>
      <c r="R60" s="94">
        <f t="shared" si="41"/>
        <v>0.9168253968253971</v>
      </c>
    </row>
    <row r="61" spans="1:18">
      <c r="A61" t="s">
        <v>153</v>
      </c>
      <c r="B61" t="s">
        <v>120</v>
      </c>
      <c r="C61" t="s">
        <v>366</v>
      </c>
      <c r="D61" s="97">
        <v>7.8</v>
      </c>
      <c r="E61" s="97">
        <v>6.6</v>
      </c>
      <c r="F61" s="97">
        <v>5.5</v>
      </c>
      <c r="G61" s="8">
        <f t="shared" si="34"/>
        <v>6.6333333333333329</v>
      </c>
      <c r="H61" s="8">
        <f t="shared" si="35"/>
        <v>2.6676000000000002</v>
      </c>
      <c r="I61" s="8">
        <f t="shared" si="36"/>
        <v>2.2572000000000001</v>
      </c>
      <c r="J61" s="8">
        <f t="shared" si="37"/>
        <v>1.8810000000000002</v>
      </c>
      <c r="K61" s="8">
        <v>1.81</v>
      </c>
      <c r="L61" s="8">
        <v>1.81</v>
      </c>
      <c r="M61" s="8">
        <v>1.81</v>
      </c>
      <c r="N61" s="8"/>
      <c r="O61" s="94">
        <f t="shared" si="38"/>
        <v>1.4738121546961327</v>
      </c>
      <c r="P61" s="94">
        <f t="shared" si="39"/>
        <v>1.24707182320442</v>
      </c>
      <c r="Q61" s="94">
        <f t="shared" si="40"/>
        <v>1.0392265193370167</v>
      </c>
      <c r="R61" s="94">
        <f t="shared" si="41"/>
        <v>1.2533701657458565</v>
      </c>
    </row>
    <row r="62" spans="1:18">
      <c r="A62" t="s">
        <v>154</v>
      </c>
      <c r="B62" t="s">
        <v>120</v>
      </c>
      <c r="C62" t="s">
        <v>366</v>
      </c>
      <c r="D62" s="97">
        <v>7.1</v>
      </c>
      <c r="E62" s="97">
        <v>6.1</v>
      </c>
      <c r="F62" s="97">
        <v>5</v>
      </c>
      <c r="G62" s="8">
        <f t="shared" si="34"/>
        <v>6.0666666666666664</v>
      </c>
      <c r="H62" s="8">
        <f t="shared" si="35"/>
        <v>2.4281999999999999</v>
      </c>
      <c r="I62" s="8">
        <f t="shared" si="36"/>
        <v>2.0861999999999998</v>
      </c>
      <c r="J62" s="8">
        <f t="shared" si="37"/>
        <v>1.7100000000000002</v>
      </c>
      <c r="K62" s="8">
        <v>1.81</v>
      </c>
      <c r="L62" s="8">
        <v>1.81</v>
      </c>
      <c r="M62" s="8">
        <v>1.81</v>
      </c>
      <c r="N62" s="8"/>
      <c r="O62" s="94">
        <f t="shared" si="38"/>
        <v>1.3415469613259667</v>
      </c>
      <c r="P62" s="94">
        <f t="shared" si="39"/>
        <v>1.1525966850828728</v>
      </c>
      <c r="Q62" s="94">
        <f t="shared" si="40"/>
        <v>0.94475138121546964</v>
      </c>
      <c r="R62" s="94">
        <f t="shared" si="41"/>
        <v>1.1462983425414364</v>
      </c>
    </row>
    <row r="63" spans="1:18">
      <c r="A63" t="s">
        <v>155</v>
      </c>
      <c r="B63" t="s">
        <v>120</v>
      </c>
      <c r="C63" t="s">
        <v>366</v>
      </c>
      <c r="D63" s="97">
        <v>7.3</v>
      </c>
      <c r="E63" s="97">
        <v>6.2</v>
      </c>
      <c r="F63" s="97">
        <v>5.0999999999999996</v>
      </c>
      <c r="G63" s="8">
        <f t="shared" si="34"/>
        <v>6.2</v>
      </c>
      <c r="H63" s="8">
        <f t="shared" si="35"/>
        <v>2.4965999999999999</v>
      </c>
      <c r="I63" s="8">
        <f t="shared" si="36"/>
        <v>2.1204000000000001</v>
      </c>
      <c r="J63" s="8">
        <f t="shared" si="37"/>
        <v>1.7442</v>
      </c>
      <c r="K63" s="8">
        <v>1.81</v>
      </c>
      <c r="L63" s="8">
        <v>1.81</v>
      </c>
      <c r="M63" s="8">
        <v>1.81</v>
      </c>
      <c r="N63" s="8"/>
      <c r="O63" s="94">
        <f t="shared" si="38"/>
        <v>1.3793370165745855</v>
      </c>
      <c r="P63" s="94">
        <f t="shared" si="39"/>
        <v>1.1714917127071822</v>
      </c>
      <c r="Q63" s="94">
        <f t="shared" si="40"/>
        <v>0.96364640883977892</v>
      </c>
      <c r="R63" s="94">
        <f t="shared" si="41"/>
        <v>1.171491712707182</v>
      </c>
    </row>
    <row r="64" spans="1:18">
      <c r="A64" t="s">
        <v>156</v>
      </c>
      <c r="B64" t="s">
        <v>120</v>
      </c>
      <c r="C64" t="s">
        <v>366</v>
      </c>
      <c r="D64" s="97">
        <v>5.5</v>
      </c>
      <c r="E64" s="97">
        <v>3.3</v>
      </c>
      <c r="F64" s="97">
        <v>3.3</v>
      </c>
      <c r="G64" s="8">
        <f t="shared" si="34"/>
        <v>4.0333333333333341</v>
      </c>
      <c r="H64" s="8">
        <f t="shared" si="35"/>
        <v>1.8810000000000002</v>
      </c>
      <c r="I64" s="8">
        <f t="shared" si="36"/>
        <v>1.1286</v>
      </c>
      <c r="J64" s="8">
        <f t="shared" si="37"/>
        <v>1.1286</v>
      </c>
      <c r="K64" s="8">
        <v>1.54</v>
      </c>
      <c r="L64" s="8">
        <v>1.54</v>
      </c>
      <c r="M64" s="8">
        <v>1.54</v>
      </c>
      <c r="N64" s="8"/>
      <c r="O64" s="94">
        <f t="shared" si="38"/>
        <v>1.2214285714285715</v>
      </c>
      <c r="P64" s="94">
        <f t="shared" si="39"/>
        <v>0.73285714285714287</v>
      </c>
      <c r="Q64" s="94">
        <f t="shared" si="40"/>
        <v>0.73285714285714287</v>
      </c>
      <c r="R64" s="94">
        <f t="shared" si="41"/>
        <v>0.8957142857142858</v>
      </c>
    </row>
    <row r="65" spans="1:18">
      <c r="A65" t="s">
        <v>157</v>
      </c>
      <c r="B65" t="s">
        <v>120</v>
      </c>
      <c r="C65" t="s">
        <v>366</v>
      </c>
      <c r="D65" s="97">
        <v>8.3000000000000007</v>
      </c>
      <c r="E65" s="97">
        <v>4.4000000000000004</v>
      </c>
      <c r="F65" s="97">
        <v>3.3</v>
      </c>
      <c r="G65" s="8">
        <f t="shared" si="34"/>
        <v>5.333333333333333</v>
      </c>
      <c r="H65" s="8">
        <f t="shared" si="35"/>
        <v>2.8386000000000005</v>
      </c>
      <c r="I65" s="8">
        <f t="shared" si="36"/>
        <v>1.5048000000000001</v>
      </c>
      <c r="J65" s="8">
        <f t="shared" si="37"/>
        <v>1.1286</v>
      </c>
      <c r="K65" s="8">
        <v>1.55</v>
      </c>
      <c r="L65" s="8">
        <v>1.55</v>
      </c>
      <c r="M65" s="8">
        <v>1.55</v>
      </c>
      <c r="N65" s="8"/>
      <c r="O65" s="94">
        <f t="shared" si="38"/>
        <v>1.8313548387096776</v>
      </c>
      <c r="P65" s="94">
        <f t="shared" si="39"/>
        <v>0.97083870967741936</v>
      </c>
      <c r="Q65" s="94">
        <f t="shared" si="40"/>
        <v>0.72812903225806458</v>
      </c>
      <c r="R65" s="94">
        <f t="shared" si="41"/>
        <v>1.1767741935483873</v>
      </c>
    </row>
    <row r="66" spans="1:18">
      <c r="D66" s="118" t="s">
        <v>159</v>
      </c>
      <c r="E66" s="118"/>
      <c r="F66" s="118"/>
      <c r="G66" s="118"/>
      <c r="H66" s="118" t="s">
        <v>163</v>
      </c>
      <c r="I66" s="118"/>
      <c r="J66" s="118"/>
      <c r="K66" s="118" t="s">
        <v>164</v>
      </c>
      <c r="L66" s="118"/>
      <c r="M66" s="118"/>
      <c r="N66" s="8"/>
      <c r="O66" s="120" t="s">
        <v>145</v>
      </c>
      <c r="P66" s="120"/>
      <c r="Q66" s="120"/>
      <c r="R66" s="120"/>
    </row>
    <row r="67" spans="1:18">
      <c r="A67" t="s">
        <v>150</v>
      </c>
      <c r="B67" t="s">
        <v>129</v>
      </c>
      <c r="C67" t="s">
        <v>367</v>
      </c>
      <c r="D67" s="97">
        <v>5.3</v>
      </c>
      <c r="E67" s="97">
        <v>3.8</v>
      </c>
      <c r="F67" s="97">
        <v>2.97</v>
      </c>
      <c r="G67" s="8">
        <f>SUM(D67:F67)/3</f>
        <v>4.0233333333333334</v>
      </c>
      <c r="H67" s="8">
        <f>D67*0.346</f>
        <v>1.8337999999999999</v>
      </c>
      <c r="I67" s="8">
        <f t="shared" ref="I67:J74" si="42">E67*0.346</f>
        <v>1.3147999999999997</v>
      </c>
      <c r="J67" s="8">
        <f t="shared" si="42"/>
        <v>1.02762</v>
      </c>
      <c r="K67" s="8">
        <v>1.74</v>
      </c>
      <c r="L67" s="8">
        <v>1.74</v>
      </c>
      <c r="M67" s="8">
        <v>1.74</v>
      </c>
      <c r="N67" s="8"/>
      <c r="O67" s="94">
        <f t="shared" ref="O67:O103" si="43">H67/K67</f>
        <v>1.0539080459770114</v>
      </c>
      <c r="P67" s="94">
        <f t="shared" ref="P67" si="44">I67/L67</f>
        <v>0.75563218390804587</v>
      </c>
      <c r="Q67" s="94">
        <f t="shared" ref="Q67" si="45">J67/M67</f>
        <v>0.59058620689655172</v>
      </c>
      <c r="R67" s="94">
        <f>SUM(O67:Q67)/3</f>
        <v>0.80004214559386977</v>
      </c>
    </row>
    <row r="68" spans="1:18">
      <c r="A68" t="s">
        <v>151</v>
      </c>
      <c r="B68" t="s">
        <v>129</v>
      </c>
      <c r="C68" t="s">
        <v>367</v>
      </c>
      <c r="D68" s="97">
        <v>7</v>
      </c>
      <c r="E68" s="97">
        <v>4.2</v>
      </c>
      <c r="F68" s="97">
        <v>2.97</v>
      </c>
      <c r="G68" s="8">
        <f t="shared" ref="G68:G74" si="46">SUM(D68:F68)/3</f>
        <v>4.7233333333333336</v>
      </c>
      <c r="H68" s="8">
        <f t="shared" ref="H68:H74" si="47">D68*0.346</f>
        <v>2.4219999999999997</v>
      </c>
      <c r="I68" s="8">
        <f t="shared" si="42"/>
        <v>1.4532</v>
      </c>
      <c r="J68" s="8">
        <f t="shared" si="42"/>
        <v>1.02762</v>
      </c>
      <c r="K68" s="8">
        <v>1.89</v>
      </c>
      <c r="L68" s="8">
        <v>1.89</v>
      </c>
      <c r="M68" s="8">
        <v>1.89</v>
      </c>
      <c r="N68" s="8"/>
      <c r="O68" s="94">
        <f t="shared" ref="O68:O74" si="48">H68/K68</f>
        <v>1.2814814814814814</v>
      </c>
      <c r="P68" s="94">
        <f t="shared" ref="P68:P74" si="49">I68/L68</f>
        <v>0.76888888888888896</v>
      </c>
      <c r="Q68" s="94">
        <f t="shared" ref="Q68:Q74" si="50">J68/M68</f>
        <v>0.54371428571428571</v>
      </c>
      <c r="R68" s="94">
        <f t="shared" ref="R68:R74" si="51">SUM(O68:Q68)/3</f>
        <v>0.86469488536155203</v>
      </c>
    </row>
    <row r="69" spans="1:18">
      <c r="A69" t="s">
        <v>152</v>
      </c>
      <c r="B69" t="s">
        <v>129</v>
      </c>
      <c r="C69" t="s">
        <v>367</v>
      </c>
      <c r="D69" s="97">
        <v>5.4</v>
      </c>
      <c r="E69" s="97">
        <v>4.5999999999999996</v>
      </c>
      <c r="F69" s="97">
        <v>3.7</v>
      </c>
      <c r="G69" s="8">
        <f t="shared" si="46"/>
        <v>4.5666666666666664</v>
      </c>
      <c r="H69" s="8">
        <f t="shared" si="47"/>
        <v>1.8684000000000001</v>
      </c>
      <c r="I69" s="8">
        <f t="shared" si="42"/>
        <v>1.5915999999999997</v>
      </c>
      <c r="J69" s="8">
        <f t="shared" si="42"/>
        <v>1.2802</v>
      </c>
      <c r="K69" s="8">
        <v>1.89</v>
      </c>
      <c r="L69" s="8">
        <v>1.89</v>
      </c>
      <c r="M69" s="8">
        <v>1.89</v>
      </c>
      <c r="N69" s="8"/>
      <c r="O69" s="94">
        <f t="shared" si="48"/>
        <v>0.98857142857142866</v>
      </c>
      <c r="P69" s="94">
        <f t="shared" si="49"/>
        <v>0.84211640211640204</v>
      </c>
      <c r="Q69" s="94">
        <f t="shared" si="50"/>
        <v>0.67735449735449738</v>
      </c>
      <c r="R69" s="94">
        <f t="shared" si="51"/>
        <v>0.83601410934744269</v>
      </c>
    </row>
    <row r="70" spans="1:18">
      <c r="A70" t="s">
        <v>153</v>
      </c>
      <c r="B70" t="s">
        <v>129</v>
      </c>
      <c r="C70" t="s">
        <v>367</v>
      </c>
      <c r="D70" s="97">
        <v>7</v>
      </c>
      <c r="E70" s="97">
        <v>6</v>
      </c>
      <c r="F70" s="97">
        <v>4.9000000000000004</v>
      </c>
      <c r="G70" s="8">
        <f t="shared" si="46"/>
        <v>5.9666666666666659</v>
      </c>
      <c r="H70" s="8">
        <f t="shared" si="47"/>
        <v>2.4219999999999997</v>
      </c>
      <c r="I70" s="8">
        <f t="shared" si="42"/>
        <v>2.0759999999999996</v>
      </c>
      <c r="J70" s="8">
        <f t="shared" si="42"/>
        <v>1.6954</v>
      </c>
      <c r="K70" s="8">
        <v>1.81</v>
      </c>
      <c r="L70" s="8">
        <v>1.81</v>
      </c>
      <c r="M70" s="8">
        <v>1.81</v>
      </c>
      <c r="N70" s="8"/>
      <c r="O70" s="94">
        <f t="shared" si="48"/>
        <v>1.3381215469613257</v>
      </c>
      <c r="P70" s="94">
        <f t="shared" si="49"/>
        <v>1.1469613259668505</v>
      </c>
      <c r="Q70" s="94">
        <f t="shared" si="50"/>
        <v>0.93668508287292818</v>
      </c>
      <c r="R70" s="94">
        <f t="shared" si="51"/>
        <v>1.1405893186003682</v>
      </c>
    </row>
    <row r="71" spans="1:18">
      <c r="A71" t="s">
        <v>154</v>
      </c>
      <c r="B71" t="s">
        <v>129</v>
      </c>
      <c r="C71" t="s">
        <v>367</v>
      </c>
      <c r="D71" s="97">
        <v>6.4</v>
      </c>
      <c r="E71" s="97">
        <v>5.5</v>
      </c>
      <c r="F71" s="97">
        <v>4.5</v>
      </c>
      <c r="G71" s="8">
        <f t="shared" si="46"/>
        <v>5.4666666666666659</v>
      </c>
      <c r="H71" s="8">
        <f t="shared" si="47"/>
        <v>2.2143999999999999</v>
      </c>
      <c r="I71" s="8">
        <f t="shared" si="42"/>
        <v>1.9029999999999998</v>
      </c>
      <c r="J71" s="8">
        <f t="shared" si="42"/>
        <v>1.5569999999999999</v>
      </c>
      <c r="K71" s="8">
        <v>1.81</v>
      </c>
      <c r="L71" s="8">
        <v>1.81</v>
      </c>
      <c r="M71" s="8">
        <v>1.81</v>
      </c>
      <c r="N71" s="8"/>
      <c r="O71" s="94">
        <f t="shared" si="48"/>
        <v>1.2234254143646408</v>
      </c>
      <c r="P71" s="94">
        <f t="shared" si="49"/>
        <v>1.0513812154696132</v>
      </c>
      <c r="Q71" s="94">
        <f t="shared" si="50"/>
        <v>0.86022099447513811</v>
      </c>
      <c r="R71" s="94">
        <f t="shared" si="51"/>
        <v>1.0450092081031308</v>
      </c>
    </row>
    <row r="72" spans="1:18">
      <c r="A72" t="s">
        <v>155</v>
      </c>
      <c r="B72" t="s">
        <v>129</v>
      </c>
      <c r="C72" t="s">
        <v>367</v>
      </c>
      <c r="D72" s="97">
        <v>6.6</v>
      </c>
      <c r="E72" s="97">
        <v>5.6</v>
      </c>
      <c r="F72" s="97">
        <v>4.5999999999999996</v>
      </c>
      <c r="G72" s="8">
        <f t="shared" si="46"/>
        <v>5.5999999999999988</v>
      </c>
      <c r="H72" s="8">
        <f t="shared" si="47"/>
        <v>2.2835999999999999</v>
      </c>
      <c r="I72" s="8">
        <f t="shared" si="42"/>
        <v>1.9375999999999998</v>
      </c>
      <c r="J72" s="8">
        <f t="shared" si="42"/>
        <v>1.5915999999999997</v>
      </c>
      <c r="K72" s="8">
        <v>1.81</v>
      </c>
      <c r="L72" s="8">
        <v>1.81</v>
      </c>
      <c r="M72" s="8">
        <v>1.81</v>
      </c>
      <c r="N72" s="8"/>
      <c r="O72" s="94">
        <f t="shared" si="48"/>
        <v>1.2616574585635358</v>
      </c>
      <c r="P72" s="94">
        <f t="shared" si="49"/>
        <v>1.0704972375690607</v>
      </c>
      <c r="Q72" s="94">
        <f t="shared" si="50"/>
        <v>0.87933701657458541</v>
      </c>
      <c r="R72" s="94">
        <f t="shared" si="51"/>
        <v>1.0704972375690607</v>
      </c>
    </row>
    <row r="73" spans="1:18">
      <c r="A73" t="s">
        <v>156</v>
      </c>
      <c r="B73" t="s">
        <v>129</v>
      </c>
      <c r="C73" t="s">
        <v>367</v>
      </c>
      <c r="D73" s="97">
        <v>5</v>
      </c>
      <c r="E73" s="97">
        <v>2.97</v>
      </c>
      <c r="F73" s="97">
        <v>2.97</v>
      </c>
      <c r="G73" s="8">
        <f t="shared" si="46"/>
        <v>3.6466666666666669</v>
      </c>
      <c r="H73" s="8">
        <f t="shared" si="47"/>
        <v>1.73</v>
      </c>
      <c r="I73" s="8">
        <f t="shared" si="42"/>
        <v>1.02762</v>
      </c>
      <c r="J73" s="8">
        <f t="shared" si="42"/>
        <v>1.02762</v>
      </c>
      <c r="K73" s="8">
        <v>1.54</v>
      </c>
      <c r="L73" s="8">
        <v>1.54</v>
      </c>
      <c r="M73" s="8">
        <v>1.54</v>
      </c>
      <c r="N73" s="8"/>
      <c r="O73" s="94">
        <f t="shared" si="48"/>
        <v>1.1233766233766234</v>
      </c>
      <c r="P73" s="94">
        <f t="shared" si="49"/>
        <v>0.66728571428571426</v>
      </c>
      <c r="Q73" s="94">
        <f t="shared" si="50"/>
        <v>0.66728571428571426</v>
      </c>
      <c r="R73" s="94">
        <f t="shared" si="51"/>
        <v>0.81931601731601733</v>
      </c>
    </row>
    <row r="74" spans="1:18">
      <c r="A74" t="s">
        <v>157</v>
      </c>
      <c r="B74" t="s">
        <v>129</v>
      </c>
      <c r="C74" t="s">
        <v>367</v>
      </c>
      <c r="D74" s="97">
        <v>7.5</v>
      </c>
      <c r="E74" s="97">
        <v>3.9</v>
      </c>
      <c r="F74" s="97">
        <v>2.97</v>
      </c>
      <c r="G74" s="8">
        <f t="shared" si="46"/>
        <v>4.79</v>
      </c>
      <c r="H74" s="8">
        <f t="shared" si="47"/>
        <v>2.5949999999999998</v>
      </c>
      <c r="I74" s="8">
        <f t="shared" si="42"/>
        <v>1.3493999999999999</v>
      </c>
      <c r="J74" s="8">
        <f t="shared" si="42"/>
        <v>1.02762</v>
      </c>
      <c r="K74" s="8">
        <v>1.55</v>
      </c>
      <c r="L74" s="8">
        <v>1.55</v>
      </c>
      <c r="M74" s="8">
        <v>1.55</v>
      </c>
      <c r="N74" s="8"/>
      <c r="O74" s="94">
        <f t="shared" si="48"/>
        <v>1.6741935483870967</v>
      </c>
      <c r="P74" s="94">
        <f t="shared" si="49"/>
        <v>0.8705806451612903</v>
      </c>
      <c r="Q74" s="94">
        <f t="shared" si="50"/>
        <v>0.66298064516129029</v>
      </c>
      <c r="R74" s="94">
        <f t="shared" si="51"/>
        <v>1.0692516129032257</v>
      </c>
    </row>
    <row r="75" spans="1:18">
      <c r="D75" s="118" t="s">
        <v>409</v>
      </c>
      <c r="E75" s="118"/>
      <c r="F75" s="118"/>
      <c r="G75" s="118"/>
      <c r="H75" s="118" t="s">
        <v>163</v>
      </c>
      <c r="I75" s="118"/>
      <c r="J75" s="118"/>
      <c r="K75" s="118" t="s">
        <v>164</v>
      </c>
      <c r="L75" s="118"/>
      <c r="M75" s="118"/>
      <c r="N75" s="8"/>
      <c r="O75" s="120" t="s">
        <v>145</v>
      </c>
      <c r="P75" s="120"/>
      <c r="Q75" s="120"/>
      <c r="R75" s="120"/>
    </row>
    <row r="76" spans="1:18">
      <c r="A76" t="s">
        <v>150</v>
      </c>
      <c r="B76" t="s">
        <v>165</v>
      </c>
      <c r="C76" t="s">
        <v>368</v>
      </c>
      <c r="D76" s="97">
        <v>17</v>
      </c>
      <c r="E76" s="97">
        <v>14.3</v>
      </c>
      <c r="F76" s="97">
        <v>14.3</v>
      </c>
      <c r="G76" s="8">
        <f>SUM(D76:F76)/3</f>
        <v>15.200000000000001</v>
      </c>
      <c r="H76" s="8">
        <f>D76*0.036</f>
        <v>0.61199999999999999</v>
      </c>
      <c r="I76" s="8">
        <f>E76*0.036</f>
        <v>0.51480000000000004</v>
      </c>
      <c r="J76" s="8">
        <f>F76*0.036</f>
        <v>0.51480000000000004</v>
      </c>
      <c r="K76" s="8">
        <v>1.74</v>
      </c>
      <c r="L76" s="8">
        <v>1.74</v>
      </c>
      <c r="M76" s="8">
        <v>1.74</v>
      </c>
      <c r="N76" s="8"/>
      <c r="O76" s="94">
        <f t="shared" si="43"/>
        <v>0.35172413793103446</v>
      </c>
      <c r="P76" s="94">
        <f t="shared" ref="P76:P83" si="52">I76/L76</f>
        <v>0.29586206896551726</v>
      </c>
      <c r="Q76" s="94">
        <f t="shared" ref="Q76:Q83" si="53">J76/M76</f>
        <v>0.29586206896551726</v>
      </c>
      <c r="R76" s="94">
        <f>SUM(O76:Q76)/3</f>
        <v>0.31448275862068964</v>
      </c>
    </row>
    <row r="77" spans="1:18">
      <c r="A77" t="s">
        <v>151</v>
      </c>
      <c r="B77" t="s">
        <v>165</v>
      </c>
      <c r="C77" t="s">
        <v>368</v>
      </c>
      <c r="D77" s="97">
        <v>17</v>
      </c>
      <c r="E77" s="97">
        <v>14.3</v>
      </c>
      <c r="F77" s="97">
        <v>14.3</v>
      </c>
      <c r="G77" s="8">
        <f t="shared" ref="G77:G83" si="54">SUM(D77:F77)/3</f>
        <v>15.200000000000001</v>
      </c>
      <c r="H77" s="8">
        <f t="shared" ref="H77:H83" si="55">D77*0.036</f>
        <v>0.61199999999999999</v>
      </c>
      <c r="I77" s="8">
        <f t="shared" ref="I77:I83" si="56">E77*0.036</f>
        <v>0.51480000000000004</v>
      </c>
      <c r="J77" s="8">
        <f t="shared" ref="J77:J83" si="57">F77*0.036</f>
        <v>0.51480000000000004</v>
      </c>
      <c r="K77" s="8">
        <v>1.89</v>
      </c>
      <c r="L77" s="8">
        <v>1.89</v>
      </c>
      <c r="M77" s="8">
        <v>1.89</v>
      </c>
      <c r="N77" s="8"/>
      <c r="O77" s="94">
        <f t="shared" si="43"/>
        <v>0.32380952380952382</v>
      </c>
      <c r="P77" s="94">
        <f t="shared" si="52"/>
        <v>0.27238095238095239</v>
      </c>
      <c r="Q77" s="94">
        <f t="shared" si="53"/>
        <v>0.27238095238095239</v>
      </c>
      <c r="R77" s="94">
        <f t="shared" ref="R77:R83" si="58">SUM(O77:Q77)/3</f>
        <v>0.28952380952380952</v>
      </c>
    </row>
    <row r="78" spans="1:18">
      <c r="A78" t="s">
        <v>152</v>
      </c>
      <c r="B78" t="s">
        <v>165</v>
      </c>
      <c r="C78" t="s">
        <v>368</v>
      </c>
      <c r="D78" s="97">
        <v>17</v>
      </c>
      <c r="E78" s="97">
        <v>14.3</v>
      </c>
      <c r="F78" s="97">
        <v>14.3</v>
      </c>
      <c r="G78" s="8">
        <f t="shared" si="54"/>
        <v>15.200000000000001</v>
      </c>
      <c r="H78" s="8">
        <f t="shared" si="55"/>
        <v>0.61199999999999999</v>
      </c>
      <c r="I78" s="8">
        <f t="shared" si="56"/>
        <v>0.51480000000000004</v>
      </c>
      <c r="J78" s="8">
        <f t="shared" si="57"/>
        <v>0.51480000000000004</v>
      </c>
      <c r="K78" s="8">
        <v>1.89</v>
      </c>
      <c r="L78" s="8">
        <v>1.89</v>
      </c>
      <c r="M78" s="8">
        <v>1.89</v>
      </c>
      <c r="N78" s="8"/>
      <c r="O78" s="94">
        <f t="shared" si="43"/>
        <v>0.32380952380952382</v>
      </c>
      <c r="P78" s="94">
        <f t="shared" si="52"/>
        <v>0.27238095238095239</v>
      </c>
      <c r="Q78" s="94">
        <f t="shared" si="53"/>
        <v>0.27238095238095239</v>
      </c>
      <c r="R78" s="94">
        <f t="shared" si="58"/>
        <v>0.28952380952380952</v>
      </c>
    </row>
    <row r="79" spans="1:18">
      <c r="A79" t="s">
        <v>153</v>
      </c>
      <c r="B79" t="s">
        <v>165</v>
      </c>
      <c r="C79" t="s">
        <v>368</v>
      </c>
      <c r="D79" s="97">
        <v>17</v>
      </c>
      <c r="E79" s="97">
        <v>14.3</v>
      </c>
      <c r="F79" s="97">
        <v>14.3</v>
      </c>
      <c r="G79" s="8">
        <f t="shared" si="54"/>
        <v>15.200000000000001</v>
      </c>
      <c r="H79" s="8">
        <f t="shared" si="55"/>
        <v>0.61199999999999999</v>
      </c>
      <c r="I79" s="8">
        <f t="shared" si="56"/>
        <v>0.51480000000000004</v>
      </c>
      <c r="J79" s="8">
        <f t="shared" si="57"/>
        <v>0.51480000000000004</v>
      </c>
      <c r="K79" s="8">
        <v>1.81</v>
      </c>
      <c r="L79" s="8">
        <v>1.81</v>
      </c>
      <c r="M79" s="8">
        <v>1.81</v>
      </c>
      <c r="N79" s="8"/>
      <c r="O79" s="94">
        <f t="shared" si="43"/>
        <v>0.33812154696132596</v>
      </c>
      <c r="P79" s="94">
        <f t="shared" si="52"/>
        <v>0.28441988950276242</v>
      </c>
      <c r="Q79" s="94">
        <f t="shared" si="53"/>
        <v>0.28441988950276242</v>
      </c>
      <c r="R79" s="94">
        <f t="shared" si="58"/>
        <v>0.30232044198895031</v>
      </c>
    </row>
    <row r="80" spans="1:18">
      <c r="A80" t="s">
        <v>154</v>
      </c>
      <c r="B80" t="s">
        <v>165</v>
      </c>
      <c r="C80" t="s">
        <v>368</v>
      </c>
      <c r="D80" s="97">
        <v>17</v>
      </c>
      <c r="E80" s="97">
        <v>14.3</v>
      </c>
      <c r="F80" s="97">
        <v>14.3</v>
      </c>
      <c r="G80" s="8">
        <f t="shared" si="54"/>
        <v>15.200000000000001</v>
      </c>
      <c r="H80" s="8">
        <f t="shared" si="55"/>
        <v>0.61199999999999999</v>
      </c>
      <c r="I80" s="8">
        <f t="shared" si="56"/>
        <v>0.51480000000000004</v>
      </c>
      <c r="J80" s="8">
        <f t="shared" si="57"/>
        <v>0.51480000000000004</v>
      </c>
      <c r="K80" s="8">
        <v>1.81</v>
      </c>
      <c r="L80" s="8">
        <v>1.81</v>
      </c>
      <c r="M80" s="8">
        <v>1.81</v>
      </c>
      <c r="N80" s="8"/>
      <c r="O80" s="94">
        <f t="shared" si="43"/>
        <v>0.33812154696132596</v>
      </c>
      <c r="P80" s="94">
        <f t="shared" si="52"/>
        <v>0.28441988950276242</v>
      </c>
      <c r="Q80" s="94">
        <f t="shared" si="53"/>
        <v>0.28441988950276242</v>
      </c>
      <c r="R80" s="94">
        <f t="shared" si="58"/>
        <v>0.30232044198895031</v>
      </c>
    </row>
    <row r="81" spans="1:18">
      <c r="A81" t="s">
        <v>155</v>
      </c>
      <c r="B81" t="s">
        <v>165</v>
      </c>
      <c r="C81" t="s">
        <v>368</v>
      </c>
      <c r="D81" s="97">
        <v>17</v>
      </c>
      <c r="E81" s="97">
        <v>14.3</v>
      </c>
      <c r="F81" s="97">
        <v>14.3</v>
      </c>
      <c r="G81" s="8">
        <f t="shared" si="54"/>
        <v>15.200000000000001</v>
      </c>
      <c r="H81" s="8">
        <f t="shared" si="55"/>
        <v>0.61199999999999999</v>
      </c>
      <c r="I81" s="8">
        <f t="shared" si="56"/>
        <v>0.51480000000000004</v>
      </c>
      <c r="J81" s="8">
        <f t="shared" si="57"/>
        <v>0.51480000000000004</v>
      </c>
      <c r="K81" s="8">
        <v>1.81</v>
      </c>
      <c r="L81" s="8">
        <v>1.81</v>
      </c>
      <c r="M81" s="8">
        <v>1.81</v>
      </c>
      <c r="N81" s="8"/>
      <c r="O81" s="94">
        <f t="shared" si="43"/>
        <v>0.33812154696132596</v>
      </c>
      <c r="P81" s="94">
        <f t="shared" si="52"/>
        <v>0.28441988950276242</v>
      </c>
      <c r="Q81" s="94">
        <f t="shared" si="53"/>
        <v>0.28441988950276242</v>
      </c>
      <c r="R81" s="94">
        <f t="shared" si="58"/>
        <v>0.30232044198895031</v>
      </c>
    </row>
    <row r="82" spans="1:18">
      <c r="A82" t="s">
        <v>156</v>
      </c>
      <c r="B82" t="s">
        <v>165</v>
      </c>
      <c r="C82" t="s">
        <v>368</v>
      </c>
      <c r="D82" s="97">
        <v>17</v>
      </c>
      <c r="E82" s="97">
        <v>14.3</v>
      </c>
      <c r="F82" s="97">
        <v>14.3</v>
      </c>
      <c r="G82" s="8">
        <f t="shared" si="54"/>
        <v>15.200000000000001</v>
      </c>
      <c r="H82" s="8">
        <f t="shared" si="55"/>
        <v>0.61199999999999999</v>
      </c>
      <c r="I82" s="8">
        <f t="shared" si="56"/>
        <v>0.51480000000000004</v>
      </c>
      <c r="J82" s="8">
        <f t="shared" si="57"/>
        <v>0.51480000000000004</v>
      </c>
      <c r="K82" s="8">
        <v>1.54</v>
      </c>
      <c r="L82" s="8">
        <v>1.54</v>
      </c>
      <c r="M82" s="8">
        <v>1.54</v>
      </c>
      <c r="N82" s="8"/>
      <c r="O82" s="94">
        <f t="shared" si="43"/>
        <v>0.39740259740259737</v>
      </c>
      <c r="P82" s="94">
        <f t="shared" si="52"/>
        <v>0.3342857142857143</v>
      </c>
      <c r="Q82" s="94">
        <f t="shared" si="53"/>
        <v>0.3342857142857143</v>
      </c>
      <c r="R82" s="94">
        <f t="shared" si="58"/>
        <v>0.35532467532467532</v>
      </c>
    </row>
    <row r="83" spans="1:18">
      <c r="A83" t="s">
        <v>157</v>
      </c>
      <c r="B83" t="s">
        <v>165</v>
      </c>
      <c r="C83" t="s">
        <v>368</v>
      </c>
      <c r="D83" s="97">
        <v>17</v>
      </c>
      <c r="E83" s="97">
        <v>14.3</v>
      </c>
      <c r="F83" s="97">
        <v>14.3</v>
      </c>
      <c r="G83" s="8">
        <f t="shared" si="54"/>
        <v>15.200000000000001</v>
      </c>
      <c r="H83" s="8">
        <f t="shared" si="55"/>
        <v>0.61199999999999999</v>
      </c>
      <c r="I83" s="8">
        <f t="shared" si="56"/>
        <v>0.51480000000000004</v>
      </c>
      <c r="J83" s="8">
        <f t="shared" si="57"/>
        <v>0.51480000000000004</v>
      </c>
      <c r="K83" s="8">
        <v>1.55</v>
      </c>
      <c r="L83" s="8">
        <v>1.55</v>
      </c>
      <c r="M83" s="8">
        <v>1.55</v>
      </c>
      <c r="N83" s="8"/>
      <c r="O83" s="94">
        <f t="shared" si="43"/>
        <v>0.39483870967741935</v>
      </c>
      <c r="P83" s="94">
        <f t="shared" si="52"/>
        <v>0.3321290322580645</v>
      </c>
      <c r="Q83" s="94">
        <f t="shared" si="53"/>
        <v>0.3321290322580645</v>
      </c>
      <c r="R83" s="94">
        <f t="shared" si="58"/>
        <v>0.35303225806451616</v>
      </c>
    </row>
    <row r="84" spans="1:18">
      <c r="D84" s="118" t="s">
        <v>410</v>
      </c>
      <c r="E84" s="118"/>
      <c r="F84" s="118"/>
      <c r="G84" s="118"/>
      <c r="H84" s="118" t="s">
        <v>163</v>
      </c>
      <c r="I84" s="118"/>
      <c r="J84" s="118"/>
      <c r="K84" s="118" t="s">
        <v>164</v>
      </c>
      <c r="L84" s="118"/>
      <c r="M84" s="118"/>
      <c r="N84" s="8"/>
      <c r="O84" s="120" t="s">
        <v>145</v>
      </c>
      <c r="P84" s="120"/>
      <c r="Q84" s="120"/>
      <c r="R84" s="120"/>
    </row>
    <row r="85" spans="1:18">
      <c r="A85" t="s">
        <v>150</v>
      </c>
      <c r="B85" t="s">
        <v>370</v>
      </c>
      <c r="C85" t="s">
        <v>369</v>
      </c>
      <c r="D85" s="99">
        <v>5.9</v>
      </c>
      <c r="E85" s="99">
        <v>4.2699999999999996</v>
      </c>
      <c r="F85" s="99">
        <v>3.3</v>
      </c>
      <c r="G85" s="99"/>
      <c r="H85" s="8">
        <f>0.342*D85</f>
        <v>2.0178000000000003</v>
      </c>
      <c r="I85" s="8">
        <f t="shared" ref="I85:J85" si="59">0.342*E85</f>
        <v>1.46034</v>
      </c>
      <c r="J85" s="8">
        <f t="shared" si="59"/>
        <v>1.1286</v>
      </c>
      <c r="K85" s="8">
        <v>1.74</v>
      </c>
      <c r="L85" s="8">
        <v>1.74</v>
      </c>
      <c r="M85" s="8">
        <v>1.74</v>
      </c>
      <c r="N85" s="8"/>
      <c r="O85" s="94"/>
      <c r="P85" s="94"/>
      <c r="Q85" s="94"/>
      <c r="R85" s="94"/>
    </row>
    <row r="86" spans="1:18">
      <c r="A86" t="s">
        <v>151</v>
      </c>
      <c r="B86" t="s">
        <v>370</v>
      </c>
      <c r="C86" t="s">
        <v>369</v>
      </c>
      <c r="D86" s="99">
        <v>5.9</v>
      </c>
      <c r="E86" s="99">
        <v>4.2699999999999996</v>
      </c>
      <c r="F86" s="99">
        <v>3.3</v>
      </c>
      <c r="G86" s="99"/>
      <c r="H86" s="8">
        <f t="shared" ref="H86:H92" si="60">0.342*D86</f>
        <v>2.0178000000000003</v>
      </c>
      <c r="I86" s="8">
        <f t="shared" ref="I86:I92" si="61">0.342*E86</f>
        <v>1.46034</v>
      </c>
      <c r="J86" s="8">
        <f t="shared" ref="J86:J92" si="62">0.342*F86</f>
        <v>1.1286</v>
      </c>
      <c r="K86" s="8">
        <v>1.89</v>
      </c>
      <c r="L86" s="8">
        <v>1.89</v>
      </c>
      <c r="M86" s="8">
        <v>1.89</v>
      </c>
      <c r="N86" s="8"/>
      <c r="O86" s="94"/>
      <c r="P86" s="94"/>
      <c r="Q86" s="94"/>
      <c r="R86" s="94"/>
    </row>
    <row r="87" spans="1:18">
      <c r="A87" t="s">
        <v>152</v>
      </c>
      <c r="B87" t="s">
        <v>370</v>
      </c>
      <c r="C87" t="s">
        <v>369</v>
      </c>
      <c r="D87" s="99">
        <v>5.9</v>
      </c>
      <c r="E87" s="99">
        <v>4.2699999999999996</v>
      </c>
      <c r="F87" s="99">
        <v>3.3</v>
      </c>
      <c r="G87" s="99"/>
      <c r="H87" s="8">
        <f t="shared" si="60"/>
        <v>2.0178000000000003</v>
      </c>
      <c r="I87" s="8">
        <f t="shared" si="61"/>
        <v>1.46034</v>
      </c>
      <c r="J87" s="8">
        <f t="shared" si="62"/>
        <v>1.1286</v>
      </c>
      <c r="K87" s="8">
        <v>1.89</v>
      </c>
      <c r="L87" s="8">
        <v>1.89</v>
      </c>
      <c r="M87" s="8">
        <v>1.89</v>
      </c>
      <c r="N87" s="8"/>
      <c r="O87" s="94"/>
      <c r="P87" s="94"/>
      <c r="Q87" s="94"/>
      <c r="R87" s="94"/>
    </row>
    <row r="88" spans="1:18">
      <c r="A88" t="s">
        <v>153</v>
      </c>
      <c r="B88" t="s">
        <v>370</v>
      </c>
      <c r="C88" t="s">
        <v>369</v>
      </c>
      <c r="D88" s="99">
        <v>5.9</v>
      </c>
      <c r="E88" s="99">
        <v>4.2699999999999996</v>
      </c>
      <c r="F88" s="99">
        <v>3.3</v>
      </c>
      <c r="G88" s="99"/>
      <c r="H88" s="8">
        <f t="shared" si="60"/>
        <v>2.0178000000000003</v>
      </c>
      <c r="I88" s="8">
        <f t="shared" si="61"/>
        <v>1.46034</v>
      </c>
      <c r="J88" s="8">
        <f t="shared" si="62"/>
        <v>1.1286</v>
      </c>
      <c r="K88" s="8">
        <v>1.81</v>
      </c>
      <c r="L88" s="8">
        <v>1.81</v>
      </c>
      <c r="M88" s="8">
        <v>1.81</v>
      </c>
      <c r="N88" s="8"/>
      <c r="O88" s="94"/>
      <c r="P88" s="94"/>
      <c r="Q88" s="94"/>
      <c r="R88" s="94"/>
    </row>
    <row r="89" spans="1:18">
      <c r="A89" t="s">
        <v>154</v>
      </c>
      <c r="B89" t="s">
        <v>370</v>
      </c>
      <c r="C89" t="s">
        <v>369</v>
      </c>
      <c r="D89" s="99">
        <v>5.9</v>
      </c>
      <c r="E89" s="99">
        <v>4.2699999999999996</v>
      </c>
      <c r="F89" s="99">
        <v>3.3</v>
      </c>
      <c r="G89" s="99"/>
      <c r="H89" s="8">
        <f t="shared" si="60"/>
        <v>2.0178000000000003</v>
      </c>
      <c r="I89" s="8">
        <f t="shared" si="61"/>
        <v>1.46034</v>
      </c>
      <c r="J89" s="8">
        <f t="shared" si="62"/>
        <v>1.1286</v>
      </c>
      <c r="K89" s="8">
        <v>1.81</v>
      </c>
      <c r="L89" s="8">
        <v>1.81</v>
      </c>
      <c r="M89" s="8">
        <v>1.81</v>
      </c>
      <c r="N89" s="8"/>
      <c r="O89" s="94"/>
      <c r="P89" s="94"/>
      <c r="Q89" s="94"/>
      <c r="R89" s="94"/>
    </row>
    <row r="90" spans="1:18">
      <c r="A90" t="s">
        <v>155</v>
      </c>
      <c r="B90" t="s">
        <v>370</v>
      </c>
      <c r="C90" t="s">
        <v>369</v>
      </c>
      <c r="D90" s="99">
        <v>5.9</v>
      </c>
      <c r="E90" s="99">
        <v>4.2699999999999996</v>
      </c>
      <c r="F90" s="99">
        <v>3.3</v>
      </c>
      <c r="G90" s="99"/>
      <c r="H90" s="8">
        <f t="shared" si="60"/>
        <v>2.0178000000000003</v>
      </c>
      <c r="I90" s="8">
        <f t="shared" si="61"/>
        <v>1.46034</v>
      </c>
      <c r="J90" s="8">
        <f t="shared" si="62"/>
        <v>1.1286</v>
      </c>
      <c r="K90" s="8">
        <v>1.81</v>
      </c>
      <c r="L90" s="8">
        <v>1.81</v>
      </c>
      <c r="M90" s="8">
        <v>1.81</v>
      </c>
      <c r="N90" s="8"/>
      <c r="O90" s="94"/>
      <c r="P90" s="94"/>
      <c r="Q90" s="94"/>
      <c r="R90" s="94"/>
    </row>
    <row r="91" spans="1:18">
      <c r="A91" t="s">
        <v>156</v>
      </c>
      <c r="B91" t="s">
        <v>370</v>
      </c>
      <c r="C91" t="s">
        <v>369</v>
      </c>
      <c r="D91" s="99">
        <v>5.9</v>
      </c>
      <c r="E91" s="99">
        <v>4.2699999999999996</v>
      </c>
      <c r="F91" s="99">
        <v>3.3</v>
      </c>
      <c r="G91" s="99"/>
      <c r="H91" s="8">
        <f t="shared" si="60"/>
        <v>2.0178000000000003</v>
      </c>
      <c r="I91" s="8">
        <f t="shared" si="61"/>
        <v>1.46034</v>
      </c>
      <c r="J91" s="8">
        <f t="shared" si="62"/>
        <v>1.1286</v>
      </c>
      <c r="K91" s="8">
        <v>1.54</v>
      </c>
      <c r="L91" s="8">
        <v>1.54</v>
      </c>
      <c r="M91" s="8">
        <v>1.54</v>
      </c>
      <c r="N91" s="8"/>
      <c r="O91" s="94"/>
      <c r="P91" s="94"/>
      <c r="Q91" s="94"/>
      <c r="R91" s="94"/>
    </row>
    <row r="92" spans="1:18">
      <c r="A92" t="s">
        <v>157</v>
      </c>
      <c r="B92" t="s">
        <v>370</v>
      </c>
      <c r="C92" t="s">
        <v>369</v>
      </c>
      <c r="D92" s="99">
        <v>5.9</v>
      </c>
      <c r="E92" s="99">
        <v>4.2699999999999996</v>
      </c>
      <c r="F92" s="99">
        <v>3.3</v>
      </c>
      <c r="G92" s="99"/>
      <c r="H92" s="8">
        <f t="shared" si="60"/>
        <v>2.0178000000000003</v>
      </c>
      <c r="I92" s="8">
        <f t="shared" si="61"/>
        <v>1.46034</v>
      </c>
      <c r="J92" s="8">
        <f t="shared" si="62"/>
        <v>1.1286</v>
      </c>
      <c r="K92" s="8">
        <v>1.55</v>
      </c>
      <c r="L92" s="8">
        <v>1.55</v>
      </c>
      <c r="M92" s="8">
        <v>1.55</v>
      </c>
      <c r="N92" s="8"/>
      <c r="O92" s="94"/>
      <c r="P92" s="94"/>
      <c r="Q92" s="94"/>
      <c r="R92" s="94"/>
    </row>
    <row r="93" spans="1:18">
      <c r="D93" s="118" t="s">
        <v>409</v>
      </c>
      <c r="E93" s="118"/>
      <c r="F93" s="118"/>
      <c r="G93" s="118"/>
      <c r="H93" s="8"/>
      <c r="I93" s="8"/>
      <c r="J93" s="8"/>
      <c r="K93" s="8"/>
      <c r="L93" s="8"/>
      <c r="M93" s="8"/>
      <c r="N93" s="8"/>
      <c r="O93" s="94"/>
      <c r="P93" s="94"/>
      <c r="Q93" s="94"/>
      <c r="R93" s="94"/>
    </row>
    <row r="94" spans="1:18">
      <c r="A94" t="s">
        <v>150</v>
      </c>
      <c r="B94" t="s">
        <v>370</v>
      </c>
      <c r="C94" t="s">
        <v>369</v>
      </c>
      <c r="D94" s="99">
        <v>17</v>
      </c>
      <c r="E94" s="99">
        <v>14.3</v>
      </c>
      <c r="F94" s="99">
        <v>14.3</v>
      </c>
      <c r="G94" s="99"/>
      <c r="H94" s="8">
        <f>0.036*D94</f>
        <v>0.61199999999999999</v>
      </c>
      <c r="I94" s="8">
        <f t="shared" ref="I94:J94" si="63">0.036*E94</f>
        <v>0.51480000000000004</v>
      </c>
      <c r="J94" s="8">
        <f t="shared" si="63"/>
        <v>0.51480000000000004</v>
      </c>
      <c r="K94" s="8"/>
      <c r="L94" s="8"/>
      <c r="M94" s="8"/>
      <c r="N94" s="8"/>
      <c r="O94" s="94"/>
      <c r="P94" s="94"/>
      <c r="Q94" s="94"/>
      <c r="R94" s="94"/>
    </row>
    <row r="95" spans="1:18">
      <c r="A95" t="s">
        <v>151</v>
      </c>
      <c r="B95" t="s">
        <v>370</v>
      </c>
      <c r="C95" t="s">
        <v>369</v>
      </c>
      <c r="D95" s="99">
        <v>17</v>
      </c>
      <c r="E95" s="99">
        <v>14.3</v>
      </c>
      <c r="F95" s="99">
        <v>14.3</v>
      </c>
      <c r="G95" s="99"/>
      <c r="H95" s="8">
        <f t="shared" ref="H95:H101" si="64">0.036*D95</f>
        <v>0.61199999999999999</v>
      </c>
      <c r="I95" s="8">
        <f t="shared" ref="I95:I101" si="65">0.036*E95</f>
        <v>0.51480000000000004</v>
      </c>
      <c r="J95" s="8">
        <f t="shared" ref="J95:J101" si="66">0.036*F95</f>
        <v>0.51480000000000004</v>
      </c>
      <c r="K95" s="8"/>
      <c r="L95" s="8"/>
      <c r="M95" s="8"/>
      <c r="N95" s="8"/>
      <c r="O95" s="94"/>
      <c r="P95" s="94"/>
      <c r="Q95" s="94"/>
      <c r="R95" s="94"/>
    </row>
    <row r="96" spans="1:18">
      <c r="A96" t="s">
        <v>152</v>
      </c>
      <c r="B96" t="s">
        <v>370</v>
      </c>
      <c r="C96" t="s">
        <v>369</v>
      </c>
      <c r="D96" s="99">
        <v>17</v>
      </c>
      <c r="E96" s="99">
        <v>14.3</v>
      </c>
      <c r="F96" s="99">
        <v>14.3</v>
      </c>
      <c r="G96" s="99"/>
      <c r="H96" s="8">
        <f t="shared" si="64"/>
        <v>0.61199999999999999</v>
      </c>
      <c r="I96" s="8">
        <f t="shared" si="65"/>
        <v>0.51480000000000004</v>
      </c>
      <c r="J96" s="8">
        <f t="shared" si="66"/>
        <v>0.51480000000000004</v>
      </c>
      <c r="K96" s="8"/>
      <c r="L96" s="8"/>
      <c r="M96" s="8"/>
      <c r="N96" s="8"/>
      <c r="O96" s="94"/>
      <c r="P96" s="94"/>
      <c r="Q96" s="94"/>
      <c r="R96" s="94"/>
    </row>
    <row r="97" spans="1:18">
      <c r="A97" t="s">
        <v>153</v>
      </c>
      <c r="B97" t="s">
        <v>370</v>
      </c>
      <c r="C97" t="s">
        <v>369</v>
      </c>
      <c r="D97" s="99">
        <v>17</v>
      </c>
      <c r="E97" s="99">
        <v>14.3</v>
      </c>
      <c r="F97" s="99">
        <v>14.3</v>
      </c>
      <c r="G97" s="99"/>
      <c r="H97" s="8">
        <f t="shared" si="64"/>
        <v>0.61199999999999999</v>
      </c>
      <c r="I97" s="8">
        <f t="shared" si="65"/>
        <v>0.51480000000000004</v>
      </c>
      <c r="J97" s="8">
        <f t="shared" si="66"/>
        <v>0.51480000000000004</v>
      </c>
      <c r="K97" s="8"/>
      <c r="L97" s="8"/>
      <c r="M97" s="8"/>
      <c r="N97" s="8"/>
      <c r="O97" s="94"/>
      <c r="P97" s="94"/>
      <c r="Q97" s="94"/>
      <c r="R97" s="94"/>
    </row>
    <row r="98" spans="1:18">
      <c r="A98" t="s">
        <v>154</v>
      </c>
      <c r="B98" t="s">
        <v>370</v>
      </c>
      <c r="C98" t="s">
        <v>369</v>
      </c>
      <c r="D98" s="99">
        <v>17</v>
      </c>
      <c r="E98" s="99">
        <v>14.3</v>
      </c>
      <c r="F98" s="99">
        <v>14.3</v>
      </c>
      <c r="G98" s="99"/>
      <c r="H98" s="8">
        <f t="shared" si="64"/>
        <v>0.61199999999999999</v>
      </c>
      <c r="I98" s="8">
        <f t="shared" si="65"/>
        <v>0.51480000000000004</v>
      </c>
      <c r="J98" s="8">
        <f t="shared" si="66"/>
        <v>0.51480000000000004</v>
      </c>
      <c r="K98" s="8"/>
      <c r="L98" s="8"/>
      <c r="M98" s="8"/>
      <c r="N98" s="8"/>
      <c r="O98" s="94"/>
      <c r="P98" s="94"/>
      <c r="Q98" s="94"/>
      <c r="R98" s="94"/>
    </row>
    <row r="99" spans="1:18">
      <c r="A99" t="s">
        <v>155</v>
      </c>
      <c r="B99" t="s">
        <v>370</v>
      </c>
      <c r="C99" t="s">
        <v>369</v>
      </c>
      <c r="D99" s="99">
        <v>17</v>
      </c>
      <c r="E99" s="99">
        <v>14.3</v>
      </c>
      <c r="F99" s="99">
        <v>14.3</v>
      </c>
      <c r="G99" s="99"/>
      <c r="H99" s="8">
        <f t="shared" si="64"/>
        <v>0.61199999999999999</v>
      </c>
      <c r="I99" s="8">
        <f t="shared" si="65"/>
        <v>0.51480000000000004</v>
      </c>
      <c r="J99" s="8">
        <f t="shared" si="66"/>
        <v>0.51480000000000004</v>
      </c>
      <c r="K99" s="8"/>
      <c r="L99" s="8"/>
      <c r="M99" s="8"/>
      <c r="N99" s="8"/>
      <c r="O99" s="94"/>
      <c r="P99" s="94"/>
      <c r="Q99" s="94"/>
      <c r="R99" s="94"/>
    </row>
    <row r="100" spans="1:18">
      <c r="A100" t="s">
        <v>156</v>
      </c>
      <c r="B100" t="s">
        <v>370</v>
      </c>
      <c r="C100" t="s">
        <v>369</v>
      </c>
      <c r="D100" s="99">
        <v>17</v>
      </c>
      <c r="E100" s="99">
        <v>14.3</v>
      </c>
      <c r="F100" s="99">
        <v>14.3</v>
      </c>
      <c r="G100" s="99"/>
      <c r="H100" s="8">
        <f t="shared" si="64"/>
        <v>0.61199999999999999</v>
      </c>
      <c r="I100" s="8">
        <f t="shared" si="65"/>
        <v>0.51480000000000004</v>
      </c>
      <c r="J100" s="8">
        <f t="shared" si="66"/>
        <v>0.51480000000000004</v>
      </c>
      <c r="K100" s="8"/>
      <c r="L100" s="8"/>
      <c r="M100" s="8"/>
      <c r="N100" s="8"/>
      <c r="O100" s="94"/>
      <c r="P100" s="94"/>
      <c r="Q100" s="94"/>
      <c r="R100" s="94"/>
    </row>
    <row r="101" spans="1:18">
      <c r="A101" t="s">
        <v>157</v>
      </c>
      <c r="B101" t="s">
        <v>370</v>
      </c>
      <c r="C101" t="s">
        <v>369</v>
      </c>
      <c r="D101" s="99">
        <v>17</v>
      </c>
      <c r="E101" s="99">
        <v>14.3</v>
      </c>
      <c r="F101" s="99">
        <v>14.3</v>
      </c>
      <c r="G101" s="99"/>
      <c r="H101" s="8">
        <f t="shared" si="64"/>
        <v>0.61199999999999999</v>
      </c>
      <c r="I101" s="8">
        <f t="shared" si="65"/>
        <v>0.51480000000000004</v>
      </c>
      <c r="J101" s="8">
        <f t="shared" si="66"/>
        <v>0.51480000000000004</v>
      </c>
      <c r="K101" s="8"/>
      <c r="L101" s="8"/>
      <c r="M101" s="8"/>
      <c r="N101" s="8"/>
      <c r="O101" s="94"/>
      <c r="P101" s="94"/>
      <c r="Q101" s="94"/>
      <c r="R101" s="94"/>
    </row>
    <row r="102" spans="1:18">
      <c r="D102" s="99"/>
      <c r="E102" s="99"/>
      <c r="F102" s="99"/>
      <c r="G102" s="99"/>
      <c r="H102" s="8"/>
      <c r="I102" s="8"/>
      <c r="J102" s="8"/>
      <c r="K102" s="8"/>
      <c r="L102" s="8"/>
      <c r="M102" s="8"/>
      <c r="N102" s="8"/>
      <c r="O102" s="94"/>
      <c r="P102" s="94"/>
      <c r="Q102" s="94"/>
      <c r="R102" s="94"/>
    </row>
    <row r="103" spans="1:18">
      <c r="A103" t="s">
        <v>150</v>
      </c>
      <c r="B103" t="s">
        <v>375</v>
      </c>
      <c r="C103" t="s">
        <v>376</v>
      </c>
      <c r="D103" s="8">
        <v>4234</v>
      </c>
      <c r="E103" s="8">
        <v>2964</v>
      </c>
      <c r="F103" s="8">
        <v>2075</v>
      </c>
      <c r="G103" s="8">
        <f>SUM(D103:F103)/3</f>
        <v>3091</v>
      </c>
      <c r="H103" s="97">
        <f>D103*0.04302</f>
        <v>182.14668</v>
      </c>
      <c r="I103" s="97">
        <f t="shared" ref="I103:J110" si="67">E103*0.04302</f>
        <v>127.51128000000001</v>
      </c>
      <c r="J103" s="97">
        <f t="shared" si="67"/>
        <v>89.266500000000008</v>
      </c>
      <c r="K103" s="8">
        <v>119</v>
      </c>
      <c r="L103" s="8">
        <v>119</v>
      </c>
      <c r="M103" s="8">
        <v>119</v>
      </c>
      <c r="N103" s="8"/>
      <c r="O103" s="94">
        <f t="shared" si="43"/>
        <v>1.5306443697478991</v>
      </c>
      <c r="P103" s="94">
        <f t="shared" ref="P103" si="68">I103/L103</f>
        <v>1.0715233613445379</v>
      </c>
      <c r="Q103" s="94">
        <f t="shared" ref="Q103" si="69">J103/M103</f>
        <v>0.75013865546218494</v>
      </c>
      <c r="R103" s="94">
        <f>SUM(O103:Q103)/3</f>
        <v>1.1174354621848739</v>
      </c>
    </row>
    <row r="104" spans="1:18">
      <c r="A104" t="s">
        <v>151</v>
      </c>
      <c r="B104" t="s">
        <v>375</v>
      </c>
      <c r="C104" t="s">
        <v>376</v>
      </c>
      <c r="D104" s="8">
        <v>3541</v>
      </c>
      <c r="E104" s="8">
        <v>2479</v>
      </c>
      <c r="F104" s="8">
        <v>1735</v>
      </c>
      <c r="G104" s="8">
        <f t="shared" ref="G104:G110" si="70">SUM(D104:F104)/3</f>
        <v>2585</v>
      </c>
      <c r="H104" s="97">
        <f t="shared" ref="H104:H110" si="71">D104*0.04302</f>
        <v>152.33382</v>
      </c>
      <c r="I104" s="97">
        <f t="shared" si="67"/>
        <v>106.64658</v>
      </c>
      <c r="J104" s="97">
        <f t="shared" si="67"/>
        <v>74.639700000000005</v>
      </c>
      <c r="K104" s="8">
        <v>110</v>
      </c>
      <c r="L104" s="8">
        <v>110</v>
      </c>
      <c r="M104" s="8">
        <v>110</v>
      </c>
      <c r="N104" s="8"/>
      <c r="O104" s="94">
        <f t="shared" ref="O104:O110" si="72">H104/K104</f>
        <v>1.3848529090909092</v>
      </c>
      <c r="P104" s="94">
        <f t="shared" ref="P104:P110" si="73">I104/L104</f>
        <v>0.96951436363636367</v>
      </c>
      <c r="Q104" s="94">
        <f t="shared" ref="Q104:Q110" si="74">J104/M104</f>
        <v>0.67854272727272735</v>
      </c>
      <c r="R104" s="94">
        <f t="shared" ref="R104:R110" si="75">SUM(O104:Q104)/3</f>
        <v>1.0109700000000001</v>
      </c>
    </row>
    <row r="105" spans="1:18">
      <c r="A105" t="s">
        <v>152</v>
      </c>
      <c r="B105" t="s">
        <v>375</v>
      </c>
      <c r="C105" t="s">
        <v>376</v>
      </c>
      <c r="D105" s="8">
        <v>4000</v>
      </c>
      <c r="E105" s="8">
        <v>2800</v>
      </c>
      <c r="F105" s="8">
        <v>1960</v>
      </c>
      <c r="G105" s="8">
        <f t="shared" si="70"/>
        <v>2920</v>
      </c>
      <c r="H105" s="97">
        <f t="shared" si="71"/>
        <v>172.08</v>
      </c>
      <c r="I105" s="97">
        <f t="shared" si="67"/>
        <v>120.456</v>
      </c>
      <c r="J105" s="97">
        <f t="shared" si="67"/>
        <v>84.319200000000009</v>
      </c>
      <c r="K105" s="8">
        <v>125</v>
      </c>
      <c r="L105" s="8">
        <v>125</v>
      </c>
      <c r="M105" s="8">
        <v>125</v>
      </c>
      <c r="N105" s="8"/>
      <c r="O105" s="94">
        <f t="shared" si="72"/>
        <v>1.3766400000000001</v>
      </c>
      <c r="P105" s="94">
        <f t="shared" si="73"/>
        <v>0.96364800000000006</v>
      </c>
      <c r="Q105" s="94">
        <f t="shared" si="74"/>
        <v>0.67455360000000009</v>
      </c>
      <c r="R105" s="94">
        <f t="shared" si="75"/>
        <v>1.0049472000000002</v>
      </c>
    </row>
    <row r="106" spans="1:18">
      <c r="A106" t="s">
        <v>153</v>
      </c>
      <c r="B106" t="s">
        <v>375</v>
      </c>
      <c r="C106" t="s">
        <v>376</v>
      </c>
      <c r="D106" s="8">
        <v>3546</v>
      </c>
      <c r="E106" s="8">
        <v>2482</v>
      </c>
      <c r="F106" s="8">
        <v>1737</v>
      </c>
      <c r="G106" s="8">
        <f t="shared" si="70"/>
        <v>2588.3333333333335</v>
      </c>
      <c r="H106" s="97">
        <f t="shared" si="71"/>
        <v>152.54892000000001</v>
      </c>
      <c r="I106" s="97">
        <f t="shared" si="67"/>
        <v>106.77564000000001</v>
      </c>
      <c r="J106" s="97">
        <f t="shared" si="67"/>
        <v>74.725740000000002</v>
      </c>
      <c r="K106" s="8">
        <v>111</v>
      </c>
      <c r="L106" s="8">
        <v>111</v>
      </c>
      <c r="M106" s="8">
        <v>111</v>
      </c>
      <c r="N106" s="8"/>
      <c r="O106" s="94">
        <f t="shared" si="72"/>
        <v>1.3743145945945947</v>
      </c>
      <c r="P106" s="94">
        <f t="shared" si="73"/>
        <v>0.96194270270270277</v>
      </c>
      <c r="Q106" s="94">
        <f t="shared" si="74"/>
        <v>0.67320486486486486</v>
      </c>
      <c r="R106" s="94">
        <f t="shared" si="75"/>
        <v>1.0031540540540542</v>
      </c>
    </row>
    <row r="107" spans="1:18">
      <c r="A107" t="s">
        <v>154</v>
      </c>
      <c r="B107" t="s">
        <v>375</v>
      </c>
      <c r="C107" t="s">
        <v>376</v>
      </c>
      <c r="D107" s="8">
        <v>4076</v>
      </c>
      <c r="E107" s="8">
        <v>2853</v>
      </c>
      <c r="F107" s="8">
        <v>1997</v>
      </c>
      <c r="G107" s="8">
        <f t="shared" si="70"/>
        <v>2975.3333333333335</v>
      </c>
      <c r="H107" s="97">
        <f t="shared" si="71"/>
        <v>175.34952000000001</v>
      </c>
      <c r="I107" s="97">
        <f t="shared" si="67"/>
        <v>122.73606000000001</v>
      </c>
      <c r="J107" s="97">
        <f t="shared" si="67"/>
        <v>85.910940000000011</v>
      </c>
      <c r="K107" s="8">
        <v>101</v>
      </c>
      <c r="L107" s="8">
        <v>101</v>
      </c>
      <c r="M107" s="8">
        <v>101</v>
      </c>
      <c r="N107" s="8"/>
      <c r="O107" s="94">
        <f t="shared" si="72"/>
        <v>1.7361338613861388</v>
      </c>
      <c r="P107" s="94">
        <f t="shared" si="73"/>
        <v>1.2152085148514853</v>
      </c>
      <c r="Q107" s="94">
        <f t="shared" si="74"/>
        <v>0.8506033663366338</v>
      </c>
      <c r="R107" s="94">
        <f t="shared" si="75"/>
        <v>1.2673152475247527</v>
      </c>
    </row>
    <row r="108" spans="1:18">
      <c r="A108" t="s">
        <v>155</v>
      </c>
      <c r="B108" t="s">
        <v>375</v>
      </c>
      <c r="C108" t="s">
        <v>376</v>
      </c>
      <c r="D108" s="8">
        <v>5077</v>
      </c>
      <c r="E108" s="8">
        <v>3554</v>
      </c>
      <c r="F108" s="8">
        <v>2488</v>
      </c>
      <c r="G108" s="8">
        <f t="shared" si="70"/>
        <v>3706.3333333333335</v>
      </c>
      <c r="H108" s="97">
        <f t="shared" si="71"/>
        <v>218.41254000000001</v>
      </c>
      <c r="I108" s="97">
        <f t="shared" si="67"/>
        <v>152.89308</v>
      </c>
      <c r="J108" s="97">
        <f t="shared" si="67"/>
        <v>107.03376</v>
      </c>
      <c r="K108" s="8">
        <v>114</v>
      </c>
      <c r="L108" s="8">
        <v>114</v>
      </c>
      <c r="M108" s="8">
        <v>114</v>
      </c>
      <c r="N108" s="8"/>
      <c r="O108" s="94">
        <f t="shared" si="72"/>
        <v>1.9158994736842105</v>
      </c>
      <c r="P108" s="94">
        <f t="shared" si="73"/>
        <v>1.3411673684210526</v>
      </c>
      <c r="Q108" s="94">
        <f t="shared" si="74"/>
        <v>0.93889263157894742</v>
      </c>
      <c r="R108" s="94">
        <f t="shared" si="75"/>
        <v>1.3986531578947368</v>
      </c>
    </row>
    <row r="109" spans="1:18">
      <c r="A109" t="s">
        <v>156</v>
      </c>
      <c r="B109" t="s">
        <v>375</v>
      </c>
      <c r="C109" t="s">
        <v>376</v>
      </c>
      <c r="D109" s="8">
        <v>4186</v>
      </c>
      <c r="E109" s="8">
        <v>2930</v>
      </c>
      <c r="F109" s="8">
        <v>2051</v>
      </c>
      <c r="G109" s="8">
        <f t="shared" si="70"/>
        <v>3055.6666666666665</v>
      </c>
      <c r="H109" s="97">
        <f t="shared" si="71"/>
        <v>180.08172000000002</v>
      </c>
      <c r="I109" s="97">
        <f t="shared" si="67"/>
        <v>126.04860000000001</v>
      </c>
      <c r="J109" s="97">
        <f t="shared" si="67"/>
        <v>88.234020000000001</v>
      </c>
      <c r="K109" s="8">
        <v>111</v>
      </c>
      <c r="L109" s="8">
        <v>111</v>
      </c>
      <c r="M109" s="8">
        <v>111</v>
      </c>
      <c r="N109" s="8"/>
      <c r="O109" s="94">
        <f t="shared" si="72"/>
        <v>1.622357837837838</v>
      </c>
      <c r="P109" s="94">
        <f t="shared" si="73"/>
        <v>1.1355729729729731</v>
      </c>
      <c r="Q109" s="94">
        <f t="shared" si="74"/>
        <v>0.79490108108108104</v>
      </c>
      <c r="R109" s="94">
        <f t="shared" si="75"/>
        <v>1.1842772972972975</v>
      </c>
    </row>
    <row r="110" spans="1:18">
      <c r="A110" t="s">
        <v>157</v>
      </c>
      <c r="B110" t="s">
        <v>375</v>
      </c>
      <c r="C110" t="s">
        <v>376</v>
      </c>
      <c r="D110" s="8">
        <v>4234</v>
      </c>
      <c r="E110" s="8">
        <v>2964</v>
      </c>
      <c r="F110" s="8">
        <v>2075</v>
      </c>
      <c r="G110" s="8">
        <f t="shared" si="70"/>
        <v>3091</v>
      </c>
      <c r="H110" s="97">
        <f t="shared" si="71"/>
        <v>182.14668</v>
      </c>
      <c r="I110" s="97">
        <f t="shared" si="67"/>
        <v>127.51128000000001</v>
      </c>
      <c r="J110" s="97">
        <f t="shared" si="67"/>
        <v>89.266500000000008</v>
      </c>
      <c r="K110" s="8">
        <v>119</v>
      </c>
      <c r="L110" s="8">
        <v>119</v>
      </c>
      <c r="M110" s="8">
        <v>119</v>
      </c>
      <c r="N110" s="8"/>
      <c r="O110" s="94">
        <f t="shared" si="72"/>
        <v>1.5306443697478991</v>
      </c>
      <c r="P110" s="94">
        <f t="shared" si="73"/>
        <v>1.0715233613445379</v>
      </c>
      <c r="Q110" s="94">
        <f t="shared" si="74"/>
        <v>0.75013865546218494</v>
      </c>
      <c r="R110" s="94">
        <f t="shared" si="75"/>
        <v>1.1174354621848739</v>
      </c>
    </row>
    <row r="111" spans="1:18">
      <c r="D111" s="118" t="s">
        <v>159</v>
      </c>
      <c r="E111" s="118"/>
      <c r="F111" s="118"/>
      <c r="G111" s="118"/>
      <c r="H111" s="118" t="s">
        <v>163</v>
      </c>
      <c r="I111" s="118"/>
      <c r="J111" s="118"/>
      <c r="K111" s="118" t="s">
        <v>173</v>
      </c>
      <c r="L111" s="118"/>
      <c r="M111" s="118"/>
      <c r="N111" s="8"/>
      <c r="O111" s="120" t="s">
        <v>146</v>
      </c>
      <c r="P111" s="120"/>
      <c r="Q111" s="120"/>
      <c r="R111" s="120"/>
    </row>
    <row r="112" spans="1:18">
      <c r="A112" t="s">
        <v>150</v>
      </c>
      <c r="B112" t="s">
        <v>129</v>
      </c>
      <c r="C112" t="s">
        <v>378</v>
      </c>
      <c r="D112" s="8">
        <v>33</v>
      </c>
      <c r="E112" s="8">
        <v>28</v>
      </c>
      <c r="F112" s="8">
        <v>23</v>
      </c>
      <c r="G112" s="8">
        <f>SUM(D112:F112)/3</f>
        <v>28</v>
      </c>
      <c r="H112" s="8">
        <f>D112*0.346</f>
        <v>11.417999999999999</v>
      </c>
      <c r="I112" s="8">
        <f t="shared" ref="I112:J119" si="76">E112*0.346</f>
        <v>9.6879999999999988</v>
      </c>
      <c r="J112" s="8">
        <f t="shared" si="76"/>
        <v>7.9579999999999993</v>
      </c>
      <c r="K112" s="97">
        <v>19</v>
      </c>
      <c r="L112" s="97">
        <v>19</v>
      </c>
      <c r="M112" s="97">
        <v>19</v>
      </c>
      <c r="N112" s="8"/>
      <c r="O112" s="94">
        <f t="shared" ref="O112:O137" si="77">H112/K112</f>
        <v>0.60094736842105256</v>
      </c>
      <c r="P112" s="94">
        <f t="shared" ref="P112:P119" si="78">I112/L112</f>
        <v>0.50989473684210518</v>
      </c>
      <c r="Q112" s="94">
        <f t="shared" ref="Q112:Q119" si="79">J112/M112</f>
        <v>0.41884210526315785</v>
      </c>
      <c r="R112" s="94">
        <f>SUM(O112:Q112)/3</f>
        <v>0.50989473684210518</v>
      </c>
    </row>
    <row r="113" spans="1:18">
      <c r="A113" t="s">
        <v>151</v>
      </c>
      <c r="B113" t="s">
        <v>129</v>
      </c>
      <c r="C113" t="s">
        <v>378</v>
      </c>
      <c r="D113" s="8">
        <v>49</v>
      </c>
      <c r="E113" s="8">
        <v>42</v>
      </c>
      <c r="F113" s="8">
        <v>34</v>
      </c>
      <c r="G113" s="8">
        <f t="shared" ref="G113:G119" si="80">SUM(D113:F113)/3</f>
        <v>41.666666666666664</v>
      </c>
      <c r="H113" s="8">
        <f t="shared" ref="H113:H119" si="81">D113*0.346</f>
        <v>16.953999999999997</v>
      </c>
      <c r="I113" s="8">
        <f t="shared" si="76"/>
        <v>14.531999999999998</v>
      </c>
      <c r="J113" s="8">
        <f t="shared" si="76"/>
        <v>11.763999999999999</v>
      </c>
      <c r="K113" s="8">
        <v>19</v>
      </c>
      <c r="L113" s="8">
        <v>19</v>
      </c>
      <c r="M113" s="8">
        <v>19</v>
      </c>
      <c r="N113" s="8"/>
      <c r="O113" s="94">
        <f t="shared" si="77"/>
        <v>0.89231578947368406</v>
      </c>
      <c r="P113" s="94">
        <f t="shared" si="78"/>
        <v>0.76484210526315777</v>
      </c>
      <c r="Q113" s="94">
        <f t="shared" si="79"/>
        <v>0.61915789473684202</v>
      </c>
      <c r="R113" s="94">
        <f t="shared" ref="R113:R119" si="82">SUM(O113:Q113)/3</f>
        <v>0.75877192982456121</v>
      </c>
    </row>
    <row r="114" spans="1:18">
      <c r="A114" t="s">
        <v>152</v>
      </c>
      <c r="B114" t="s">
        <v>129</v>
      </c>
      <c r="C114" t="s">
        <v>378</v>
      </c>
      <c r="D114" s="8">
        <v>47</v>
      </c>
      <c r="E114" s="8">
        <v>40</v>
      </c>
      <c r="F114" s="8">
        <v>34</v>
      </c>
      <c r="G114" s="8">
        <f t="shared" si="80"/>
        <v>40.333333333333336</v>
      </c>
      <c r="H114" s="8">
        <f t="shared" si="81"/>
        <v>16.262</v>
      </c>
      <c r="I114" s="8">
        <f t="shared" si="76"/>
        <v>13.84</v>
      </c>
      <c r="J114" s="8">
        <f t="shared" si="76"/>
        <v>11.763999999999999</v>
      </c>
      <c r="K114" s="8">
        <v>19</v>
      </c>
      <c r="L114" s="8">
        <v>19</v>
      </c>
      <c r="M114" s="8">
        <v>19</v>
      </c>
      <c r="N114" s="8"/>
      <c r="O114" s="94">
        <f t="shared" si="77"/>
        <v>0.85589473684210526</v>
      </c>
      <c r="P114" s="94">
        <f t="shared" si="78"/>
        <v>0.72842105263157897</v>
      </c>
      <c r="Q114" s="94">
        <f t="shared" si="79"/>
        <v>0.61915789473684202</v>
      </c>
      <c r="R114" s="94">
        <f t="shared" si="82"/>
        <v>0.73449122807017542</v>
      </c>
    </row>
    <row r="115" spans="1:18">
      <c r="A115" t="s">
        <v>153</v>
      </c>
      <c r="B115" t="s">
        <v>129</v>
      </c>
      <c r="C115" t="s">
        <v>378</v>
      </c>
      <c r="D115" s="8">
        <v>47</v>
      </c>
      <c r="E115" s="8">
        <v>40</v>
      </c>
      <c r="F115" s="8">
        <v>34</v>
      </c>
      <c r="G115" s="8">
        <f t="shared" si="80"/>
        <v>40.333333333333336</v>
      </c>
      <c r="H115" s="8">
        <f t="shared" si="81"/>
        <v>16.262</v>
      </c>
      <c r="I115" s="8">
        <f t="shared" si="76"/>
        <v>13.84</v>
      </c>
      <c r="J115" s="8">
        <f t="shared" si="76"/>
        <v>11.763999999999999</v>
      </c>
      <c r="K115" s="8">
        <v>19</v>
      </c>
      <c r="L115" s="8">
        <v>19</v>
      </c>
      <c r="M115" s="8">
        <v>19</v>
      </c>
      <c r="N115" s="8"/>
      <c r="O115" s="94">
        <f t="shared" si="77"/>
        <v>0.85589473684210526</v>
      </c>
      <c r="P115" s="94">
        <f t="shared" si="78"/>
        <v>0.72842105263157897</v>
      </c>
      <c r="Q115" s="94">
        <f t="shared" si="79"/>
        <v>0.61915789473684202</v>
      </c>
      <c r="R115" s="94">
        <f t="shared" si="82"/>
        <v>0.73449122807017542</v>
      </c>
    </row>
    <row r="116" spans="1:18">
      <c r="A116" t="s">
        <v>154</v>
      </c>
      <c r="B116" t="s">
        <v>129</v>
      </c>
      <c r="C116" t="s">
        <v>378</v>
      </c>
      <c r="D116" s="8">
        <v>47</v>
      </c>
      <c r="E116" s="8">
        <v>40</v>
      </c>
      <c r="F116" s="8">
        <v>34</v>
      </c>
      <c r="G116" s="8">
        <f t="shared" si="80"/>
        <v>40.333333333333336</v>
      </c>
      <c r="H116" s="8">
        <f t="shared" si="81"/>
        <v>16.262</v>
      </c>
      <c r="I116" s="8">
        <f t="shared" si="76"/>
        <v>13.84</v>
      </c>
      <c r="J116" s="8">
        <f t="shared" si="76"/>
        <v>11.763999999999999</v>
      </c>
      <c r="K116" s="8">
        <v>19</v>
      </c>
      <c r="L116" s="8">
        <v>19</v>
      </c>
      <c r="M116" s="8">
        <v>19</v>
      </c>
      <c r="N116" s="8"/>
      <c r="O116" s="94">
        <f t="shared" si="77"/>
        <v>0.85589473684210526</v>
      </c>
      <c r="P116" s="94">
        <f t="shared" si="78"/>
        <v>0.72842105263157897</v>
      </c>
      <c r="Q116" s="94">
        <f t="shared" si="79"/>
        <v>0.61915789473684202</v>
      </c>
      <c r="R116" s="94">
        <f t="shared" si="82"/>
        <v>0.73449122807017542</v>
      </c>
    </row>
    <row r="117" spans="1:18">
      <c r="A117" t="s">
        <v>155</v>
      </c>
      <c r="B117" t="s">
        <v>129</v>
      </c>
      <c r="C117" t="s">
        <v>378</v>
      </c>
      <c r="D117" s="8">
        <v>47</v>
      </c>
      <c r="E117" s="8">
        <v>40</v>
      </c>
      <c r="F117" s="8">
        <v>34</v>
      </c>
      <c r="G117" s="8">
        <f t="shared" si="80"/>
        <v>40.333333333333336</v>
      </c>
      <c r="H117" s="8">
        <f t="shared" si="81"/>
        <v>16.262</v>
      </c>
      <c r="I117" s="8">
        <f t="shared" si="76"/>
        <v>13.84</v>
      </c>
      <c r="J117" s="8">
        <f t="shared" si="76"/>
        <v>11.763999999999999</v>
      </c>
      <c r="K117" s="8">
        <v>19</v>
      </c>
      <c r="L117" s="8">
        <v>19</v>
      </c>
      <c r="M117" s="8">
        <v>19</v>
      </c>
      <c r="N117" s="8"/>
      <c r="O117" s="94">
        <f t="shared" si="77"/>
        <v>0.85589473684210526</v>
      </c>
      <c r="P117" s="94">
        <f t="shared" si="78"/>
        <v>0.72842105263157897</v>
      </c>
      <c r="Q117" s="94">
        <f t="shared" si="79"/>
        <v>0.61915789473684202</v>
      </c>
      <c r="R117" s="94">
        <f t="shared" si="82"/>
        <v>0.73449122807017542</v>
      </c>
    </row>
    <row r="118" spans="1:18">
      <c r="A118" t="s">
        <v>156</v>
      </c>
      <c r="B118" t="s">
        <v>129</v>
      </c>
      <c r="C118" t="s">
        <v>378</v>
      </c>
      <c r="D118" s="8">
        <v>31</v>
      </c>
      <c r="E118" s="8">
        <v>28</v>
      </c>
      <c r="F118" s="8">
        <v>22</v>
      </c>
      <c r="G118" s="8">
        <f t="shared" si="80"/>
        <v>27</v>
      </c>
      <c r="H118" s="8">
        <f t="shared" si="81"/>
        <v>10.725999999999999</v>
      </c>
      <c r="I118" s="8">
        <f t="shared" si="76"/>
        <v>9.6879999999999988</v>
      </c>
      <c r="J118" s="8">
        <f t="shared" si="76"/>
        <v>7.6119999999999992</v>
      </c>
      <c r="K118" s="8">
        <v>19</v>
      </c>
      <c r="L118" s="8">
        <v>19</v>
      </c>
      <c r="M118" s="8">
        <v>19</v>
      </c>
      <c r="N118" s="8"/>
      <c r="O118" s="94">
        <f t="shared" si="77"/>
        <v>0.56452631578947365</v>
      </c>
      <c r="P118" s="94">
        <f t="shared" si="78"/>
        <v>0.50989473684210518</v>
      </c>
      <c r="Q118" s="94">
        <f t="shared" si="79"/>
        <v>0.40063157894736839</v>
      </c>
      <c r="R118" s="94">
        <f t="shared" si="82"/>
        <v>0.49168421052631572</v>
      </c>
    </row>
    <row r="119" spans="1:18">
      <c r="A119" t="s">
        <v>157</v>
      </c>
      <c r="B119" t="s">
        <v>129</v>
      </c>
      <c r="C119" t="s">
        <v>378</v>
      </c>
      <c r="D119" s="8">
        <v>40</v>
      </c>
      <c r="E119" s="8">
        <v>31</v>
      </c>
      <c r="F119" s="8">
        <v>28</v>
      </c>
      <c r="G119" s="8">
        <f t="shared" si="80"/>
        <v>33</v>
      </c>
      <c r="H119" s="8">
        <f t="shared" si="81"/>
        <v>13.84</v>
      </c>
      <c r="I119" s="8">
        <f t="shared" si="76"/>
        <v>10.725999999999999</v>
      </c>
      <c r="J119" s="8">
        <f t="shared" si="76"/>
        <v>9.6879999999999988</v>
      </c>
      <c r="K119" s="8">
        <v>19</v>
      </c>
      <c r="L119" s="8">
        <v>19</v>
      </c>
      <c r="M119" s="8">
        <v>19</v>
      </c>
      <c r="N119" s="8"/>
      <c r="O119" s="94">
        <f t="shared" si="77"/>
        <v>0.72842105263157897</v>
      </c>
      <c r="P119" s="94">
        <f t="shared" si="78"/>
        <v>0.56452631578947365</v>
      </c>
      <c r="Q119" s="94">
        <f t="shared" si="79"/>
        <v>0.50989473684210518</v>
      </c>
      <c r="R119" s="94">
        <f t="shared" si="82"/>
        <v>0.60094736842105256</v>
      </c>
    </row>
    <row r="120" spans="1:18">
      <c r="D120" s="118" t="s">
        <v>159</v>
      </c>
      <c r="E120" s="118"/>
      <c r="F120" s="118"/>
      <c r="G120" s="118"/>
      <c r="H120" s="118" t="s">
        <v>163</v>
      </c>
      <c r="I120" s="118"/>
      <c r="J120" s="118"/>
      <c r="K120" s="118" t="s">
        <v>173</v>
      </c>
      <c r="L120" s="118"/>
      <c r="M120" s="118"/>
      <c r="N120" s="8"/>
      <c r="O120" s="120" t="s">
        <v>146</v>
      </c>
      <c r="P120" s="120"/>
      <c r="Q120" s="120"/>
      <c r="R120" s="120"/>
    </row>
    <row r="121" spans="1:18">
      <c r="A121" t="s">
        <v>150</v>
      </c>
      <c r="B121" t="s">
        <v>381</v>
      </c>
      <c r="C121" t="s">
        <v>382</v>
      </c>
      <c r="D121" s="8">
        <v>9550</v>
      </c>
      <c r="E121" s="8">
        <v>6680</v>
      </c>
      <c r="F121" s="8">
        <v>4680</v>
      </c>
      <c r="G121" s="8">
        <f>SUM(D121:F121)/3</f>
        <v>6970</v>
      </c>
      <c r="H121" s="8">
        <f>D121*0.454</f>
        <v>4335.7</v>
      </c>
      <c r="I121" s="8">
        <f t="shared" ref="I121:J128" si="83">E121*0.454</f>
        <v>3032.7200000000003</v>
      </c>
      <c r="J121" s="8">
        <f t="shared" si="83"/>
        <v>2124.7200000000003</v>
      </c>
      <c r="K121" s="97">
        <v>60000</v>
      </c>
      <c r="L121" s="97">
        <v>60000</v>
      </c>
      <c r="M121" s="97">
        <v>60000</v>
      </c>
      <c r="N121" s="8"/>
      <c r="O121" s="94">
        <f t="shared" si="77"/>
        <v>7.2261666666666668E-2</v>
      </c>
      <c r="P121" s="94">
        <f t="shared" ref="P121:P128" si="84">I121/L121</f>
        <v>5.0545333333333338E-2</v>
      </c>
      <c r="Q121" s="94">
        <f t="shared" ref="Q121:Q128" si="85">J121/M121</f>
        <v>3.5412000000000006E-2</v>
      </c>
      <c r="R121" s="94">
        <f>SUM(O121:Q121)/3</f>
        <v>5.2739666666666664E-2</v>
      </c>
    </row>
    <row r="122" spans="1:18">
      <c r="A122" t="s">
        <v>151</v>
      </c>
      <c r="B122" t="s">
        <v>381</v>
      </c>
      <c r="C122" t="s">
        <v>382</v>
      </c>
      <c r="D122" s="8">
        <v>9550</v>
      </c>
      <c r="E122" s="8">
        <v>6680</v>
      </c>
      <c r="F122" s="8">
        <v>4680</v>
      </c>
      <c r="G122" s="8">
        <f t="shared" ref="G122:G128" si="86">SUM(D122:F122)/3</f>
        <v>6970</v>
      </c>
      <c r="H122" s="8">
        <f t="shared" ref="H122:H128" si="87">D122*0.454</f>
        <v>4335.7</v>
      </c>
      <c r="I122" s="8">
        <f t="shared" si="83"/>
        <v>3032.7200000000003</v>
      </c>
      <c r="J122" s="8">
        <f t="shared" si="83"/>
        <v>2124.7200000000003</v>
      </c>
      <c r="K122" s="97">
        <v>60000</v>
      </c>
      <c r="L122" s="97">
        <v>60000</v>
      </c>
      <c r="M122" s="97">
        <v>60000</v>
      </c>
      <c r="N122" s="8"/>
      <c r="O122" s="94">
        <f t="shared" si="77"/>
        <v>7.2261666666666668E-2</v>
      </c>
      <c r="P122" s="94">
        <f t="shared" si="84"/>
        <v>5.0545333333333338E-2</v>
      </c>
      <c r="Q122" s="94">
        <f t="shared" si="85"/>
        <v>3.5412000000000006E-2</v>
      </c>
      <c r="R122" s="94">
        <f t="shared" ref="R122:R128" si="88">SUM(O122:Q122)/3</f>
        <v>5.2739666666666664E-2</v>
      </c>
    </row>
    <row r="123" spans="1:18">
      <c r="A123" t="s">
        <v>152</v>
      </c>
      <c r="B123" t="s">
        <v>381</v>
      </c>
      <c r="C123" t="s">
        <v>382</v>
      </c>
      <c r="D123" s="8">
        <v>9550</v>
      </c>
      <c r="E123" s="8">
        <v>6680</v>
      </c>
      <c r="F123" s="8">
        <v>4680</v>
      </c>
      <c r="G123" s="8">
        <f t="shared" si="86"/>
        <v>6970</v>
      </c>
      <c r="H123" s="8">
        <f t="shared" si="87"/>
        <v>4335.7</v>
      </c>
      <c r="I123" s="8">
        <f t="shared" si="83"/>
        <v>3032.7200000000003</v>
      </c>
      <c r="J123" s="8">
        <f t="shared" si="83"/>
        <v>2124.7200000000003</v>
      </c>
      <c r="K123" s="97">
        <v>60000</v>
      </c>
      <c r="L123" s="97">
        <v>60000</v>
      </c>
      <c r="M123" s="97">
        <v>60000</v>
      </c>
      <c r="N123" s="8"/>
      <c r="O123" s="94">
        <f t="shared" si="77"/>
        <v>7.2261666666666668E-2</v>
      </c>
      <c r="P123" s="94">
        <f t="shared" si="84"/>
        <v>5.0545333333333338E-2</v>
      </c>
      <c r="Q123" s="94">
        <f t="shared" si="85"/>
        <v>3.5412000000000006E-2</v>
      </c>
      <c r="R123" s="94">
        <f t="shared" si="88"/>
        <v>5.2739666666666664E-2</v>
      </c>
    </row>
    <row r="124" spans="1:18">
      <c r="A124" t="s">
        <v>153</v>
      </c>
      <c r="B124" t="s">
        <v>381</v>
      </c>
      <c r="C124" t="s">
        <v>382</v>
      </c>
      <c r="D124" s="8">
        <v>9550</v>
      </c>
      <c r="E124" s="8">
        <v>6680</v>
      </c>
      <c r="F124" s="8">
        <v>4680</v>
      </c>
      <c r="G124" s="8">
        <f t="shared" si="86"/>
        <v>6970</v>
      </c>
      <c r="H124" s="8">
        <f t="shared" si="87"/>
        <v>4335.7</v>
      </c>
      <c r="I124" s="8">
        <f t="shared" si="83"/>
        <v>3032.7200000000003</v>
      </c>
      <c r="J124" s="8">
        <f t="shared" si="83"/>
        <v>2124.7200000000003</v>
      </c>
      <c r="K124" s="97">
        <v>60000</v>
      </c>
      <c r="L124" s="97">
        <v>60000</v>
      </c>
      <c r="M124" s="97">
        <v>60000</v>
      </c>
      <c r="N124" s="8"/>
      <c r="O124" s="94">
        <f t="shared" si="77"/>
        <v>7.2261666666666668E-2</v>
      </c>
      <c r="P124" s="94">
        <f t="shared" si="84"/>
        <v>5.0545333333333338E-2</v>
      </c>
      <c r="Q124" s="94">
        <f t="shared" si="85"/>
        <v>3.5412000000000006E-2</v>
      </c>
      <c r="R124" s="94">
        <f t="shared" si="88"/>
        <v>5.2739666666666664E-2</v>
      </c>
    </row>
    <row r="125" spans="1:18">
      <c r="A125" t="s">
        <v>154</v>
      </c>
      <c r="B125" t="s">
        <v>381</v>
      </c>
      <c r="C125" t="s">
        <v>382</v>
      </c>
      <c r="D125" s="8">
        <v>9550</v>
      </c>
      <c r="E125" s="8">
        <v>6680</v>
      </c>
      <c r="F125" s="8">
        <v>4680</v>
      </c>
      <c r="G125" s="8">
        <f t="shared" si="86"/>
        <v>6970</v>
      </c>
      <c r="H125" s="8">
        <f t="shared" si="87"/>
        <v>4335.7</v>
      </c>
      <c r="I125" s="8">
        <f t="shared" si="83"/>
        <v>3032.7200000000003</v>
      </c>
      <c r="J125" s="8">
        <f t="shared" si="83"/>
        <v>2124.7200000000003</v>
      </c>
      <c r="K125" s="97">
        <v>60000</v>
      </c>
      <c r="L125" s="97">
        <v>60000</v>
      </c>
      <c r="M125" s="97">
        <v>60000</v>
      </c>
      <c r="N125" s="8"/>
      <c r="O125" s="94">
        <f t="shared" si="77"/>
        <v>7.2261666666666668E-2</v>
      </c>
      <c r="P125" s="94">
        <f t="shared" si="84"/>
        <v>5.0545333333333338E-2</v>
      </c>
      <c r="Q125" s="94">
        <f t="shared" si="85"/>
        <v>3.5412000000000006E-2</v>
      </c>
      <c r="R125" s="94">
        <f t="shared" si="88"/>
        <v>5.2739666666666664E-2</v>
      </c>
    </row>
    <row r="126" spans="1:18">
      <c r="A126" t="s">
        <v>155</v>
      </c>
      <c r="B126" t="s">
        <v>381</v>
      </c>
      <c r="C126" t="s">
        <v>382</v>
      </c>
      <c r="D126" s="8">
        <v>9550</v>
      </c>
      <c r="E126" s="8">
        <v>6680</v>
      </c>
      <c r="F126" s="8">
        <v>4680</v>
      </c>
      <c r="G126" s="8">
        <f t="shared" si="86"/>
        <v>6970</v>
      </c>
      <c r="H126" s="8">
        <f t="shared" si="87"/>
        <v>4335.7</v>
      </c>
      <c r="I126" s="8">
        <f t="shared" si="83"/>
        <v>3032.7200000000003</v>
      </c>
      <c r="J126" s="8">
        <f t="shared" si="83"/>
        <v>2124.7200000000003</v>
      </c>
      <c r="K126" s="97">
        <v>60000</v>
      </c>
      <c r="L126" s="97">
        <v>60000</v>
      </c>
      <c r="M126" s="97">
        <v>60000</v>
      </c>
      <c r="N126" s="8"/>
      <c r="O126" s="94">
        <f t="shared" si="77"/>
        <v>7.2261666666666668E-2</v>
      </c>
      <c r="P126" s="94">
        <f t="shared" si="84"/>
        <v>5.0545333333333338E-2</v>
      </c>
      <c r="Q126" s="94">
        <f t="shared" si="85"/>
        <v>3.5412000000000006E-2</v>
      </c>
      <c r="R126" s="94">
        <f t="shared" si="88"/>
        <v>5.2739666666666664E-2</v>
      </c>
    </row>
    <row r="127" spans="1:18">
      <c r="A127" t="s">
        <v>156</v>
      </c>
      <c r="B127" t="s">
        <v>381</v>
      </c>
      <c r="C127" t="s">
        <v>382</v>
      </c>
      <c r="D127" s="8">
        <v>9550</v>
      </c>
      <c r="E127" s="8">
        <v>6680</v>
      </c>
      <c r="F127" s="8">
        <v>4680</v>
      </c>
      <c r="G127" s="8">
        <f t="shared" si="86"/>
        <v>6970</v>
      </c>
      <c r="H127" s="8">
        <f t="shared" si="87"/>
        <v>4335.7</v>
      </c>
      <c r="I127" s="8">
        <f t="shared" si="83"/>
        <v>3032.7200000000003</v>
      </c>
      <c r="J127" s="8">
        <f t="shared" si="83"/>
        <v>2124.7200000000003</v>
      </c>
      <c r="K127" s="97">
        <v>60000</v>
      </c>
      <c r="L127" s="97">
        <v>60000</v>
      </c>
      <c r="M127" s="97">
        <v>60000</v>
      </c>
      <c r="N127" s="8"/>
      <c r="O127" s="94">
        <f t="shared" si="77"/>
        <v>7.2261666666666668E-2</v>
      </c>
      <c r="P127" s="94">
        <f t="shared" si="84"/>
        <v>5.0545333333333338E-2</v>
      </c>
      <c r="Q127" s="94">
        <f t="shared" si="85"/>
        <v>3.5412000000000006E-2</v>
      </c>
      <c r="R127" s="94">
        <f t="shared" si="88"/>
        <v>5.2739666666666664E-2</v>
      </c>
    </row>
    <row r="128" spans="1:18">
      <c r="A128" t="s">
        <v>157</v>
      </c>
      <c r="B128" t="s">
        <v>381</v>
      </c>
      <c r="C128" t="s">
        <v>382</v>
      </c>
      <c r="D128" s="8">
        <v>9550</v>
      </c>
      <c r="E128" s="8">
        <v>6680</v>
      </c>
      <c r="F128" s="8">
        <v>4680</v>
      </c>
      <c r="G128" s="8">
        <f t="shared" si="86"/>
        <v>6970</v>
      </c>
      <c r="H128" s="8">
        <f t="shared" si="87"/>
        <v>4335.7</v>
      </c>
      <c r="I128" s="8">
        <f t="shared" si="83"/>
        <v>3032.7200000000003</v>
      </c>
      <c r="J128" s="8">
        <f t="shared" si="83"/>
        <v>2124.7200000000003</v>
      </c>
      <c r="K128" s="97">
        <v>60000</v>
      </c>
      <c r="L128" s="97">
        <v>60000</v>
      </c>
      <c r="M128" s="97">
        <v>60000</v>
      </c>
      <c r="N128" s="8"/>
      <c r="O128" s="94">
        <f t="shared" si="77"/>
        <v>7.2261666666666668E-2</v>
      </c>
      <c r="P128" s="94">
        <f t="shared" si="84"/>
        <v>5.0545333333333338E-2</v>
      </c>
      <c r="Q128" s="94">
        <f t="shared" si="85"/>
        <v>3.5412000000000006E-2</v>
      </c>
      <c r="R128" s="94">
        <f t="shared" si="88"/>
        <v>5.2739666666666664E-2</v>
      </c>
    </row>
    <row r="129" spans="1:18">
      <c r="D129" s="118" t="s">
        <v>159</v>
      </c>
      <c r="E129" s="118"/>
      <c r="F129" s="118"/>
      <c r="G129" s="118"/>
      <c r="H129" s="118" t="s">
        <v>163</v>
      </c>
      <c r="I129" s="118"/>
      <c r="J129" s="118"/>
      <c r="K129" s="118" t="s">
        <v>173</v>
      </c>
      <c r="L129" s="118"/>
      <c r="M129" s="118"/>
      <c r="N129" s="8"/>
      <c r="O129" s="120" t="s">
        <v>146</v>
      </c>
      <c r="P129" s="120"/>
      <c r="Q129" s="120"/>
      <c r="R129" s="120"/>
    </row>
    <row r="130" spans="1:18">
      <c r="A130" t="s">
        <v>150</v>
      </c>
      <c r="B130" t="s">
        <v>381</v>
      </c>
      <c r="C130" t="s">
        <v>383</v>
      </c>
      <c r="D130" s="8">
        <v>9460</v>
      </c>
      <c r="E130" s="8">
        <v>6620</v>
      </c>
      <c r="F130" s="8">
        <v>4640</v>
      </c>
      <c r="G130" s="8">
        <f>SUM(D130:F130)/3</f>
        <v>6906.666666666667</v>
      </c>
      <c r="H130" s="8">
        <f>D130*0.454</f>
        <v>4294.84</v>
      </c>
      <c r="I130" s="8">
        <f>E130*0.454</f>
        <v>3005.48</v>
      </c>
      <c r="J130" s="8">
        <f>F130*0.454</f>
        <v>2106.56</v>
      </c>
      <c r="K130" s="97">
        <v>160000</v>
      </c>
      <c r="L130" s="97">
        <v>160000</v>
      </c>
      <c r="M130" s="97">
        <v>160000</v>
      </c>
      <c r="N130" s="8"/>
      <c r="O130" s="94">
        <f t="shared" si="77"/>
        <v>2.6842750000000002E-2</v>
      </c>
      <c r="P130" s="94">
        <f t="shared" ref="P130:P137" si="89">I130/L130</f>
        <v>1.8784249999999999E-2</v>
      </c>
      <c r="Q130" s="94">
        <f t="shared" ref="Q130:Q137" si="90">J130/M130</f>
        <v>1.3165999999999999E-2</v>
      </c>
      <c r="R130" s="94">
        <f>SUM(O130:Q130)/3</f>
        <v>1.9597666666666666E-2</v>
      </c>
    </row>
    <row r="131" spans="1:18">
      <c r="A131" t="s">
        <v>151</v>
      </c>
      <c r="B131" t="s">
        <v>381</v>
      </c>
      <c r="C131" t="s">
        <v>383</v>
      </c>
      <c r="D131" s="8">
        <v>9460</v>
      </c>
      <c r="E131" s="8">
        <v>6620</v>
      </c>
      <c r="F131" s="8">
        <v>4640</v>
      </c>
      <c r="G131" s="8">
        <f t="shared" ref="G131:G137" si="91">SUM(D131:F131)/3</f>
        <v>6906.666666666667</v>
      </c>
      <c r="H131" s="8">
        <f t="shared" ref="H131:H137" si="92">D131*0.454</f>
        <v>4294.84</v>
      </c>
      <c r="I131" s="8">
        <f t="shared" ref="I131:I137" si="93">E131*0.454</f>
        <v>3005.48</v>
      </c>
      <c r="J131" s="8">
        <f t="shared" ref="J131:J137" si="94">F131*0.454</f>
        <v>2106.56</v>
      </c>
      <c r="K131" s="97">
        <v>160000</v>
      </c>
      <c r="L131" s="97">
        <v>160000</v>
      </c>
      <c r="M131" s="97">
        <v>160000</v>
      </c>
      <c r="N131" s="8"/>
      <c r="O131" s="94">
        <f t="shared" si="77"/>
        <v>2.6842750000000002E-2</v>
      </c>
      <c r="P131" s="94">
        <f t="shared" si="89"/>
        <v>1.8784249999999999E-2</v>
      </c>
      <c r="Q131" s="94">
        <f t="shared" si="90"/>
        <v>1.3165999999999999E-2</v>
      </c>
      <c r="R131" s="94">
        <f t="shared" ref="R131:R137" si="95">SUM(O131:Q131)/3</f>
        <v>1.9597666666666666E-2</v>
      </c>
    </row>
    <row r="132" spans="1:18">
      <c r="A132" t="s">
        <v>152</v>
      </c>
      <c r="B132" t="s">
        <v>381</v>
      </c>
      <c r="C132" t="s">
        <v>383</v>
      </c>
      <c r="D132" s="8">
        <v>9460</v>
      </c>
      <c r="E132" s="8">
        <v>6620</v>
      </c>
      <c r="F132" s="8">
        <v>4640</v>
      </c>
      <c r="G132" s="8">
        <f t="shared" si="91"/>
        <v>6906.666666666667</v>
      </c>
      <c r="H132" s="8">
        <f t="shared" si="92"/>
        <v>4294.84</v>
      </c>
      <c r="I132" s="8">
        <f t="shared" si="93"/>
        <v>3005.48</v>
      </c>
      <c r="J132" s="8">
        <f t="shared" si="94"/>
        <v>2106.56</v>
      </c>
      <c r="K132" s="97">
        <v>160000</v>
      </c>
      <c r="L132" s="97">
        <v>160000</v>
      </c>
      <c r="M132" s="97">
        <v>160000</v>
      </c>
      <c r="N132" s="8"/>
      <c r="O132" s="94">
        <f t="shared" si="77"/>
        <v>2.6842750000000002E-2</v>
      </c>
      <c r="P132" s="94">
        <f t="shared" si="89"/>
        <v>1.8784249999999999E-2</v>
      </c>
      <c r="Q132" s="94">
        <f t="shared" si="90"/>
        <v>1.3165999999999999E-2</v>
      </c>
      <c r="R132" s="94">
        <f t="shared" si="95"/>
        <v>1.9597666666666666E-2</v>
      </c>
    </row>
    <row r="133" spans="1:18">
      <c r="A133" t="s">
        <v>153</v>
      </c>
      <c r="B133" t="s">
        <v>381</v>
      </c>
      <c r="C133" t="s">
        <v>383</v>
      </c>
      <c r="D133" s="8">
        <v>9460</v>
      </c>
      <c r="E133" s="8">
        <v>6620</v>
      </c>
      <c r="F133" s="8">
        <v>4640</v>
      </c>
      <c r="G133" s="8">
        <f t="shared" si="91"/>
        <v>6906.666666666667</v>
      </c>
      <c r="H133" s="8">
        <f t="shared" si="92"/>
        <v>4294.84</v>
      </c>
      <c r="I133" s="8">
        <f t="shared" si="93"/>
        <v>3005.48</v>
      </c>
      <c r="J133" s="8">
        <f t="shared" si="94"/>
        <v>2106.56</v>
      </c>
      <c r="K133" s="97">
        <v>160000</v>
      </c>
      <c r="L133" s="97">
        <v>160000</v>
      </c>
      <c r="M133" s="97">
        <v>160000</v>
      </c>
      <c r="N133" s="8"/>
      <c r="O133" s="94">
        <f t="shared" si="77"/>
        <v>2.6842750000000002E-2</v>
      </c>
      <c r="P133" s="94">
        <f t="shared" si="89"/>
        <v>1.8784249999999999E-2</v>
      </c>
      <c r="Q133" s="94">
        <f t="shared" si="90"/>
        <v>1.3165999999999999E-2</v>
      </c>
      <c r="R133" s="94">
        <f t="shared" si="95"/>
        <v>1.9597666666666666E-2</v>
      </c>
    </row>
    <row r="134" spans="1:18">
      <c r="A134" t="s">
        <v>154</v>
      </c>
      <c r="B134" t="s">
        <v>381</v>
      </c>
      <c r="C134" t="s">
        <v>383</v>
      </c>
      <c r="D134" s="8">
        <v>9460</v>
      </c>
      <c r="E134" s="8">
        <v>6620</v>
      </c>
      <c r="F134" s="8">
        <v>4640</v>
      </c>
      <c r="G134" s="8">
        <f t="shared" si="91"/>
        <v>6906.666666666667</v>
      </c>
      <c r="H134" s="8">
        <f t="shared" si="92"/>
        <v>4294.84</v>
      </c>
      <c r="I134" s="8">
        <f t="shared" si="93"/>
        <v>3005.48</v>
      </c>
      <c r="J134" s="8">
        <f t="shared" si="94"/>
        <v>2106.56</v>
      </c>
      <c r="K134" s="97">
        <v>160000</v>
      </c>
      <c r="L134" s="97">
        <v>160000</v>
      </c>
      <c r="M134" s="97">
        <v>160000</v>
      </c>
      <c r="N134" s="8"/>
      <c r="O134" s="94">
        <f t="shared" si="77"/>
        <v>2.6842750000000002E-2</v>
      </c>
      <c r="P134" s="94">
        <f t="shared" si="89"/>
        <v>1.8784249999999999E-2</v>
      </c>
      <c r="Q134" s="94">
        <f t="shared" si="90"/>
        <v>1.3165999999999999E-2</v>
      </c>
      <c r="R134" s="94">
        <f t="shared" si="95"/>
        <v>1.9597666666666666E-2</v>
      </c>
    </row>
    <row r="135" spans="1:18">
      <c r="A135" t="s">
        <v>155</v>
      </c>
      <c r="B135" t="s">
        <v>381</v>
      </c>
      <c r="C135" t="s">
        <v>383</v>
      </c>
      <c r="D135" s="8">
        <v>9460</v>
      </c>
      <c r="E135" s="8">
        <v>6620</v>
      </c>
      <c r="F135" s="8">
        <v>4640</v>
      </c>
      <c r="G135" s="8">
        <f t="shared" si="91"/>
        <v>6906.666666666667</v>
      </c>
      <c r="H135" s="8">
        <f t="shared" si="92"/>
        <v>4294.84</v>
      </c>
      <c r="I135" s="8">
        <f t="shared" si="93"/>
        <v>3005.48</v>
      </c>
      <c r="J135" s="8">
        <f t="shared" si="94"/>
        <v>2106.56</v>
      </c>
      <c r="K135" s="97">
        <v>160000</v>
      </c>
      <c r="L135" s="97">
        <v>160000</v>
      </c>
      <c r="M135" s="97">
        <v>160000</v>
      </c>
      <c r="N135" s="8"/>
      <c r="O135" s="94">
        <f t="shared" si="77"/>
        <v>2.6842750000000002E-2</v>
      </c>
      <c r="P135" s="94">
        <f t="shared" si="89"/>
        <v>1.8784249999999999E-2</v>
      </c>
      <c r="Q135" s="94">
        <f t="shared" si="90"/>
        <v>1.3165999999999999E-2</v>
      </c>
      <c r="R135" s="94">
        <f t="shared" si="95"/>
        <v>1.9597666666666666E-2</v>
      </c>
    </row>
    <row r="136" spans="1:18">
      <c r="A136" t="s">
        <v>156</v>
      </c>
      <c r="B136" t="s">
        <v>381</v>
      </c>
      <c r="C136" t="s">
        <v>383</v>
      </c>
      <c r="D136" s="8">
        <v>9460</v>
      </c>
      <c r="E136" s="8">
        <v>6620</v>
      </c>
      <c r="F136" s="8">
        <v>4640</v>
      </c>
      <c r="G136" s="8">
        <f t="shared" si="91"/>
        <v>6906.666666666667</v>
      </c>
      <c r="H136" s="8">
        <f t="shared" si="92"/>
        <v>4294.84</v>
      </c>
      <c r="I136" s="8">
        <f t="shared" si="93"/>
        <v>3005.48</v>
      </c>
      <c r="J136" s="8">
        <f t="shared" si="94"/>
        <v>2106.56</v>
      </c>
      <c r="K136" s="97">
        <v>160000</v>
      </c>
      <c r="L136" s="97">
        <v>160000</v>
      </c>
      <c r="M136" s="97">
        <v>160000</v>
      </c>
      <c r="N136" s="8"/>
      <c r="O136" s="94">
        <f t="shared" si="77"/>
        <v>2.6842750000000002E-2</v>
      </c>
      <c r="P136" s="94">
        <f t="shared" si="89"/>
        <v>1.8784249999999999E-2</v>
      </c>
      <c r="Q136" s="94">
        <f t="shared" si="90"/>
        <v>1.3165999999999999E-2</v>
      </c>
      <c r="R136" s="94">
        <f t="shared" si="95"/>
        <v>1.9597666666666666E-2</v>
      </c>
    </row>
    <row r="137" spans="1:18">
      <c r="A137" t="s">
        <v>157</v>
      </c>
      <c r="B137" t="s">
        <v>381</v>
      </c>
      <c r="C137" t="s">
        <v>383</v>
      </c>
      <c r="D137" s="8">
        <v>9460</v>
      </c>
      <c r="E137" s="8">
        <v>6620</v>
      </c>
      <c r="F137" s="8">
        <v>4640</v>
      </c>
      <c r="G137" s="8">
        <f t="shared" si="91"/>
        <v>6906.666666666667</v>
      </c>
      <c r="H137" s="8">
        <f t="shared" si="92"/>
        <v>4294.84</v>
      </c>
      <c r="I137" s="8">
        <f t="shared" si="93"/>
        <v>3005.48</v>
      </c>
      <c r="J137" s="8">
        <f t="shared" si="94"/>
        <v>2106.56</v>
      </c>
      <c r="K137" s="97">
        <v>160000</v>
      </c>
      <c r="L137" s="97">
        <v>160000</v>
      </c>
      <c r="M137" s="97">
        <v>160000</v>
      </c>
      <c r="N137" s="8"/>
      <c r="O137" s="94">
        <f t="shared" si="77"/>
        <v>2.6842750000000002E-2</v>
      </c>
      <c r="P137" s="94">
        <f t="shared" si="89"/>
        <v>1.8784249999999999E-2</v>
      </c>
      <c r="Q137" s="94">
        <f t="shared" si="90"/>
        <v>1.3165999999999999E-2</v>
      </c>
      <c r="R137" s="94">
        <f t="shared" si="95"/>
        <v>1.9597666666666666E-2</v>
      </c>
    </row>
  </sheetData>
  <dataConsolidate/>
  <mergeCells count="53">
    <mergeCell ref="D93:G93"/>
    <mergeCell ref="D120:G120"/>
    <mergeCell ref="H120:J120"/>
    <mergeCell ref="K120:M120"/>
    <mergeCell ref="O120:R120"/>
    <mergeCell ref="D129:G129"/>
    <mergeCell ref="H129:J129"/>
    <mergeCell ref="K129:M129"/>
    <mergeCell ref="O129:R129"/>
    <mergeCell ref="D111:G111"/>
    <mergeCell ref="H111:J111"/>
    <mergeCell ref="K111:M111"/>
    <mergeCell ref="O111:R111"/>
    <mergeCell ref="H84:J84"/>
    <mergeCell ref="K84:M84"/>
    <mergeCell ref="O84:R84"/>
    <mergeCell ref="D75:G75"/>
    <mergeCell ref="H75:J75"/>
    <mergeCell ref="K75:M75"/>
    <mergeCell ref="O75:R75"/>
    <mergeCell ref="D84:G84"/>
    <mergeCell ref="D57:G57"/>
    <mergeCell ref="H57:J57"/>
    <mergeCell ref="K57:M57"/>
    <mergeCell ref="O57:R57"/>
    <mergeCell ref="D66:G66"/>
    <mergeCell ref="H66:J66"/>
    <mergeCell ref="K66:M66"/>
    <mergeCell ref="O66:R66"/>
    <mergeCell ref="O48:R48"/>
    <mergeCell ref="O3:R3"/>
    <mergeCell ref="O12:R12"/>
    <mergeCell ref="O21:R21"/>
    <mergeCell ref="O30:R30"/>
    <mergeCell ref="O39:R39"/>
    <mergeCell ref="K3:M3"/>
    <mergeCell ref="K12:M12"/>
    <mergeCell ref="K21:M21"/>
    <mergeCell ref="D12:G12"/>
    <mergeCell ref="D21:G21"/>
    <mergeCell ref="H12:J12"/>
    <mergeCell ref="H21:J21"/>
    <mergeCell ref="D30:G30"/>
    <mergeCell ref="D39:G39"/>
    <mergeCell ref="D48:G48"/>
    <mergeCell ref="D3:G3"/>
    <mergeCell ref="H3:J3"/>
    <mergeCell ref="K30:M30"/>
    <mergeCell ref="K39:M39"/>
    <mergeCell ref="K48:M48"/>
    <mergeCell ref="H30:J30"/>
    <mergeCell ref="H39:J39"/>
    <mergeCell ref="H48:J4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38A5-160A-3748-9CE3-8959EE482687}">
  <dimension ref="B3:D13"/>
  <sheetViews>
    <sheetView topLeftCell="B1" zoomScale="112" workbookViewId="0">
      <selection activeCell="B12" sqref="B12"/>
    </sheetView>
  </sheetViews>
  <sheetFormatPr baseColWidth="10" defaultRowHeight="14.4"/>
  <cols>
    <col min="2" max="2" width="20.68359375" customWidth="1"/>
    <col min="3" max="3" width="17.15625" customWidth="1"/>
    <col min="4" max="4" width="65.47265625" customWidth="1"/>
  </cols>
  <sheetData>
    <row r="3" spans="2:4">
      <c r="B3" s="7" t="s">
        <v>143</v>
      </c>
      <c r="C3" s="7" t="s">
        <v>145</v>
      </c>
    </row>
    <row r="4" spans="2:4">
      <c r="B4" s="7" t="s">
        <v>144</v>
      </c>
      <c r="C4" s="7" t="s">
        <v>146</v>
      </c>
    </row>
    <row r="5" spans="2:4">
      <c r="B5" s="7" t="s">
        <v>168</v>
      </c>
      <c r="C5" s="7" t="s">
        <v>169</v>
      </c>
    </row>
    <row r="6" spans="2:4">
      <c r="B6" s="7" t="s">
        <v>170</v>
      </c>
      <c r="C6" s="7" t="s">
        <v>171</v>
      </c>
    </row>
    <row r="9" spans="2:4">
      <c r="B9" s="7" t="s">
        <v>166</v>
      </c>
    </row>
    <row r="10" spans="2:4" ht="15" customHeight="1">
      <c r="B10" s="7" t="s">
        <v>372</v>
      </c>
      <c r="C10" s="121" t="s">
        <v>374</v>
      </c>
      <c r="D10" s="121"/>
    </row>
    <row r="11" spans="2:4">
      <c r="B11" s="96" t="s">
        <v>371</v>
      </c>
      <c r="C11" s="121"/>
      <c r="D11" s="121"/>
    </row>
    <row r="12" spans="2:4" ht="29.05" customHeight="1">
      <c r="B12" s="96" t="s">
        <v>377</v>
      </c>
      <c r="C12" s="122" t="s">
        <v>373</v>
      </c>
      <c r="D12" s="122"/>
    </row>
    <row r="13" spans="2:4">
      <c r="B13" s="96" t="s">
        <v>379</v>
      </c>
      <c r="C13" s="103" t="s">
        <v>380</v>
      </c>
      <c r="D13" s="103"/>
    </row>
  </sheetData>
  <mergeCells count="2">
    <mergeCell ref="C10:D11"/>
    <mergeCell ref="C12:D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CBC3-F824-EA45-8E13-C9B28194C627}">
  <dimension ref="A1:L34"/>
  <sheetViews>
    <sheetView topLeftCell="B1" zoomScale="200" workbookViewId="0">
      <selection activeCell="M1" sqref="M1"/>
    </sheetView>
  </sheetViews>
  <sheetFormatPr baseColWidth="10" defaultRowHeight="14.4"/>
  <cols>
    <col min="1" max="1" width="25.15625" customWidth="1"/>
    <col min="2" max="2" width="0.3125" customWidth="1"/>
    <col min="3" max="3" width="16.3125" customWidth="1"/>
    <col min="4" max="4" width="7.3125" customWidth="1"/>
    <col min="5" max="5" width="7" customWidth="1"/>
    <col min="6" max="6" width="6.83984375" customWidth="1"/>
    <col min="7" max="7" width="7.83984375" customWidth="1"/>
    <col min="8" max="8" width="7" customWidth="1"/>
    <col min="9" max="9" width="6.3125" customWidth="1"/>
    <col min="10" max="10" width="7.3125" customWidth="1"/>
  </cols>
  <sheetData>
    <row r="1" spans="1:12">
      <c r="B1" s="44"/>
      <c r="C1" s="44"/>
      <c r="D1" s="44"/>
      <c r="E1" s="44"/>
      <c r="F1" s="44"/>
      <c r="G1" s="44"/>
      <c r="H1" s="44"/>
      <c r="I1" s="44"/>
      <c r="J1" s="44" t="s">
        <v>249</v>
      </c>
      <c r="L1" t="s">
        <v>250</v>
      </c>
    </row>
    <row r="2" spans="1:12" ht="32.4">
      <c r="A2" s="47" t="s">
        <v>249</v>
      </c>
      <c r="B2" s="43"/>
      <c r="C2" s="40" t="s">
        <v>248</v>
      </c>
      <c r="D2" s="42" t="s">
        <v>247</v>
      </c>
      <c r="E2" s="42" t="s">
        <v>246</v>
      </c>
      <c r="F2" s="42" t="s">
        <v>245</v>
      </c>
      <c r="G2" s="41" t="s">
        <v>244</v>
      </c>
      <c r="H2" s="40" t="s">
        <v>243</v>
      </c>
      <c r="I2" s="39" t="s">
        <v>242</v>
      </c>
      <c r="J2" s="39" t="s">
        <v>241</v>
      </c>
      <c r="K2" s="45"/>
    </row>
    <row r="3" spans="1:12">
      <c r="A3" s="38" t="s">
        <v>240</v>
      </c>
      <c r="B3" s="13"/>
      <c r="C3" s="37" t="s">
        <v>239</v>
      </c>
      <c r="D3" s="35">
        <v>0.01</v>
      </c>
      <c r="E3" s="35">
        <v>0</v>
      </c>
      <c r="F3" s="34">
        <v>1E-3</v>
      </c>
      <c r="G3" s="36">
        <v>2E-3</v>
      </c>
      <c r="H3" s="35">
        <v>2E-3</v>
      </c>
      <c r="I3" s="34">
        <v>0</v>
      </c>
      <c r="J3" s="34">
        <v>0</v>
      </c>
    </row>
    <row r="4" spans="1:12">
      <c r="A4" s="14" t="s">
        <v>238</v>
      </c>
      <c r="B4" s="13"/>
      <c r="C4" s="12" t="s">
        <v>237</v>
      </c>
      <c r="D4" s="10">
        <v>3.0000000000000001E-3</v>
      </c>
      <c r="E4" s="10">
        <v>0</v>
      </c>
      <c r="F4" s="9">
        <v>1E-3</v>
      </c>
      <c r="G4" s="11">
        <v>7.0000000000000001E-3</v>
      </c>
      <c r="H4" s="10">
        <v>1.4E-2</v>
      </c>
      <c r="I4" s="9">
        <v>3.0000000000000001E-3</v>
      </c>
      <c r="J4" s="9">
        <v>0</v>
      </c>
    </row>
    <row r="5" spans="1:12">
      <c r="A5" s="14" t="s">
        <v>236</v>
      </c>
      <c r="B5" s="13"/>
      <c r="C5" s="12" t="s">
        <v>235</v>
      </c>
      <c r="D5" s="10">
        <v>2E-3</v>
      </c>
      <c r="E5" s="10">
        <v>0</v>
      </c>
      <c r="F5" s="9">
        <v>0</v>
      </c>
      <c r="G5" s="11">
        <v>1E-3</v>
      </c>
      <c r="H5" s="10">
        <v>7.0000000000000001E-3</v>
      </c>
      <c r="I5" s="9">
        <v>0</v>
      </c>
      <c r="J5" s="9">
        <v>0</v>
      </c>
    </row>
    <row r="6" spans="1:12">
      <c r="A6" s="14" t="s">
        <v>234</v>
      </c>
      <c r="B6" s="13"/>
      <c r="C6" s="12" t="s">
        <v>233</v>
      </c>
      <c r="D6" s="10">
        <v>0</v>
      </c>
      <c r="E6" s="10">
        <v>0</v>
      </c>
      <c r="F6" s="9">
        <v>0</v>
      </c>
      <c r="G6" s="11">
        <v>0</v>
      </c>
      <c r="H6" s="10">
        <v>0</v>
      </c>
      <c r="I6" s="9">
        <v>0</v>
      </c>
      <c r="J6" s="9">
        <v>0</v>
      </c>
    </row>
    <row r="7" spans="1:12">
      <c r="A7" s="14" t="s">
        <v>232</v>
      </c>
      <c r="B7" s="13"/>
      <c r="C7" s="12" t="s">
        <v>231</v>
      </c>
      <c r="D7" s="10">
        <v>1E-3</v>
      </c>
      <c r="E7" s="10">
        <v>0</v>
      </c>
      <c r="F7" s="9">
        <v>0</v>
      </c>
      <c r="G7" s="11">
        <v>8.0000000000000002E-3</v>
      </c>
      <c r="H7" s="10">
        <v>1E-3</v>
      </c>
      <c r="I7" s="9">
        <v>2E-3</v>
      </c>
      <c r="J7" s="9">
        <v>2.5999999999999999E-2</v>
      </c>
    </row>
    <row r="8" spans="1:12">
      <c r="A8" s="14" t="s">
        <v>230</v>
      </c>
      <c r="B8" s="13"/>
      <c r="C8" s="12" t="s">
        <v>229</v>
      </c>
      <c r="D8" s="10">
        <v>7.0000000000000001E-3</v>
      </c>
      <c r="E8" s="10">
        <v>2E-3</v>
      </c>
      <c r="F8" s="9">
        <v>6.0000000000000001E-3</v>
      </c>
      <c r="G8" s="11">
        <v>0</v>
      </c>
      <c r="H8" s="10">
        <v>0</v>
      </c>
      <c r="I8" s="9">
        <v>0</v>
      </c>
      <c r="J8" s="9">
        <v>0</v>
      </c>
    </row>
    <row r="9" spans="1:12">
      <c r="A9" s="14" t="s">
        <v>228</v>
      </c>
      <c r="B9" s="13"/>
      <c r="C9" s="12" t="s">
        <v>227</v>
      </c>
      <c r="D9" s="10">
        <v>1E-3</v>
      </c>
      <c r="E9" s="10">
        <v>0</v>
      </c>
      <c r="F9" s="9">
        <v>0</v>
      </c>
      <c r="G9" s="11">
        <v>4.0000000000000001E-3</v>
      </c>
      <c r="H9" s="10">
        <v>0</v>
      </c>
      <c r="I9" s="9">
        <v>0</v>
      </c>
      <c r="J9" s="9">
        <v>0</v>
      </c>
    </row>
    <row r="10" spans="1:12">
      <c r="A10" s="14" t="s">
        <v>226</v>
      </c>
      <c r="B10" s="13"/>
      <c r="C10" s="12" t="s">
        <v>225</v>
      </c>
      <c r="D10" s="10">
        <v>2E-3</v>
      </c>
      <c r="E10" s="10">
        <v>1E-3</v>
      </c>
      <c r="F10" s="9">
        <v>0</v>
      </c>
      <c r="G10" s="11">
        <v>3.0000000000000001E-3</v>
      </c>
      <c r="H10" s="10">
        <v>0</v>
      </c>
      <c r="I10" s="9">
        <v>0</v>
      </c>
      <c r="J10" s="9">
        <v>0</v>
      </c>
    </row>
    <row r="11" spans="1:12">
      <c r="A11" s="14" t="s">
        <v>224</v>
      </c>
      <c r="B11" s="13"/>
      <c r="C11" s="12" t="s">
        <v>207</v>
      </c>
      <c r="D11" s="10">
        <v>8.9999999999999993E-3</v>
      </c>
      <c r="E11" s="10">
        <v>0</v>
      </c>
      <c r="F11" s="9">
        <v>2E-3</v>
      </c>
      <c r="G11" s="11">
        <v>3.0000000000000001E-3</v>
      </c>
      <c r="H11" s="10">
        <v>0</v>
      </c>
      <c r="I11" s="9">
        <v>0</v>
      </c>
      <c r="J11" s="9">
        <v>0</v>
      </c>
    </row>
    <row r="12" spans="1:12">
      <c r="A12" s="14" t="s">
        <v>223</v>
      </c>
      <c r="B12" s="13"/>
      <c r="C12" s="12" t="s">
        <v>222</v>
      </c>
      <c r="D12" s="10">
        <v>1.4E-2</v>
      </c>
      <c r="E12" s="10">
        <v>0</v>
      </c>
      <c r="F12" s="9">
        <v>0</v>
      </c>
      <c r="G12" s="11">
        <v>4.0000000000000001E-3</v>
      </c>
      <c r="H12" s="10">
        <v>7.0000000000000001E-3</v>
      </c>
      <c r="I12" s="9">
        <v>0</v>
      </c>
      <c r="J12" s="9">
        <v>0</v>
      </c>
    </row>
    <row r="13" spans="1:12">
      <c r="A13" s="14" t="s">
        <v>221</v>
      </c>
      <c r="B13" s="13"/>
      <c r="C13" s="12" t="s">
        <v>220</v>
      </c>
      <c r="D13" s="10">
        <v>0</v>
      </c>
      <c r="E13" s="10">
        <v>0</v>
      </c>
      <c r="F13" s="9">
        <v>0</v>
      </c>
      <c r="G13" s="11">
        <v>1E-3</v>
      </c>
      <c r="H13" s="10">
        <v>0</v>
      </c>
      <c r="I13" s="9">
        <v>0</v>
      </c>
      <c r="J13" s="9">
        <v>0.19700000000000001</v>
      </c>
    </row>
    <row r="14" spans="1:12">
      <c r="A14" s="14" t="s">
        <v>219</v>
      </c>
      <c r="B14" s="13"/>
      <c r="C14" s="12" t="s">
        <v>218</v>
      </c>
      <c r="D14" s="10">
        <v>2E-3</v>
      </c>
      <c r="E14" s="10">
        <v>0</v>
      </c>
      <c r="F14" s="9">
        <v>0</v>
      </c>
      <c r="G14" s="11">
        <v>2E-3</v>
      </c>
      <c r="H14" s="10">
        <v>2E-3</v>
      </c>
      <c r="I14" s="9">
        <v>0</v>
      </c>
      <c r="J14" s="9">
        <v>0</v>
      </c>
    </row>
    <row r="15" spans="1:12">
      <c r="A15" s="14" t="s">
        <v>217</v>
      </c>
      <c r="B15" s="13"/>
      <c r="C15" s="12" t="s">
        <v>216</v>
      </c>
      <c r="D15" s="10">
        <v>5.0000000000000001E-3</v>
      </c>
      <c r="E15" s="10">
        <v>0</v>
      </c>
      <c r="F15" s="9">
        <v>8.0000000000000002E-3</v>
      </c>
      <c r="G15" s="11">
        <v>0</v>
      </c>
      <c r="H15" s="10">
        <v>0</v>
      </c>
      <c r="I15" s="9">
        <v>0</v>
      </c>
      <c r="J15" s="9">
        <v>0</v>
      </c>
    </row>
    <row r="16" spans="1:12">
      <c r="A16" s="14" t="s">
        <v>215</v>
      </c>
      <c r="B16" s="13"/>
      <c r="C16" s="12" t="s">
        <v>214</v>
      </c>
      <c r="D16" s="10">
        <v>2E-3</v>
      </c>
      <c r="E16" s="10">
        <v>0</v>
      </c>
      <c r="F16" s="9">
        <v>4.0000000000000001E-3</v>
      </c>
      <c r="G16" s="11">
        <v>2.3E-2</v>
      </c>
      <c r="H16" s="10">
        <v>1.4999999999999999E-2</v>
      </c>
      <c r="I16" s="9">
        <v>0</v>
      </c>
      <c r="J16" s="9">
        <v>0</v>
      </c>
    </row>
    <row r="17" spans="1:10">
      <c r="A17" s="14" t="s">
        <v>213</v>
      </c>
      <c r="B17" s="13"/>
      <c r="C17" s="12" t="s">
        <v>212</v>
      </c>
      <c r="D17" s="10">
        <v>1E-3</v>
      </c>
      <c r="E17" s="10">
        <v>0</v>
      </c>
      <c r="F17" s="9">
        <v>0</v>
      </c>
      <c r="G17" s="11">
        <v>0</v>
      </c>
      <c r="H17" s="12" t="s">
        <v>211</v>
      </c>
      <c r="I17" s="9">
        <v>1E-3</v>
      </c>
      <c r="J17" s="9">
        <v>4.0000000000000001E-3</v>
      </c>
    </row>
    <row r="18" spans="1:10">
      <c r="A18" s="14" t="s">
        <v>210</v>
      </c>
      <c r="B18" s="13"/>
      <c r="C18" s="12" t="s">
        <v>209</v>
      </c>
      <c r="D18" s="10">
        <v>3.0000000000000001E-3</v>
      </c>
      <c r="E18" s="10">
        <v>0</v>
      </c>
      <c r="F18" s="9">
        <v>0</v>
      </c>
      <c r="G18" s="11">
        <v>0</v>
      </c>
      <c r="H18" s="10">
        <v>1E-3</v>
      </c>
      <c r="I18" s="9">
        <v>1E-3</v>
      </c>
      <c r="J18" s="9">
        <v>1.4E-2</v>
      </c>
    </row>
    <row r="19" spans="1:10">
      <c r="A19" s="14" t="s">
        <v>208</v>
      </c>
      <c r="B19" s="13"/>
      <c r="C19" s="12" t="s">
        <v>207</v>
      </c>
      <c r="D19" s="10">
        <v>0.01</v>
      </c>
      <c r="E19" s="10">
        <v>0</v>
      </c>
      <c r="F19" s="9">
        <v>0</v>
      </c>
      <c r="G19" s="11">
        <v>1E-3</v>
      </c>
      <c r="H19" s="10">
        <v>2E-3</v>
      </c>
      <c r="I19" s="9">
        <v>0</v>
      </c>
      <c r="J19" s="9">
        <v>0</v>
      </c>
    </row>
    <row r="20" spans="1:10">
      <c r="A20" s="14" t="s">
        <v>206</v>
      </c>
      <c r="B20" s="13"/>
      <c r="C20" s="12" t="s">
        <v>205</v>
      </c>
      <c r="D20" s="10">
        <v>8.9999999999999993E-3</v>
      </c>
      <c r="E20" s="10">
        <v>0</v>
      </c>
      <c r="F20" s="9">
        <v>1E-3</v>
      </c>
      <c r="G20" s="11">
        <v>4.0000000000000001E-3</v>
      </c>
      <c r="H20" s="10">
        <v>0.02</v>
      </c>
      <c r="I20" s="9">
        <v>0</v>
      </c>
      <c r="J20" s="9">
        <v>0</v>
      </c>
    </row>
    <row r="21" spans="1:10">
      <c r="A21" s="14" t="s">
        <v>204</v>
      </c>
      <c r="B21" s="13"/>
      <c r="C21" s="12" t="s">
        <v>203</v>
      </c>
      <c r="D21" s="10">
        <v>1E-3</v>
      </c>
      <c r="E21" s="10">
        <v>0</v>
      </c>
      <c r="F21" s="9">
        <v>0</v>
      </c>
      <c r="G21" s="11">
        <v>1E-3</v>
      </c>
      <c r="H21" s="10">
        <v>4.3999999999999997E-2</v>
      </c>
      <c r="I21" s="9">
        <v>0</v>
      </c>
      <c r="J21" s="9">
        <v>2E-3</v>
      </c>
    </row>
    <row r="22" spans="1:10">
      <c r="A22" s="14" t="s">
        <v>202</v>
      </c>
      <c r="B22" s="13"/>
      <c r="C22" s="12" t="s">
        <v>201</v>
      </c>
      <c r="D22" s="10">
        <v>1E-3</v>
      </c>
      <c r="E22" s="10">
        <v>0</v>
      </c>
      <c r="F22" s="9">
        <v>0</v>
      </c>
      <c r="G22" s="11">
        <v>0</v>
      </c>
      <c r="H22" s="10">
        <v>0</v>
      </c>
      <c r="I22" s="9">
        <v>0</v>
      </c>
      <c r="J22" s="9">
        <v>0</v>
      </c>
    </row>
    <row r="23" spans="1:10">
      <c r="A23" s="14" t="s">
        <v>200</v>
      </c>
      <c r="B23" s="13"/>
      <c r="C23" s="12" t="s">
        <v>199</v>
      </c>
      <c r="D23" s="10">
        <v>0</v>
      </c>
      <c r="E23" s="10">
        <v>0</v>
      </c>
      <c r="F23" s="9">
        <v>0</v>
      </c>
      <c r="G23" s="11">
        <v>0</v>
      </c>
      <c r="H23" s="10">
        <v>0</v>
      </c>
      <c r="I23" s="9">
        <v>0</v>
      </c>
      <c r="J23" s="9">
        <v>0.04</v>
      </c>
    </row>
    <row r="24" spans="1:10">
      <c r="A24" s="14" t="s">
        <v>198</v>
      </c>
      <c r="B24" s="13"/>
      <c r="C24" s="12" t="s">
        <v>197</v>
      </c>
      <c r="D24" s="10">
        <v>1E-3</v>
      </c>
      <c r="E24" s="10">
        <v>0</v>
      </c>
      <c r="F24" s="9">
        <v>0</v>
      </c>
      <c r="G24" s="11">
        <v>2E-3</v>
      </c>
      <c r="H24" s="10">
        <v>1.0999999999999999E-2</v>
      </c>
      <c r="I24" s="9">
        <v>0</v>
      </c>
      <c r="J24" s="9">
        <v>1.7999999999999999E-2</v>
      </c>
    </row>
    <row r="25" spans="1:10">
      <c r="A25" s="14" t="s">
        <v>196</v>
      </c>
      <c r="B25" s="13"/>
      <c r="C25" s="12" t="s">
        <v>195</v>
      </c>
      <c r="D25" s="10">
        <v>3.0000000000000001E-3</v>
      </c>
      <c r="E25" s="10">
        <v>0</v>
      </c>
      <c r="F25" s="9">
        <v>0</v>
      </c>
      <c r="G25" s="11">
        <v>2E-3</v>
      </c>
      <c r="H25" s="10">
        <v>3.0000000000000001E-3</v>
      </c>
      <c r="I25" s="9">
        <v>0</v>
      </c>
      <c r="J25" s="9">
        <v>0</v>
      </c>
    </row>
    <row r="26" spans="1:10">
      <c r="A26" s="14" t="s">
        <v>194</v>
      </c>
      <c r="B26" s="13"/>
      <c r="C26" s="12" t="s">
        <v>193</v>
      </c>
      <c r="D26" s="10">
        <v>3.0000000000000001E-3</v>
      </c>
      <c r="E26" s="10">
        <v>0</v>
      </c>
      <c r="F26" s="9">
        <v>2E-3</v>
      </c>
      <c r="G26" s="11">
        <v>2E-3</v>
      </c>
      <c r="H26" s="10">
        <v>3.0000000000000001E-3</v>
      </c>
      <c r="I26" s="9">
        <v>0</v>
      </c>
      <c r="J26" s="9">
        <v>0</v>
      </c>
    </row>
    <row r="27" spans="1:10">
      <c r="A27" s="14" t="s">
        <v>192</v>
      </c>
      <c r="B27" s="13"/>
      <c r="C27" s="33" t="s">
        <v>191</v>
      </c>
      <c r="D27" s="31">
        <v>1.4E-2</v>
      </c>
      <c r="E27" s="31">
        <v>0</v>
      </c>
      <c r="F27" s="30">
        <v>0</v>
      </c>
      <c r="G27" s="32">
        <v>1.4999999999999999E-2</v>
      </c>
      <c r="H27" s="31">
        <v>0</v>
      </c>
      <c r="I27" s="30">
        <v>6.0000000000000001E-3</v>
      </c>
      <c r="J27" s="30">
        <v>0</v>
      </c>
    </row>
    <row r="28" spans="1:10">
      <c r="A28" s="29" t="s">
        <v>190</v>
      </c>
      <c r="B28" s="28"/>
      <c r="C28" s="27" t="s">
        <v>189</v>
      </c>
      <c r="D28" s="24">
        <v>6.0000000000000001E-3</v>
      </c>
      <c r="E28" s="26">
        <v>1E-4</v>
      </c>
      <c r="F28" s="22">
        <v>2E-3</v>
      </c>
      <c r="G28" s="25">
        <v>6.0000000000000001E-3</v>
      </c>
      <c r="H28" s="24">
        <v>8.0000000000000002E-3</v>
      </c>
      <c r="I28" s="23">
        <v>2.9999999999999997E-4</v>
      </c>
      <c r="J28" s="22">
        <v>8.0000000000000002E-3</v>
      </c>
    </row>
    <row r="29" spans="1:10">
      <c r="A29" s="21" t="s">
        <v>188</v>
      </c>
      <c r="B29" s="13"/>
      <c r="C29" s="20" t="s">
        <v>187</v>
      </c>
      <c r="D29" s="18">
        <v>1.2999999999999999E-2</v>
      </c>
      <c r="E29" s="18">
        <v>0</v>
      </c>
      <c r="F29" s="17">
        <v>0</v>
      </c>
      <c r="G29" s="19">
        <v>0.01</v>
      </c>
      <c r="H29" s="18">
        <v>0</v>
      </c>
      <c r="I29" s="17">
        <v>0</v>
      </c>
      <c r="J29" s="17">
        <v>0</v>
      </c>
    </row>
    <row r="30" spans="1:10">
      <c r="A30" s="16" t="s">
        <v>186</v>
      </c>
      <c r="B30" s="13"/>
      <c r="C30" s="12" t="s">
        <v>185</v>
      </c>
      <c r="D30" s="10">
        <v>2.8000000000000001E-2</v>
      </c>
      <c r="E30" s="10">
        <v>1E-3</v>
      </c>
      <c r="F30" s="9">
        <v>0</v>
      </c>
      <c r="G30" s="11">
        <v>1E-3</v>
      </c>
      <c r="H30" s="10">
        <v>0</v>
      </c>
      <c r="I30" s="9">
        <v>0</v>
      </c>
      <c r="J30" s="9">
        <v>0</v>
      </c>
    </row>
    <row r="31" spans="1:10">
      <c r="A31" s="15" t="s">
        <v>184</v>
      </c>
      <c r="B31" s="13"/>
      <c r="C31" s="12" t="s">
        <v>183</v>
      </c>
      <c r="D31" s="10">
        <v>8.0000000000000002E-3</v>
      </c>
      <c r="E31" s="10">
        <v>0</v>
      </c>
      <c r="F31" s="9">
        <v>1E-3</v>
      </c>
      <c r="G31" s="11">
        <v>6.0000000000000001E-3</v>
      </c>
      <c r="H31" s="10">
        <v>0</v>
      </c>
      <c r="I31" s="9">
        <v>0</v>
      </c>
      <c r="J31" s="9">
        <v>1E-3</v>
      </c>
    </row>
    <row r="32" spans="1:10">
      <c r="A32" s="14" t="s">
        <v>182</v>
      </c>
      <c r="B32" s="13"/>
      <c r="C32" s="12" t="s">
        <v>181</v>
      </c>
      <c r="D32" s="10">
        <v>6.0000000000000001E-3</v>
      </c>
      <c r="E32" s="10">
        <v>0</v>
      </c>
      <c r="F32" s="9">
        <v>2E-3</v>
      </c>
      <c r="G32" s="11">
        <v>0</v>
      </c>
      <c r="H32" s="10">
        <v>0</v>
      </c>
      <c r="I32" s="9">
        <v>1E-3</v>
      </c>
      <c r="J32" s="9">
        <v>0</v>
      </c>
    </row>
    <row r="33" spans="1:10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>
      <c r="A34" s="44"/>
      <c r="B34" s="44"/>
      <c r="C34" s="44"/>
      <c r="D34" s="44"/>
      <c r="E34" s="44"/>
      <c r="F34" s="44"/>
      <c r="G34" s="44"/>
      <c r="H34" s="44"/>
      <c r="I34" s="44"/>
      <c r="J34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BEDF-2CD1-3D4A-B533-A4431AAB9FCF}">
  <dimension ref="A1:J33"/>
  <sheetViews>
    <sheetView workbookViewId="0">
      <selection activeCell="A2" sqref="A2"/>
    </sheetView>
  </sheetViews>
  <sheetFormatPr baseColWidth="10" defaultRowHeight="14.4"/>
  <cols>
    <col min="1" max="1" width="33.15625" customWidth="1"/>
    <col min="2" max="2" width="0.3125" customWidth="1"/>
    <col min="3" max="3" width="16.3125" customWidth="1"/>
    <col min="4" max="5" width="7.15625" customWidth="1"/>
    <col min="6" max="6" width="6.83984375" customWidth="1"/>
    <col min="7" max="7" width="7.83984375" customWidth="1"/>
    <col min="8" max="8" width="7.15625" customWidth="1"/>
    <col min="9" max="9" width="6.15625" customWidth="1"/>
    <col min="10" max="10" width="7.3125" customWidth="1"/>
  </cols>
  <sheetData>
    <row r="1" spans="1:10">
      <c r="B1" s="44"/>
      <c r="C1" s="44"/>
      <c r="D1" s="44"/>
      <c r="E1" s="44"/>
      <c r="F1" s="44">
        <v>2021</v>
      </c>
      <c r="H1" t="s">
        <v>250</v>
      </c>
    </row>
    <row r="2" spans="1:10" ht="32.4">
      <c r="A2" s="48" t="s">
        <v>281</v>
      </c>
      <c r="B2" s="43"/>
      <c r="C2" s="40" t="s">
        <v>248</v>
      </c>
      <c r="D2" s="42" t="s">
        <v>247</v>
      </c>
      <c r="E2" s="42" t="s">
        <v>246</v>
      </c>
      <c r="F2" s="42" t="s">
        <v>245</v>
      </c>
      <c r="G2" s="41" t="s">
        <v>244</v>
      </c>
      <c r="H2" s="40" t="s">
        <v>243</v>
      </c>
      <c r="I2" s="39" t="s">
        <v>242</v>
      </c>
      <c r="J2" s="39" t="s">
        <v>241</v>
      </c>
    </row>
    <row r="3" spans="1:10">
      <c r="A3" s="38" t="s">
        <v>240</v>
      </c>
      <c r="B3" s="13"/>
      <c r="C3" s="37" t="s">
        <v>251</v>
      </c>
      <c r="D3" s="35">
        <v>0</v>
      </c>
      <c r="E3" s="35">
        <v>0</v>
      </c>
      <c r="F3" s="34">
        <v>0</v>
      </c>
      <c r="G3" s="36">
        <v>3.0000000000000001E-3</v>
      </c>
      <c r="H3" s="35">
        <v>0</v>
      </c>
      <c r="I3" s="34">
        <v>0</v>
      </c>
      <c r="J3" s="34">
        <v>0</v>
      </c>
    </row>
    <row r="4" spans="1:10">
      <c r="A4" s="14" t="s">
        <v>238</v>
      </c>
      <c r="B4" s="13"/>
      <c r="C4" s="12" t="s">
        <v>252</v>
      </c>
      <c r="D4" s="10">
        <v>0</v>
      </c>
      <c r="E4" s="10">
        <v>0</v>
      </c>
      <c r="F4" s="9">
        <v>0</v>
      </c>
      <c r="G4" s="11">
        <v>8.0000000000000002E-3</v>
      </c>
      <c r="H4" s="10">
        <v>1E-3</v>
      </c>
      <c r="I4" s="9">
        <v>2.7E-2</v>
      </c>
      <c r="J4" s="9">
        <v>0</v>
      </c>
    </row>
    <row r="5" spans="1:10">
      <c r="A5" s="14" t="s">
        <v>236</v>
      </c>
      <c r="B5" s="13"/>
      <c r="C5" s="12" t="s">
        <v>253</v>
      </c>
      <c r="D5" s="10">
        <v>0</v>
      </c>
      <c r="E5" s="10">
        <v>0</v>
      </c>
      <c r="F5" s="9">
        <v>0</v>
      </c>
      <c r="G5" s="11">
        <v>0</v>
      </c>
      <c r="H5" s="10">
        <v>0</v>
      </c>
      <c r="I5" s="9">
        <v>0</v>
      </c>
      <c r="J5" s="9">
        <v>0</v>
      </c>
    </row>
    <row r="6" spans="1:10">
      <c r="A6" s="14" t="s">
        <v>234</v>
      </c>
      <c r="B6" s="13"/>
      <c r="C6" s="12" t="s">
        <v>254</v>
      </c>
      <c r="D6" s="10">
        <v>0</v>
      </c>
      <c r="E6" s="10">
        <v>0</v>
      </c>
      <c r="F6" s="9">
        <v>0</v>
      </c>
      <c r="G6" s="11">
        <v>0</v>
      </c>
      <c r="H6" s="10">
        <v>0</v>
      </c>
      <c r="I6" s="9">
        <v>0</v>
      </c>
      <c r="J6" s="9">
        <v>0</v>
      </c>
    </row>
    <row r="7" spans="1:10">
      <c r="A7" s="14" t="s">
        <v>232</v>
      </c>
      <c r="B7" s="13"/>
      <c r="C7" s="12" t="s">
        <v>255</v>
      </c>
      <c r="D7" s="10">
        <v>2.7E-2</v>
      </c>
      <c r="E7" s="10">
        <v>0</v>
      </c>
      <c r="F7" s="9">
        <v>0</v>
      </c>
      <c r="G7" s="11">
        <v>3.0000000000000001E-3</v>
      </c>
      <c r="H7" s="10">
        <v>0</v>
      </c>
      <c r="I7" s="9">
        <v>0</v>
      </c>
      <c r="J7" s="9">
        <v>2.3E-2</v>
      </c>
    </row>
    <row r="8" spans="1:10">
      <c r="A8" s="14" t="s">
        <v>230</v>
      </c>
      <c r="B8" s="13"/>
      <c r="C8" s="12" t="s">
        <v>256</v>
      </c>
      <c r="D8" s="10">
        <v>1E-3</v>
      </c>
      <c r="E8" s="10">
        <v>0</v>
      </c>
      <c r="F8" s="9">
        <v>0</v>
      </c>
      <c r="G8" s="11">
        <v>8.0000000000000002E-3</v>
      </c>
      <c r="H8" s="10">
        <v>0</v>
      </c>
      <c r="I8" s="9">
        <v>0</v>
      </c>
      <c r="J8" s="9">
        <v>0</v>
      </c>
    </row>
    <row r="9" spans="1:10">
      <c r="A9" s="14" t="s">
        <v>228</v>
      </c>
      <c r="B9" s="13"/>
      <c r="C9" s="12" t="s">
        <v>257</v>
      </c>
      <c r="D9" s="10">
        <v>0</v>
      </c>
      <c r="E9" s="10">
        <v>0</v>
      </c>
      <c r="F9" s="9">
        <v>0</v>
      </c>
      <c r="G9" s="11">
        <v>2E-3</v>
      </c>
      <c r="H9" s="10">
        <v>0</v>
      </c>
      <c r="I9" s="9">
        <v>0</v>
      </c>
      <c r="J9" s="9">
        <v>0</v>
      </c>
    </row>
    <row r="10" spans="1:10">
      <c r="A10" s="14" t="s">
        <v>226</v>
      </c>
      <c r="B10" s="13"/>
      <c r="C10" s="12" t="s">
        <v>258</v>
      </c>
      <c r="D10" s="10">
        <v>0</v>
      </c>
      <c r="E10" s="10">
        <v>0</v>
      </c>
      <c r="F10" s="9">
        <v>0</v>
      </c>
      <c r="G10" s="11">
        <v>4.0000000000000001E-3</v>
      </c>
      <c r="H10" s="10">
        <v>0</v>
      </c>
      <c r="I10" s="9">
        <v>2E-3</v>
      </c>
      <c r="J10" s="9">
        <v>0</v>
      </c>
    </row>
    <row r="11" spans="1:10">
      <c r="A11" s="14" t="s">
        <v>224</v>
      </c>
      <c r="B11" s="13"/>
      <c r="C11" s="12" t="s">
        <v>259</v>
      </c>
      <c r="D11" s="10">
        <v>0</v>
      </c>
      <c r="E11" s="10">
        <v>0</v>
      </c>
      <c r="F11" s="9">
        <v>0</v>
      </c>
      <c r="G11" s="11">
        <v>1.4E-2</v>
      </c>
      <c r="H11" s="10">
        <v>0</v>
      </c>
      <c r="I11" s="9">
        <v>0</v>
      </c>
      <c r="J11" s="9">
        <v>0</v>
      </c>
    </row>
    <row r="12" spans="1:10">
      <c r="A12" s="14" t="s">
        <v>223</v>
      </c>
      <c r="B12" s="13"/>
      <c r="C12" s="12" t="s">
        <v>260</v>
      </c>
      <c r="D12" s="10">
        <v>1E-3</v>
      </c>
      <c r="E12" s="10">
        <v>0</v>
      </c>
      <c r="F12" s="9">
        <v>0</v>
      </c>
      <c r="G12" s="11">
        <v>2E-3</v>
      </c>
      <c r="H12" s="10">
        <v>0</v>
      </c>
      <c r="I12" s="9">
        <v>1E-3</v>
      </c>
      <c r="J12" s="9">
        <v>0</v>
      </c>
    </row>
    <row r="13" spans="1:10">
      <c r="A13" s="14" t="s">
        <v>221</v>
      </c>
      <c r="B13" s="13"/>
      <c r="C13" s="12" t="s">
        <v>261</v>
      </c>
      <c r="D13" s="10">
        <v>0</v>
      </c>
      <c r="E13" s="10">
        <v>0</v>
      </c>
      <c r="F13" s="9">
        <v>0</v>
      </c>
      <c r="G13" s="11">
        <v>0</v>
      </c>
      <c r="H13" s="10">
        <v>0</v>
      </c>
      <c r="I13" s="9">
        <v>0</v>
      </c>
      <c r="J13" s="9">
        <v>0.436</v>
      </c>
    </row>
    <row r="14" spans="1:10">
      <c r="A14" s="14" t="s">
        <v>219</v>
      </c>
      <c r="B14" s="13"/>
      <c r="C14" s="12" t="s">
        <v>262</v>
      </c>
      <c r="D14" s="10">
        <v>0</v>
      </c>
      <c r="E14" s="10">
        <v>0</v>
      </c>
      <c r="F14" s="9">
        <v>0</v>
      </c>
      <c r="G14" s="11">
        <v>1E-3</v>
      </c>
      <c r="H14" s="10">
        <v>0</v>
      </c>
      <c r="I14" s="9">
        <v>0</v>
      </c>
      <c r="J14" s="9">
        <v>0</v>
      </c>
    </row>
    <row r="15" spans="1:10">
      <c r="A15" s="14" t="s">
        <v>217</v>
      </c>
      <c r="B15" s="13"/>
      <c r="C15" s="12" t="s">
        <v>263</v>
      </c>
      <c r="D15" s="10">
        <v>0</v>
      </c>
      <c r="E15" s="10">
        <v>0</v>
      </c>
      <c r="F15" s="9">
        <v>0</v>
      </c>
      <c r="G15" s="11">
        <v>1E-3</v>
      </c>
      <c r="H15" s="10">
        <v>0</v>
      </c>
      <c r="I15" s="9">
        <v>0</v>
      </c>
      <c r="J15" s="9">
        <v>0</v>
      </c>
    </row>
    <row r="16" spans="1:10">
      <c r="A16" s="14" t="s">
        <v>215</v>
      </c>
      <c r="B16" s="13"/>
      <c r="C16" s="12" t="s">
        <v>264</v>
      </c>
      <c r="D16" s="10">
        <v>0</v>
      </c>
      <c r="E16" s="10">
        <v>0</v>
      </c>
      <c r="F16" s="9">
        <v>0</v>
      </c>
      <c r="G16" s="11">
        <v>7.0000000000000001E-3</v>
      </c>
      <c r="H16" s="10">
        <v>2E-3</v>
      </c>
      <c r="I16" s="9">
        <v>1E-3</v>
      </c>
      <c r="J16" s="9">
        <v>0</v>
      </c>
    </row>
    <row r="17" spans="1:10">
      <c r="A17" s="14" t="s">
        <v>213</v>
      </c>
      <c r="B17" s="13"/>
      <c r="C17" s="12" t="s">
        <v>265</v>
      </c>
      <c r="D17" s="10">
        <v>1E-3</v>
      </c>
      <c r="E17" s="10">
        <v>0</v>
      </c>
      <c r="F17" s="9">
        <v>0</v>
      </c>
      <c r="G17" s="11">
        <v>4.0000000000000001E-3</v>
      </c>
      <c r="H17" s="10">
        <v>0</v>
      </c>
      <c r="I17" s="9">
        <v>0</v>
      </c>
      <c r="J17" s="9">
        <v>8.9999999999999993E-3</v>
      </c>
    </row>
    <row r="18" spans="1:10">
      <c r="A18" s="14" t="s">
        <v>210</v>
      </c>
      <c r="B18" s="13"/>
      <c r="C18" s="12" t="s">
        <v>266</v>
      </c>
      <c r="D18" s="10">
        <v>0</v>
      </c>
      <c r="E18" s="10">
        <v>0</v>
      </c>
      <c r="F18" s="9">
        <v>0</v>
      </c>
      <c r="G18" s="11">
        <v>2E-3</v>
      </c>
      <c r="H18" s="10">
        <v>0</v>
      </c>
      <c r="I18" s="9">
        <v>0</v>
      </c>
      <c r="J18" s="9">
        <v>8.0000000000000002E-3</v>
      </c>
    </row>
    <row r="19" spans="1:10">
      <c r="A19" s="14" t="s">
        <v>208</v>
      </c>
      <c r="B19" s="13"/>
      <c r="C19" s="12" t="s">
        <v>267</v>
      </c>
      <c r="D19" s="10">
        <v>2E-3</v>
      </c>
      <c r="E19" s="10">
        <v>0</v>
      </c>
      <c r="F19" s="9">
        <v>0</v>
      </c>
      <c r="G19" s="11">
        <v>3.0000000000000001E-3</v>
      </c>
      <c r="H19" s="10">
        <v>2E-3</v>
      </c>
      <c r="I19" s="9">
        <v>0</v>
      </c>
      <c r="J19" s="9">
        <v>0</v>
      </c>
    </row>
    <row r="20" spans="1:10">
      <c r="A20" s="14" t="s">
        <v>206</v>
      </c>
      <c r="B20" s="13"/>
      <c r="C20" s="12" t="s">
        <v>268</v>
      </c>
      <c r="D20" s="10">
        <v>1E-3</v>
      </c>
      <c r="E20" s="10">
        <v>0</v>
      </c>
      <c r="F20" s="9">
        <v>0</v>
      </c>
      <c r="G20" s="11">
        <v>1.0999999999999999E-2</v>
      </c>
      <c r="H20" s="10">
        <v>2E-3</v>
      </c>
      <c r="I20" s="9">
        <v>0</v>
      </c>
      <c r="J20" s="9">
        <v>0</v>
      </c>
    </row>
    <row r="21" spans="1:10">
      <c r="A21" s="14" t="s">
        <v>204</v>
      </c>
      <c r="B21" s="13"/>
      <c r="C21" s="12" t="s">
        <v>269</v>
      </c>
      <c r="D21" s="10">
        <v>0</v>
      </c>
      <c r="E21" s="10">
        <v>0</v>
      </c>
      <c r="F21" s="9">
        <v>0</v>
      </c>
      <c r="G21" s="11">
        <v>1.4E-2</v>
      </c>
      <c r="H21" s="10">
        <v>2E-3</v>
      </c>
      <c r="I21" s="9">
        <v>0</v>
      </c>
      <c r="J21" s="9">
        <v>5.0000000000000001E-3</v>
      </c>
    </row>
    <row r="22" spans="1:10">
      <c r="A22" s="14" t="s">
        <v>202</v>
      </c>
      <c r="B22" s="13"/>
      <c r="C22" s="12" t="s">
        <v>270</v>
      </c>
      <c r="D22" s="10">
        <v>0</v>
      </c>
      <c r="E22" s="10">
        <v>0</v>
      </c>
      <c r="F22" s="9">
        <v>0</v>
      </c>
      <c r="G22" s="11">
        <v>3.0000000000000001E-3</v>
      </c>
      <c r="H22" s="10">
        <v>0</v>
      </c>
      <c r="I22" s="9">
        <v>0</v>
      </c>
      <c r="J22" s="9">
        <v>0</v>
      </c>
    </row>
    <row r="23" spans="1:10">
      <c r="A23" s="14" t="s">
        <v>200</v>
      </c>
      <c r="B23" s="13"/>
      <c r="C23" s="12" t="s">
        <v>271</v>
      </c>
      <c r="D23" s="10">
        <v>0</v>
      </c>
      <c r="E23" s="10">
        <v>0</v>
      </c>
      <c r="F23" s="9">
        <v>0</v>
      </c>
      <c r="G23" s="11">
        <v>1E-3</v>
      </c>
      <c r="H23" s="10">
        <v>0</v>
      </c>
      <c r="I23" s="9">
        <v>0</v>
      </c>
      <c r="J23" s="9">
        <v>0</v>
      </c>
    </row>
    <row r="24" spans="1:10">
      <c r="A24" s="14" t="s">
        <v>198</v>
      </c>
      <c r="B24" s="13"/>
      <c r="C24" s="12" t="s">
        <v>272</v>
      </c>
      <c r="D24" s="10">
        <v>0</v>
      </c>
      <c r="E24" s="10">
        <v>0</v>
      </c>
      <c r="F24" s="9">
        <v>0</v>
      </c>
      <c r="G24" s="11">
        <v>2E-3</v>
      </c>
      <c r="H24" s="10">
        <v>0</v>
      </c>
      <c r="I24" s="9">
        <v>0</v>
      </c>
      <c r="J24" s="9">
        <v>3.4000000000000002E-2</v>
      </c>
    </row>
    <row r="25" spans="1:10">
      <c r="A25" s="14" t="s">
        <v>196</v>
      </c>
      <c r="B25" s="13"/>
      <c r="C25" s="12" t="s">
        <v>273</v>
      </c>
      <c r="D25" s="10">
        <v>0</v>
      </c>
      <c r="E25" s="10">
        <v>0</v>
      </c>
      <c r="F25" s="9">
        <v>0</v>
      </c>
      <c r="G25" s="11">
        <v>4.0000000000000001E-3</v>
      </c>
      <c r="H25" s="10">
        <v>0</v>
      </c>
      <c r="I25" s="9">
        <v>0</v>
      </c>
      <c r="J25" s="9">
        <v>0</v>
      </c>
    </row>
    <row r="26" spans="1:10">
      <c r="A26" s="14" t="s">
        <v>194</v>
      </c>
      <c r="B26" s="13"/>
      <c r="C26" s="12" t="s">
        <v>274</v>
      </c>
      <c r="D26" s="10">
        <v>0</v>
      </c>
      <c r="E26" s="10">
        <v>0</v>
      </c>
      <c r="F26" s="9">
        <v>0</v>
      </c>
      <c r="G26" s="11">
        <v>8.0000000000000002E-3</v>
      </c>
      <c r="H26" s="10">
        <v>0</v>
      </c>
      <c r="I26" s="9">
        <v>0</v>
      </c>
      <c r="J26" s="9">
        <v>0</v>
      </c>
    </row>
    <row r="27" spans="1:10">
      <c r="A27" s="14" t="s">
        <v>192</v>
      </c>
      <c r="B27" s="13"/>
      <c r="C27" s="33" t="s">
        <v>275</v>
      </c>
      <c r="D27" s="31">
        <v>1E-3</v>
      </c>
      <c r="E27" s="31">
        <v>0</v>
      </c>
      <c r="F27" s="30">
        <v>0</v>
      </c>
      <c r="G27" s="32">
        <v>1.7000000000000001E-2</v>
      </c>
      <c r="H27" s="31">
        <v>0</v>
      </c>
      <c r="I27" s="30">
        <v>1E-3</v>
      </c>
      <c r="J27" s="30">
        <v>0</v>
      </c>
    </row>
    <row r="28" spans="1:10">
      <c r="A28" s="29" t="s">
        <v>190</v>
      </c>
      <c r="B28" s="28"/>
      <c r="C28" s="27" t="s">
        <v>276</v>
      </c>
      <c r="D28" s="24">
        <v>1E-3</v>
      </c>
      <c r="E28" s="46">
        <v>1.0000000000000001E-5</v>
      </c>
      <c r="F28" s="23">
        <v>2.0000000000000001E-4</v>
      </c>
      <c r="G28" s="25">
        <v>7.0000000000000001E-3</v>
      </c>
      <c r="H28" s="24">
        <v>1E-3</v>
      </c>
      <c r="I28" s="22">
        <v>1E-3</v>
      </c>
      <c r="J28" s="22">
        <v>2.1000000000000001E-2</v>
      </c>
    </row>
    <row r="29" spans="1:10">
      <c r="A29" s="21" t="s">
        <v>188</v>
      </c>
      <c r="B29" s="13"/>
      <c r="C29" s="20" t="s">
        <v>277</v>
      </c>
      <c r="D29" s="18">
        <v>0</v>
      </c>
      <c r="E29" s="18">
        <v>0</v>
      </c>
      <c r="F29" s="17">
        <v>0</v>
      </c>
      <c r="G29" s="19">
        <v>2E-3</v>
      </c>
      <c r="H29" s="18">
        <v>0</v>
      </c>
      <c r="I29" s="17">
        <v>0</v>
      </c>
      <c r="J29" s="17">
        <v>0</v>
      </c>
    </row>
    <row r="30" spans="1:10">
      <c r="A30" s="16" t="s">
        <v>186</v>
      </c>
      <c r="B30" s="13"/>
      <c r="C30" s="12" t="s">
        <v>278</v>
      </c>
      <c r="D30" s="10">
        <v>1E-3</v>
      </c>
      <c r="E30" s="10">
        <v>0</v>
      </c>
      <c r="F30" s="9">
        <v>0</v>
      </c>
      <c r="G30" s="11">
        <v>7.0000000000000001E-3</v>
      </c>
      <c r="H30" s="10">
        <v>0</v>
      </c>
      <c r="I30" s="9">
        <v>1E-3</v>
      </c>
      <c r="J30" s="9">
        <v>0</v>
      </c>
    </row>
    <row r="31" spans="1:10">
      <c r="A31" s="15" t="s">
        <v>184</v>
      </c>
      <c r="B31" s="13"/>
      <c r="C31" s="12" t="s">
        <v>279</v>
      </c>
      <c r="D31" s="10">
        <v>2E-3</v>
      </c>
      <c r="E31" s="10">
        <v>0</v>
      </c>
      <c r="F31" s="9">
        <v>0</v>
      </c>
      <c r="G31" s="11">
        <v>3.0000000000000001E-3</v>
      </c>
      <c r="H31" s="10">
        <v>0</v>
      </c>
      <c r="I31" s="9">
        <v>1E-3</v>
      </c>
      <c r="J31" s="9">
        <v>1E-3</v>
      </c>
    </row>
    <row r="32" spans="1:10">
      <c r="A32" s="14" t="s">
        <v>182</v>
      </c>
      <c r="B32" s="13"/>
      <c r="C32" s="12" t="s">
        <v>280</v>
      </c>
      <c r="D32" s="10">
        <v>1E-3</v>
      </c>
      <c r="E32" s="10">
        <v>0</v>
      </c>
      <c r="F32" s="9">
        <v>2E-3</v>
      </c>
      <c r="G32" s="11">
        <v>2E-3</v>
      </c>
      <c r="H32" s="10">
        <v>0</v>
      </c>
      <c r="I32" s="9">
        <v>0</v>
      </c>
      <c r="J32" s="9">
        <v>0</v>
      </c>
    </row>
    <row r="33" spans="1:10">
      <c r="A33" s="44"/>
      <c r="B33" s="44"/>
      <c r="C33" s="44"/>
      <c r="D33" s="44"/>
      <c r="E33" s="44"/>
      <c r="F33" s="44"/>
      <c r="G33" s="44"/>
      <c r="H33" s="44"/>
      <c r="I33" s="44"/>
      <c r="J33" s="4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5583-E6D2-EB45-8148-0244FE46F67A}">
  <dimension ref="A1:J33"/>
  <sheetViews>
    <sheetView topLeftCell="A2" zoomScale="161" workbookViewId="0">
      <selection activeCell="H36" sqref="H36"/>
    </sheetView>
  </sheetViews>
  <sheetFormatPr baseColWidth="10" defaultRowHeight="14.4"/>
  <cols>
    <col min="1" max="1" width="26.3125" customWidth="1"/>
    <col min="2" max="2" width="0.3125" customWidth="1"/>
    <col min="3" max="3" width="16.3125" customWidth="1"/>
    <col min="4" max="4" width="7.3125" customWidth="1"/>
    <col min="5" max="5" width="7" customWidth="1"/>
    <col min="6" max="6" width="6.83984375" customWidth="1"/>
    <col min="7" max="7" width="7.83984375" customWidth="1"/>
    <col min="8" max="8" width="7.15625" customWidth="1"/>
    <col min="9" max="9" width="6.15625" customWidth="1"/>
    <col min="10" max="10" width="7.3125" customWidth="1"/>
  </cols>
  <sheetData>
    <row r="1" spans="1:10">
      <c r="B1" s="44"/>
      <c r="C1" s="44"/>
      <c r="D1" s="44"/>
      <c r="E1" s="44"/>
      <c r="F1" s="44"/>
      <c r="G1" s="44"/>
      <c r="H1" s="44">
        <v>2021</v>
      </c>
      <c r="J1" t="s">
        <v>250</v>
      </c>
    </row>
    <row r="2" spans="1:10" ht="32.4">
      <c r="A2" s="47" t="s">
        <v>310</v>
      </c>
      <c r="B2" s="43"/>
      <c r="C2" s="40" t="s">
        <v>248</v>
      </c>
      <c r="D2" s="42" t="s">
        <v>247</v>
      </c>
      <c r="E2" s="42" t="s">
        <v>246</v>
      </c>
      <c r="F2" s="42" t="s">
        <v>245</v>
      </c>
      <c r="G2" s="41" t="s">
        <v>244</v>
      </c>
      <c r="H2" s="40" t="s">
        <v>243</v>
      </c>
      <c r="I2" s="39" t="s">
        <v>242</v>
      </c>
      <c r="J2" s="39" t="s">
        <v>241</v>
      </c>
    </row>
    <row r="3" spans="1:10">
      <c r="A3" s="38" t="s">
        <v>240</v>
      </c>
      <c r="B3" s="13"/>
      <c r="C3" s="37" t="s">
        <v>282</v>
      </c>
      <c r="D3" s="35">
        <v>1.7000000000000001E-2</v>
      </c>
      <c r="E3" s="35">
        <v>0</v>
      </c>
      <c r="F3" s="34">
        <v>1.7999999999999999E-2</v>
      </c>
      <c r="G3" s="35">
        <v>1.2E-2</v>
      </c>
      <c r="H3" s="35">
        <v>0</v>
      </c>
      <c r="I3" s="34">
        <v>2E-3</v>
      </c>
      <c r="J3" s="34">
        <v>0</v>
      </c>
    </row>
    <row r="4" spans="1:10">
      <c r="A4" s="14" t="s">
        <v>238</v>
      </c>
      <c r="B4" s="13"/>
      <c r="C4" s="12" t="s">
        <v>283</v>
      </c>
      <c r="D4" s="10">
        <v>6.0000000000000001E-3</v>
      </c>
      <c r="E4" s="10">
        <v>0</v>
      </c>
      <c r="F4" s="9">
        <v>0.1</v>
      </c>
      <c r="G4" s="10">
        <v>2E-3</v>
      </c>
      <c r="H4" s="10">
        <v>0</v>
      </c>
      <c r="I4" s="9">
        <v>5.0000000000000001E-3</v>
      </c>
      <c r="J4" s="9">
        <v>0</v>
      </c>
    </row>
    <row r="5" spans="1:10">
      <c r="A5" s="14" t="s">
        <v>236</v>
      </c>
      <c r="B5" s="13"/>
      <c r="C5" s="12" t="s">
        <v>284</v>
      </c>
      <c r="D5" s="10">
        <v>1E-3</v>
      </c>
      <c r="E5" s="10">
        <v>0</v>
      </c>
      <c r="F5" s="9">
        <v>0</v>
      </c>
      <c r="G5" s="10">
        <v>2.7E-2</v>
      </c>
      <c r="H5" s="10">
        <v>1E-3</v>
      </c>
      <c r="I5" s="9">
        <v>0</v>
      </c>
      <c r="J5" s="9">
        <v>0</v>
      </c>
    </row>
    <row r="6" spans="1:10">
      <c r="A6" s="14" t="s">
        <v>234</v>
      </c>
      <c r="B6" s="13"/>
      <c r="C6" s="12" t="s">
        <v>254</v>
      </c>
      <c r="D6" s="10">
        <v>0</v>
      </c>
      <c r="E6" s="10">
        <v>0</v>
      </c>
      <c r="F6" s="9">
        <v>0</v>
      </c>
      <c r="G6" s="10">
        <v>0</v>
      </c>
      <c r="H6" s="10">
        <v>0</v>
      </c>
      <c r="I6" s="9">
        <v>0</v>
      </c>
      <c r="J6" s="9">
        <v>0</v>
      </c>
    </row>
    <row r="7" spans="1:10">
      <c r="A7" s="14" t="s">
        <v>232</v>
      </c>
      <c r="B7" s="13"/>
      <c r="C7" s="12" t="s">
        <v>285</v>
      </c>
      <c r="D7" s="10">
        <v>4.0000000000000001E-3</v>
      </c>
      <c r="E7" s="10">
        <v>0</v>
      </c>
      <c r="F7" s="9">
        <v>0</v>
      </c>
      <c r="G7" s="10">
        <v>8.8999999999999996E-2</v>
      </c>
      <c r="H7" s="10">
        <v>1E-3</v>
      </c>
      <c r="I7" s="9">
        <v>3.0000000000000001E-3</v>
      </c>
      <c r="J7" s="9">
        <v>2.7E-2</v>
      </c>
    </row>
    <row r="8" spans="1:10">
      <c r="A8" s="14" t="s">
        <v>230</v>
      </c>
      <c r="B8" s="13"/>
      <c r="C8" s="12" t="s">
        <v>286</v>
      </c>
      <c r="D8" s="10">
        <v>3.5000000000000003E-2</v>
      </c>
      <c r="E8" s="10">
        <v>3.0000000000000001E-3</v>
      </c>
      <c r="F8" s="9">
        <v>0</v>
      </c>
      <c r="G8" s="10">
        <v>0.02</v>
      </c>
      <c r="H8" s="10">
        <v>0</v>
      </c>
      <c r="I8" s="9">
        <v>0</v>
      </c>
      <c r="J8" s="9">
        <v>0</v>
      </c>
    </row>
    <row r="9" spans="1:10">
      <c r="A9" s="14" t="s">
        <v>228</v>
      </c>
      <c r="B9" s="13"/>
      <c r="C9" s="12" t="s">
        <v>287</v>
      </c>
      <c r="D9" s="10">
        <v>0</v>
      </c>
      <c r="E9" s="10">
        <v>0</v>
      </c>
      <c r="F9" s="9">
        <v>8.0000000000000002E-3</v>
      </c>
      <c r="G9" s="10">
        <v>8.2000000000000003E-2</v>
      </c>
      <c r="H9" s="10">
        <v>0</v>
      </c>
      <c r="I9" s="9">
        <v>0</v>
      </c>
      <c r="J9" s="9">
        <v>0</v>
      </c>
    </row>
    <row r="10" spans="1:10">
      <c r="A10" s="14" t="s">
        <v>226</v>
      </c>
      <c r="B10" s="13"/>
      <c r="C10" s="12" t="s">
        <v>288</v>
      </c>
      <c r="D10" s="10">
        <v>2.5999999999999999E-2</v>
      </c>
      <c r="E10" s="10">
        <v>0</v>
      </c>
      <c r="F10" s="9">
        <v>0</v>
      </c>
      <c r="G10" s="10">
        <v>5.0000000000000001E-3</v>
      </c>
      <c r="H10" s="10">
        <v>0</v>
      </c>
      <c r="I10" s="9">
        <v>0</v>
      </c>
      <c r="J10" s="9">
        <v>0</v>
      </c>
    </row>
    <row r="11" spans="1:10">
      <c r="A11" s="14" t="s">
        <v>224</v>
      </c>
      <c r="B11" s="13"/>
      <c r="C11" s="12" t="s">
        <v>289</v>
      </c>
      <c r="D11" s="10">
        <v>1.6E-2</v>
      </c>
      <c r="E11" s="10">
        <v>1E-3</v>
      </c>
      <c r="F11" s="9">
        <v>2.5999999999999999E-2</v>
      </c>
      <c r="G11" s="10">
        <v>0.06</v>
      </c>
      <c r="H11" s="10">
        <v>0</v>
      </c>
      <c r="I11" s="9">
        <v>0</v>
      </c>
      <c r="J11" s="9">
        <v>1E-3</v>
      </c>
    </row>
    <row r="12" spans="1:10">
      <c r="A12" s="14" t="s">
        <v>223</v>
      </c>
      <c r="B12" s="13"/>
      <c r="C12" s="12" t="s">
        <v>290</v>
      </c>
      <c r="D12" s="10">
        <v>1.6E-2</v>
      </c>
      <c r="E12" s="10">
        <v>0</v>
      </c>
      <c r="F12" s="9">
        <v>4.4999999999999998E-2</v>
      </c>
      <c r="G12" s="10">
        <v>1.0999999999999999E-2</v>
      </c>
      <c r="H12" s="10">
        <v>0</v>
      </c>
      <c r="I12" s="9">
        <v>1E-3</v>
      </c>
      <c r="J12" s="9">
        <v>0</v>
      </c>
    </row>
    <row r="13" spans="1:10">
      <c r="A13" s="14" t="s">
        <v>221</v>
      </c>
      <c r="B13" s="13"/>
      <c r="C13" s="12" t="s">
        <v>291</v>
      </c>
      <c r="D13" s="10">
        <v>0</v>
      </c>
      <c r="E13" s="10">
        <v>0</v>
      </c>
      <c r="F13" s="9">
        <v>0</v>
      </c>
      <c r="G13" s="10">
        <v>5.1999999999999998E-2</v>
      </c>
      <c r="H13" s="10">
        <v>0</v>
      </c>
      <c r="I13" s="9">
        <v>0</v>
      </c>
      <c r="J13" s="9">
        <v>7.0000000000000001E-3</v>
      </c>
    </row>
    <row r="14" spans="1:10">
      <c r="A14" s="14" t="s">
        <v>219</v>
      </c>
      <c r="B14" s="13"/>
      <c r="C14" s="12" t="s">
        <v>292</v>
      </c>
      <c r="D14" s="10">
        <v>5.0000000000000001E-3</v>
      </c>
      <c r="E14" s="10">
        <v>0</v>
      </c>
      <c r="F14" s="9">
        <v>5.0000000000000001E-3</v>
      </c>
      <c r="G14" s="10">
        <v>1.2999999999999999E-2</v>
      </c>
      <c r="H14" s="10">
        <v>2E-3</v>
      </c>
      <c r="I14" s="9">
        <v>0</v>
      </c>
      <c r="J14" s="9">
        <v>0</v>
      </c>
    </row>
    <row r="15" spans="1:10">
      <c r="A15" s="14" t="s">
        <v>217</v>
      </c>
      <c r="B15" s="13"/>
      <c r="C15" s="12" t="s">
        <v>293</v>
      </c>
      <c r="D15" s="10">
        <v>0</v>
      </c>
      <c r="E15" s="10">
        <v>0</v>
      </c>
      <c r="F15" s="9">
        <v>3.5000000000000003E-2</v>
      </c>
      <c r="G15" s="10">
        <v>0</v>
      </c>
      <c r="H15" s="10">
        <v>0</v>
      </c>
      <c r="I15" s="9">
        <v>0</v>
      </c>
      <c r="J15" s="9">
        <v>0</v>
      </c>
    </row>
    <row r="16" spans="1:10">
      <c r="A16" s="14" t="s">
        <v>215</v>
      </c>
      <c r="B16" s="13"/>
      <c r="C16" s="12" t="s">
        <v>294</v>
      </c>
      <c r="D16" s="10">
        <v>7.0000000000000001E-3</v>
      </c>
      <c r="E16" s="10">
        <v>0</v>
      </c>
      <c r="F16" s="9">
        <v>3.0000000000000001E-3</v>
      </c>
      <c r="G16" s="10">
        <v>4.9000000000000002E-2</v>
      </c>
      <c r="H16" s="10">
        <v>3.0000000000000001E-3</v>
      </c>
      <c r="I16" s="9">
        <v>1E-3</v>
      </c>
      <c r="J16" s="9">
        <v>0</v>
      </c>
    </row>
    <row r="17" spans="1:10">
      <c r="A17" s="14" t="s">
        <v>213</v>
      </c>
      <c r="B17" s="13"/>
      <c r="C17" s="12" t="s">
        <v>295</v>
      </c>
      <c r="D17" s="10">
        <v>1.0999999999999999E-2</v>
      </c>
      <c r="E17" s="10">
        <v>0</v>
      </c>
      <c r="F17" s="9">
        <v>3.0000000000000001E-3</v>
      </c>
      <c r="G17" s="10">
        <v>2E-3</v>
      </c>
      <c r="H17" s="10">
        <v>0</v>
      </c>
      <c r="I17" s="9">
        <v>0</v>
      </c>
      <c r="J17" s="9">
        <v>0</v>
      </c>
    </row>
    <row r="18" spans="1:10">
      <c r="A18" s="14" t="s">
        <v>210</v>
      </c>
      <c r="B18" s="13"/>
      <c r="C18" s="12" t="s">
        <v>296</v>
      </c>
      <c r="D18" s="10">
        <v>5.2999999999999999E-2</v>
      </c>
      <c r="E18" s="10">
        <v>0</v>
      </c>
      <c r="F18" s="9">
        <v>1.4999999999999999E-2</v>
      </c>
      <c r="G18" s="10">
        <v>3.4000000000000002E-2</v>
      </c>
      <c r="H18" s="10">
        <v>1.0999999999999999E-2</v>
      </c>
      <c r="I18" s="9">
        <v>2E-3</v>
      </c>
      <c r="J18" s="9">
        <v>3.0000000000000001E-3</v>
      </c>
    </row>
    <row r="19" spans="1:10">
      <c r="A19" s="14" t="s">
        <v>208</v>
      </c>
      <c r="B19" s="13"/>
      <c r="C19" s="12" t="s">
        <v>297</v>
      </c>
      <c r="D19" s="10">
        <v>7.8E-2</v>
      </c>
      <c r="E19" s="10">
        <v>0</v>
      </c>
      <c r="F19" s="9">
        <v>6.5000000000000002E-2</v>
      </c>
      <c r="G19" s="10">
        <v>2.5999999999999999E-2</v>
      </c>
      <c r="H19" s="10">
        <v>0</v>
      </c>
      <c r="I19" s="9">
        <v>0</v>
      </c>
      <c r="J19" s="9">
        <v>0</v>
      </c>
    </row>
    <row r="20" spans="1:10">
      <c r="A20" s="14" t="s">
        <v>206</v>
      </c>
      <c r="B20" s="13"/>
      <c r="C20" s="12" t="s">
        <v>298</v>
      </c>
      <c r="D20" s="10">
        <v>0.14499999999999999</v>
      </c>
      <c r="E20" s="10">
        <v>0</v>
      </c>
      <c r="F20" s="9">
        <v>2.3E-2</v>
      </c>
      <c r="G20" s="10">
        <v>5.7000000000000002E-2</v>
      </c>
      <c r="H20" s="10">
        <v>0</v>
      </c>
      <c r="I20" s="9">
        <v>4.0000000000000001E-3</v>
      </c>
      <c r="J20" s="9">
        <v>0</v>
      </c>
    </row>
    <row r="21" spans="1:10">
      <c r="A21" s="14" t="s">
        <v>204</v>
      </c>
      <c r="B21" s="13"/>
      <c r="C21" s="12" t="s">
        <v>299</v>
      </c>
      <c r="D21" s="10">
        <v>8.0000000000000002E-3</v>
      </c>
      <c r="E21" s="10">
        <v>0</v>
      </c>
      <c r="F21" s="9">
        <v>6.0000000000000001E-3</v>
      </c>
      <c r="G21" s="10">
        <v>1.2999999999999999E-2</v>
      </c>
      <c r="H21" s="10">
        <v>1E-3</v>
      </c>
      <c r="I21" s="9">
        <v>2E-3</v>
      </c>
      <c r="J21" s="9">
        <v>3.0000000000000001E-3</v>
      </c>
    </row>
    <row r="22" spans="1:10">
      <c r="A22" s="14" t="s">
        <v>202</v>
      </c>
      <c r="B22" s="13"/>
      <c r="C22" s="12" t="s">
        <v>300</v>
      </c>
      <c r="D22" s="10">
        <v>7.0000000000000001E-3</v>
      </c>
      <c r="E22" s="10">
        <v>0</v>
      </c>
      <c r="F22" s="9">
        <v>1E-3</v>
      </c>
      <c r="G22" s="10">
        <v>4.2999999999999997E-2</v>
      </c>
      <c r="H22" s="10">
        <v>0</v>
      </c>
      <c r="I22" s="9">
        <v>0</v>
      </c>
      <c r="J22" s="9">
        <v>0</v>
      </c>
    </row>
    <row r="23" spans="1:10">
      <c r="A23" s="14" t="s">
        <v>200</v>
      </c>
      <c r="B23" s="13"/>
      <c r="C23" s="12" t="s">
        <v>301</v>
      </c>
      <c r="D23" s="10">
        <v>5.0000000000000001E-3</v>
      </c>
      <c r="E23" s="10">
        <v>0</v>
      </c>
      <c r="F23" s="9">
        <v>5.0000000000000001E-3</v>
      </c>
      <c r="G23" s="10">
        <v>0</v>
      </c>
      <c r="H23" s="10">
        <v>0</v>
      </c>
      <c r="I23" s="9">
        <v>0</v>
      </c>
      <c r="J23" s="9">
        <v>2E-3</v>
      </c>
    </row>
    <row r="24" spans="1:10">
      <c r="A24" s="14" t="s">
        <v>198</v>
      </c>
      <c r="B24" s="13"/>
      <c r="C24" s="12" t="s">
        <v>302</v>
      </c>
      <c r="D24" s="10">
        <v>6.0000000000000001E-3</v>
      </c>
      <c r="E24" s="10">
        <v>0</v>
      </c>
      <c r="F24" s="9">
        <v>0</v>
      </c>
      <c r="G24" s="10">
        <v>3.2000000000000001E-2</v>
      </c>
      <c r="H24" s="10">
        <v>0</v>
      </c>
      <c r="I24" s="9">
        <v>0</v>
      </c>
      <c r="J24" s="9">
        <v>3.5000000000000003E-2</v>
      </c>
    </row>
    <row r="25" spans="1:10">
      <c r="A25" s="14" t="s">
        <v>196</v>
      </c>
      <c r="B25" s="13"/>
      <c r="C25" s="12" t="s">
        <v>282</v>
      </c>
      <c r="D25" s="10">
        <v>2E-3</v>
      </c>
      <c r="E25" s="10">
        <v>0</v>
      </c>
      <c r="F25" s="9">
        <v>0</v>
      </c>
      <c r="G25" s="10">
        <v>4.8000000000000001E-2</v>
      </c>
      <c r="H25" s="10">
        <v>0</v>
      </c>
      <c r="I25" s="9">
        <v>0</v>
      </c>
      <c r="J25" s="9">
        <v>0</v>
      </c>
    </row>
    <row r="26" spans="1:10">
      <c r="A26" s="14" t="s">
        <v>194</v>
      </c>
      <c r="B26" s="13"/>
      <c r="C26" s="12" t="s">
        <v>303</v>
      </c>
      <c r="D26" s="10">
        <v>5.0000000000000001E-3</v>
      </c>
      <c r="E26" s="10">
        <v>2E-3</v>
      </c>
      <c r="F26" s="9">
        <v>3.1E-2</v>
      </c>
      <c r="G26" s="10">
        <v>5.5E-2</v>
      </c>
      <c r="H26" s="10">
        <v>0</v>
      </c>
      <c r="I26" s="9">
        <v>0</v>
      </c>
      <c r="J26" s="9">
        <v>0</v>
      </c>
    </row>
    <row r="27" spans="1:10">
      <c r="A27" s="14" t="s">
        <v>192</v>
      </c>
      <c r="B27" s="13"/>
      <c r="C27" s="33" t="s">
        <v>304</v>
      </c>
      <c r="D27" s="31">
        <v>4.9000000000000002E-2</v>
      </c>
      <c r="E27" s="31">
        <v>1.2E-2</v>
      </c>
      <c r="F27" s="30">
        <v>0</v>
      </c>
      <c r="G27" s="31">
        <v>0.20300000000000001</v>
      </c>
      <c r="H27" s="31">
        <v>0</v>
      </c>
      <c r="I27" s="30">
        <v>7.0000000000000001E-3</v>
      </c>
      <c r="J27" s="30">
        <v>0</v>
      </c>
    </row>
    <row r="28" spans="1:10">
      <c r="A28" s="29" t="s">
        <v>190</v>
      </c>
      <c r="B28" s="28"/>
      <c r="C28" s="27" t="s">
        <v>305</v>
      </c>
      <c r="D28" s="24">
        <v>1.2999999999999999E-2</v>
      </c>
      <c r="E28" s="24">
        <v>1E-3</v>
      </c>
      <c r="F28" s="22">
        <v>1.7999999999999999E-2</v>
      </c>
      <c r="G28" s="24">
        <v>3.6999999999999998E-2</v>
      </c>
      <c r="H28" s="24">
        <v>1E-3</v>
      </c>
      <c r="I28" s="22">
        <v>1E-3</v>
      </c>
      <c r="J28" s="22">
        <v>2E-3</v>
      </c>
    </row>
    <row r="29" spans="1:10">
      <c r="A29" s="21" t="s">
        <v>188</v>
      </c>
      <c r="B29" s="13"/>
      <c r="C29" s="20" t="s">
        <v>306</v>
      </c>
      <c r="D29" s="18">
        <v>8.9999999999999993E-3</v>
      </c>
      <c r="E29" s="18">
        <v>0</v>
      </c>
      <c r="F29" s="17">
        <v>0</v>
      </c>
      <c r="G29" s="18">
        <v>6.0000000000000001E-3</v>
      </c>
      <c r="H29" s="18">
        <v>0</v>
      </c>
      <c r="I29" s="17">
        <v>0</v>
      </c>
      <c r="J29" s="17">
        <v>2E-3</v>
      </c>
    </row>
    <row r="30" spans="1:10">
      <c r="A30" s="16" t="s">
        <v>186</v>
      </c>
      <c r="B30" s="13"/>
      <c r="C30" s="12" t="s">
        <v>307</v>
      </c>
      <c r="D30" s="10">
        <v>3.4000000000000002E-2</v>
      </c>
      <c r="E30" s="10">
        <v>0</v>
      </c>
      <c r="F30" s="9">
        <v>0</v>
      </c>
      <c r="G30" s="10">
        <v>0.05</v>
      </c>
      <c r="H30" s="10">
        <v>0</v>
      </c>
      <c r="I30" s="9">
        <v>0</v>
      </c>
      <c r="J30" s="9">
        <v>0</v>
      </c>
    </row>
    <row r="31" spans="1:10">
      <c r="A31" s="15" t="s">
        <v>184</v>
      </c>
      <c r="B31" s="13"/>
      <c r="C31" s="12" t="s">
        <v>308</v>
      </c>
      <c r="D31" s="10">
        <v>1.0999999999999999E-2</v>
      </c>
      <c r="E31" s="10">
        <v>0</v>
      </c>
      <c r="F31" s="9">
        <v>0.06</v>
      </c>
      <c r="G31" s="10">
        <v>1.4E-2</v>
      </c>
      <c r="H31" s="10">
        <v>0</v>
      </c>
      <c r="I31" s="9">
        <v>2E-3</v>
      </c>
      <c r="J31" s="9">
        <v>2E-3</v>
      </c>
    </row>
    <row r="32" spans="1:10">
      <c r="A32" s="14" t="s">
        <v>182</v>
      </c>
      <c r="B32" s="13"/>
      <c r="C32" s="12" t="s">
        <v>309</v>
      </c>
      <c r="D32" s="10">
        <v>1.6E-2</v>
      </c>
      <c r="E32" s="10">
        <v>0</v>
      </c>
      <c r="F32" s="9">
        <v>0</v>
      </c>
      <c r="G32" s="10">
        <v>5.0000000000000001E-3</v>
      </c>
      <c r="H32" s="10">
        <v>0</v>
      </c>
      <c r="I32" s="9">
        <v>0</v>
      </c>
      <c r="J32" s="9">
        <v>0</v>
      </c>
    </row>
    <row r="33" spans="1:10">
      <c r="A33" s="44"/>
      <c r="B33" s="44"/>
      <c r="C33" s="44"/>
      <c r="D33" s="44"/>
      <c r="E33" s="44"/>
      <c r="F33" s="44"/>
      <c r="G33" s="44"/>
      <c r="H33" s="44"/>
      <c r="I33" s="44"/>
      <c r="J33" s="4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2210-FD19-174C-9FEA-810D403F987E}">
  <dimension ref="B2:I31"/>
  <sheetViews>
    <sheetView workbookViewId="0">
      <selection activeCell="K31" sqref="K31"/>
    </sheetView>
  </sheetViews>
  <sheetFormatPr baseColWidth="10" defaultRowHeight="14.4"/>
  <cols>
    <col min="2" max="2" width="20.83984375" customWidth="1"/>
    <col min="7" max="7" width="14" customWidth="1"/>
    <col min="8" max="8" width="16.83984375" customWidth="1"/>
    <col min="9" max="9" width="16" customWidth="1"/>
  </cols>
  <sheetData>
    <row r="2" spans="2:8">
      <c r="B2" s="1" t="s">
        <v>105</v>
      </c>
      <c r="C2" s="1" t="s">
        <v>14</v>
      </c>
      <c r="D2" s="1" t="s">
        <v>15</v>
      </c>
      <c r="E2" s="1" t="s">
        <v>13</v>
      </c>
      <c r="F2" s="2" t="s">
        <v>16</v>
      </c>
      <c r="G2" s="2" t="s">
        <v>17</v>
      </c>
      <c r="H2" s="2" t="s">
        <v>18</v>
      </c>
    </row>
    <row r="3" spans="2:8">
      <c r="B3" t="s">
        <v>109</v>
      </c>
      <c r="C3" t="s">
        <v>112</v>
      </c>
      <c r="D3" t="s">
        <v>113</v>
      </c>
      <c r="E3" t="s">
        <v>114</v>
      </c>
      <c r="F3" s="6" t="s">
        <v>115</v>
      </c>
      <c r="G3" t="s">
        <v>106</v>
      </c>
      <c r="H3" t="s">
        <v>147</v>
      </c>
    </row>
    <row r="4" spans="2:8">
      <c r="B4" t="s">
        <v>116</v>
      </c>
      <c r="C4" t="s">
        <v>112</v>
      </c>
      <c r="D4" t="s">
        <v>113</v>
      </c>
      <c r="E4" t="s">
        <v>114</v>
      </c>
      <c r="F4">
        <v>0.09</v>
      </c>
      <c r="G4" t="s">
        <v>106</v>
      </c>
      <c r="H4" t="s">
        <v>147</v>
      </c>
    </row>
    <row r="5" spans="2:8">
      <c r="B5" t="s">
        <v>117</v>
      </c>
      <c r="C5" t="s">
        <v>112</v>
      </c>
      <c r="D5" t="s">
        <v>113</v>
      </c>
      <c r="E5" t="s">
        <v>118</v>
      </c>
      <c r="F5">
        <v>0.15</v>
      </c>
      <c r="G5" t="s">
        <v>106</v>
      </c>
      <c r="H5" t="s">
        <v>147</v>
      </c>
    </row>
    <row r="6" spans="2:8">
      <c r="B6" t="s">
        <v>119</v>
      </c>
      <c r="C6" t="s">
        <v>112</v>
      </c>
      <c r="D6" t="s">
        <v>113</v>
      </c>
      <c r="E6" t="s">
        <v>114</v>
      </c>
      <c r="F6">
        <v>0.03</v>
      </c>
      <c r="G6" t="s">
        <v>106</v>
      </c>
      <c r="H6" t="s">
        <v>147</v>
      </c>
    </row>
    <row r="7" spans="2:8">
      <c r="B7" t="s">
        <v>120</v>
      </c>
      <c r="C7" t="s">
        <v>112</v>
      </c>
      <c r="D7" t="s">
        <v>113</v>
      </c>
      <c r="E7" t="s">
        <v>121</v>
      </c>
      <c r="F7">
        <v>0.02</v>
      </c>
      <c r="G7" t="s">
        <v>106</v>
      </c>
      <c r="H7" t="s">
        <v>147</v>
      </c>
    </row>
    <row r="8" spans="2:8">
      <c r="B8" t="s">
        <v>110</v>
      </c>
      <c r="C8" t="s">
        <v>112</v>
      </c>
      <c r="D8" t="s">
        <v>113</v>
      </c>
      <c r="E8" t="s">
        <v>122</v>
      </c>
      <c r="F8">
        <v>1E-3</v>
      </c>
      <c r="G8" t="s">
        <v>106</v>
      </c>
      <c r="H8" t="s">
        <v>147</v>
      </c>
    </row>
    <row r="9" spans="2:8">
      <c r="B9" t="s">
        <v>108</v>
      </c>
      <c r="C9" t="s">
        <v>123</v>
      </c>
      <c r="D9" t="s">
        <v>113</v>
      </c>
      <c r="E9" t="s">
        <v>124</v>
      </c>
      <c r="F9">
        <v>1.53</v>
      </c>
      <c r="G9" t="s">
        <v>106</v>
      </c>
      <c r="H9" t="s">
        <v>147</v>
      </c>
    </row>
    <row r="10" spans="2:8">
      <c r="B10" t="s">
        <v>108</v>
      </c>
      <c r="C10" t="s">
        <v>125</v>
      </c>
      <c r="D10" t="s">
        <v>113</v>
      </c>
      <c r="E10" t="s">
        <v>127</v>
      </c>
      <c r="F10">
        <v>2.41</v>
      </c>
      <c r="G10" t="s">
        <v>106</v>
      </c>
      <c r="H10" t="s">
        <v>147</v>
      </c>
    </row>
    <row r="11" spans="2:8">
      <c r="B11" t="s">
        <v>108</v>
      </c>
      <c r="C11" t="s">
        <v>126</v>
      </c>
      <c r="D11" t="s">
        <v>113</v>
      </c>
      <c r="E11" t="s">
        <v>128</v>
      </c>
      <c r="F11">
        <v>3.17</v>
      </c>
      <c r="G11" t="s">
        <v>106</v>
      </c>
      <c r="H11" t="s">
        <v>147</v>
      </c>
    </row>
    <row r="12" spans="2:8">
      <c r="B12" t="s">
        <v>129</v>
      </c>
      <c r="C12" t="s">
        <v>130</v>
      </c>
      <c r="D12" t="s">
        <v>113</v>
      </c>
      <c r="E12" t="s">
        <v>131</v>
      </c>
      <c r="F12">
        <v>0.22</v>
      </c>
      <c r="G12" t="s">
        <v>106</v>
      </c>
      <c r="H12" t="s">
        <v>147</v>
      </c>
    </row>
    <row r="13" spans="2:8">
      <c r="B13" t="s">
        <v>110</v>
      </c>
      <c r="C13" t="s">
        <v>134</v>
      </c>
      <c r="D13" t="s">
        <v>113</v>
      </c>
      <c r="E13" t="s">
        <v>132</v>
      </c>
      <c r="F13">
        <v>0.18</v>
      </c>
      <c r="G13" t="s">
        <v>106</v>
      </c>
      <c r="H13" t="s">
        <v>147</v>
      </c>
    </row>
    <row r="14" spans="2:8">
      <c r="B14" t="s">
        <v>109</v>
      </c>
      <c r="C14" t="s">
        <v>134</v>
      </c>
      <c r="D14" t="s">
        <v>113</v>
      </c>
      <c r="E14" t="s">
        <v>132</v>
      </c>
      <c r="F14">
        <v>1.1200000000000001</v>
      </c>
      <c r="G14" t="s">
        <v>106</v>
      </c>
      <c r="H14" t="s">
        <v>147</v>
      </c>
    </row>
    <row r="15" spans="2:8">
      <c r="B15" t="s">
        <v>110</v>
      </c>
      <c r="C15" t="s">
        <v>133</v>
      </c>
      <c r="D15" t="s">
        <v>135</v>
      </c>
      <c r="E15" t="s">
        <v>136</v>
      </c>
      <c r="F15">
        <v>1.1000000000000001</v>
      </c>
      <c r="G15" t="s">
        <v>106</v>
      </c>
      <c r="H15" t="s">
        <v>147</v>
      </c>
    </row>
    <row r="16" spans="2:8">
      <c r="B16" t="s">
        <v>110</v>
      </c>
      <c r="C16" t="s">
        <v>137</v>
      </c>
      <c r="D16" t="s">
        <v>135</v>
      </c>
      <c r="E16" t="s">
        <v>136</v>
      </c>
      <c r="F16">
        <v>1.08</v>
      </c>
      <c r="G16" t="s">
        <v>106</v>
      </c>
      <c r="H16" t="s">
        <v>147</v>
      </c>
    </row>
    <row r="17" spans="2:9">
      <c r="B17" t="s">
        <v>140</v>
      </c>
      <c r="C17" t="s">
        <v>138</v>
      </c>
      <c r="D17" t="s">
        <v>135</v>
      </c>
      <c r="E17" t="s">
        <v>136</v>
      </c>
      <c r="F17">
        <v>1.3</v>
      </c>
      <c r="G17" t="s">
        <v>106</v>
      </c>
      <c r="H17" t="s">
        <v>147</v>
      </c>
    </row>
    <row r="18" spans="2:9">
      <c r="B18" t="s">
        <v>140</v>
      </c>
      <c r="C18" t="s">
        <v>139</v>
      </c>
      <c r="D18" t="s">
        <v>135</v>
      </c>
      <c r="E18" t="s">
        <v>136</v>
      </c>
      <c r="F18">
        <v>0.27</v>
      </c>
      <c r="G18" t="s">
        <v>106</v>
      </c>
      <c r="H18" t="s">
        <v>147</v>
      </c>
    </row>
    <row r="19" spans="2:9">
      <c r="B19" t="s">
        <v>140</v>
      </c>
      <c r="C19" t="s">
        <v>141</v>
      </c>
      <c r="D19" t="s">
        <v>135</v>
      </c>
      <c r="E19" t="s">
        <v>136</v>
      </c>
      <c r="F19">
        <v>1.22</v>
      </c>
      <c r="G19" t="s">
        <v>106</v>
      </c>
      <c r="H19" t="s">
        <v>147</v>
      </c>
    </row>
    <row r="25" spans="2:9">
      <c r="E25">
        <v>2010</v>
      </c>
      <c r="F25">
        <v>2015</v>
      </c>
      <c r="G25">
        <v>2020</v>
      </c>
      <c r="H25" s="2" t="s">
        <v>17</v>
      </c>
      <c r="I25" s="2" t="s">
        <v>18</v>
      </c>
    </row>
    <row r="26" spans="2:9">
      <c r="B26" t="s">
        <v>109</v>
      </c>
      <c r="C26" t="s">
        <v>112</v>
      </c>
      <c r="D26" t="s">
        <v>113</v>
      </c>
      <c r="E26">
        <v>17.7</v>
      </c>
      <c r="F26">
        <v>14.7</v>
      </c>
      <c r="G26">
        <v>14.2</v>
      </c>
      <c r="H26" t="s">
        <v>106</v>
      </c>
      <c r="I26" t="s">
        <v>175</v>
      </c>
    </row>
    <row r="27" spans="2:9">
      <c r="B27" t="s">
        <v>148</v>
      </c>
      <c r="C27" t="s">
        <v>112</v>
      </c>
      <c r="D27" t="s">
        <v>113</v>
      </c>
      <c r="E27">
        <v>0.9</v>
      </c>
      <c r="F27">
        <v>0.89</v>
      </c>
      <c r="G27">
        <v>1.1499999999999999</v>
      </c>
      <c r="H27" t="s">
        <v>106</v>
      </c>
      <c r="I27" t="s">
        <v>175</v>
      </c>
    </row>
    <row r="28" spans="2:9">
      <c r="B28" t="s">
        <v>176</v>
      </c>
      <c r="C28" t="s">
        <v>112</v>
      </c>
      <c r="D28" t="s">
        <v>113</v>
      </c>
      <c r="E28">
        <v>1.45</v>
      </c>
      <c r="F28">
        <v>1.2</v>
      </c>
      <c r="G28">
        <v>1.41</v>
      </c>
      <c r="H28" t="s">
        <v>106</v>
      </c>
      <c r="I28" t="s">
        <v>175</v>
      </c>
    </row>
    <row r="29" spans="2:9">
      <c r="B29" t="s">
        <v>177</v>
      </c>
      <c r="C29" t="s">
        <v>112</v>
      </c>
      <c r="D29" t="s">
        <v>113</v>
      </c>
      <c r="E29">
        <v>0.61</v>
      </c>
      <c r="F29">
        <v>0.36</v>
      </c>
      <c r="G29">
        <v>0.04</v>
      </c>
      <c r="H29" t="s">
        <v>106</v>
      </c>
      <c r="I29" t="s">
        <v>175</v>
      </c>
    </row>
    <row r="30" spans="2:9">
      <c r="B30" t="s">
        <v>120</v>
      </c>
      <c r="C30" t="s">
        <v>112</v>
      </c>
      <c r="D30" t="s">
        <v>113</v>
      </c>
      <c r="E30">
        <v>0.22</v>
      </c>
      <c r="F30">
        <v>0.3</v>
      </c>
      <c r="G30">
        <v>0.33</v>
      </c>
      <c r="H30" t="s">
        <v>106</v>
      </c>
      <c r="I30" t="s">
        <v>175</v>
      </c>
    </row>
    <row r="31" spans="2:9">
      <c r="B31" t="s">
        <v>178</v>
      </c>
      <c r="C31" t="s">
        <v>112</v>
      </c>
      <c r="D31" t="s">
        <v>113</v>
      </c>
      <c r="E31">
        <f>E30*$C$42</f>
        <v>0</v>
      </c>
      <c r="F31">
        <v>0.01</v>
      </c>
      <c r="G31">
        <v>0.04</v>
      </c>
      <c r="H31" t="s">
        <v>106</v>
      </c>
      <c r="I3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Cover</vt:lpstr>
      <vt:lpstr>Data</vt:lpstr>
      <vt:lpstr>___</vt:lpstr>
      <vt:lpstr>Raw_Data</vt:lpstr>
      <vt:lpstr>Unit_Conversion</vt:lpstr>
      <vt:lpstr>Light Commercial Vehicles</vt:lpstr>
      <vt:lpstr>Medium &amp; Heavy Commercial vehic</vt:lpstr>
      <vt:lpstr>Buses</vt:lpstr>
      <vt:lpstr>Other_Raw_Data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2024-11-25T14:24:16Z</dcterms:modified>
</cp:coreProperties>
</file>