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tefan Pauliuk\FILES\ARBEIT\PROJECTS\Database\IE_DataCommons\NEW\To_be_done\CIMO_WP3_Appliances\"/>
    </mc:Choice>
  </mc:AlternateContent>
  <xr:revisionPtr revIDLastSave="0" documentId="13_ncr:1_{3A37D674-A008-48B9-8845-6EC08AA25DF4}" xr6:coauthVersionLast="36" xr6:coauthVersionMax="47" xr10:uidLastSave="{00000000-0000-0000-0000-000000000000}"/>
  <bookViews>
    <workbookView xWindow="0" yWindow="0" windowWidth="20922" windowHeight="9372" activeTab="1" xr2:uid="{00000000-000D-0000-FFFF-FFFF00000000}"/>
  </bookViews>
  <sheets>
    <sheet name="Cover" sheetId="1" r:id="rId1"/>
    <sheet name="Data" sheetId="2" r:id="rId2"/>
    <sheet name="log" sheetId="3" r:id="rId3"/>
    <sheet name="ref" sheetId="4" r:id="rId4"/>
  </sheets>
  <definedNames>
    <definedName name="_xlnm._FilterDatabase" localSheetId="2" hidden="1">log!#REF!</definedName>
  </definedNames>
  <calcPr calcId="191028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89" i="2" l="1"/>
  <c r="F88" i="2"/>
  <c r="F87" i="2"/>
  <c r="F86" i="2"/>
  <c r="F85" i="2"/>
  <c r="F84" i="2"/>
  <c r="F83" i="2"/>
</calcChain>
</file>

<file path=xl/sharedStrings.xml><?xml version="1.0" encoding="utf-8"?>
<sst xmlns="http://schemas.openxmlformats.org/spreadsheetml/2006/main" count="1185" uniqueCount="310">
  <si>
    <t>Dataset information</t>
  </si>
  <si>
    <t>Dataset format information</t>
  </si>
  <si>
    <t>Column name</t>
  </si>
  <si>
    <t>Dataset entries</t>
  </si>
  <si>
    <t>Identification</t>
  </si>
  <si>
    <t>dataset_id</t>
  </si>
  <si>
    <t>auto</t>
  </si>
  <si>
    <t xml:space="preserve"> </t>
  </si>
  <si>
    <t>IEDC data file</t>
  </si>
  <si>
    <t>dataset_name</t>
  </si>
  <si>
    <t>dataset_version</t>
  </si>
  <si>
    <t>v0</t>
  </si>
  <si>
    <t>Format_Version</t>
  </si>
  <si>
    <t>IEDC_V1</t>
  </si>
  <si>
    <t>Grouping</t>
  </si>
  <si>
    <t>datagroup_id</t>
  </si>
  <si>
    <t>Dataset_Unit</t>
  </si>
  <si>
    <t>LIST</t>
  </si>
  <si>
    <t>data_category</t>
  </si>
  <si>
    <t>Dataset_Uncertainty</t>
  </si>
  <si>
    <t>data_type</t>
  </si>
  <si>
    <t>Dataset_Comment</t>
  </si>
  <si>
    <t>data_layer</t>
  </si>
  <si>
    <t>Dataset_RecordType</t>
  </si>
  <si>
    <t>No_Rows</t>
  </si>
  <si>
    <t>System location: What elements and objects in the system are described?</t>
  </si>
  <si>
    <t>process_scope</t>
  </si>
  <si>
    <t>Aspects_classifications</t>
  </si>
  <si>
    <t>Aspects_Attribute_No</t>
  </si>
  <si>
    <t>DATA</t>
  </si>
  <si>
    <t>DATA_Info</t>
  </si>
  <si>
    <t>process_resolution</t>
  </si>
  <si>
    <t>value</t>
  </si>
  <si>
    <t>product_scope</t>
  </si>
  <si>
    <t>Appliances</t>
  </si>
  <si>
    <t>unit nominator</t>
  </si>
  <si>
    <t>product_resolution</t>
  </si>
  <si>
    <t>none</t>
  </si>
  <si>
    <t>unit denominator</t>
  </si>
  <si>
    <t>material_scope</t>
  </si>
  <si>
    <t>stats_array_string</t>
  </si>
  <si>
    <t>material_resolution</t>
  </si>
  <si>
    <t>comment</t>
  </si>
  <si>
    <t>regional_scope</t>
  </si>
  <si>
    <t>regional_resolution</t>
  </si>
  <si>
    <t>temporal_scope</t>
  </si>
  <si>
    <t>temporal_resolution</t>
  </si>
  <si>
    <t>Description</t>
  </si>
  <si>
    <t>description</t>
  </si>
  <si>
    <t>keywords</t>
  </si>
  <si>
    <t>data_provenance</t>
  </si>
  <si>
    <t>dataset_size</t>
  </si>
  <si>
    <t>System location: Dataset aspects and semantics. For aspects: [Aspect;symbol;classification]. Mandatory aspects in gray shading.</t>
  </si>
  <si>
    <t>aspect_1</t>
  </si>
  <si>
    <t>service</t>
  </si>
  <si>
    <t>aspect_1_classification</t>
  </si>
  <si>
    <t>aspect_2</t>
  </si>
  <si>
    <t>commodity</t>
  </si>
  <si>
    <t>aspect_2_classification</t>
  </si>
  <si>
    <t>aspect_3</t>
  </si>
  <si>
    <t>aspect_3_classification</t>
  </si>
  <si>
    <t>aspect_4</t>
  </si>
  <si>
    <t>region</t>
  </si>
  <si>
    <t>aspect_4_classification</t>
  </si>
  <si>
    <t>aspect_5</t>
  </si>
  <si>
    <t>time</t>
  </si>
  <si>
    <t>aspect_5_classification</t>
  </si>
  <si>
    <t>aspect_6</t>
  </si>
  <si>
    <t>aspect_6_classification</t>
  </si>
  <si>
    <t>aspect_7</t>
  </si>
  <si>
    <t>aspect_7_classification</t>
  </si>
  <si>
    <t>aspect_8</t>
  </si>
  <si>
    <t>aspect_8_classification</t>
  </si>
  <si>
    <t>aspect_9</t>
  </si>
  <si>
    <t>aspect_9_classification</t>
  </si>
  <si>
    <t>aspect_10</t>
  </si>
  <si>
    <t>aspect_10_classification</t>
  </si>
  <si>
    <t>aspect_11</t>
  </si>
  <si>
    <t>aspect_11_classification</t>
  </si>
  <si>
    <t>aspect_12</t>
  </si>
  <si>
    <t>aspect_12_classification</t>
  </si>
  <si>
    <t>tupel_notation</t>
  </si>
  <si>
    <t>semantic_string_example</t>
  </si>
  <si>
    <t>semantic_string_general</t>
  </si>
  <si>
    <t>Data access and licence</t>
  </si>
  <si>
    <t>type_of_source</t>
  </si>
  <si>
    <t>project_license</t>
  </si>
  <si>
    <t>main_author</t>
  </si>
  <si>
    <t>dataset_link</t>
  </si>
  <si>
    <t>dataset_format</t>
  </si>
  <si>
    <t>project_report</t>
  </si>
  <si>
    <t>suggested_citation</t>
  </si>
  <si>
    <t>visible</t>
  </si>
  <si>
    <t>Data submission, review, and conversion info</t>
  </si>
  <si>
    <t>access_date</t>
  </si>
  <si>
    <t>submission_date</t>
  </si>
  <si>
    <t>submitting_user</t>
  </si>
  <si>
    <t>dataset_conversion_info</t>
  </si>
  <si>
    <t>Numbers manually copied from original sources to Excel spreadsheet</t>
  </si>
  <si>
    <t>review_date</t>
  </si>
  <si>
    <t>review_user</t>
  </si>
  <si>
    <t>review_comment</t>
  </si>
  <si>
    <t>Reserve</t>
  </si>
  <si>
    <t>reserve1</t>
  </si>
  <si>
    <t>reserve2</t>
  </si>
  <si>
    <t>reserve3</t>
  </si>
  <si>
    <t>reserve4</t>
  </si>
  <si>
    <t>reserve5</t>
  </si>
  <si>
    <t>LBL_1</t>
  </si>
  <si>
    <t>CD Player</t>
  </si>
  <si>
    <t>DVD Player</t>
  </si>
  <si>
    <t>satellite stations (standby losses)</t>
  </si>
  <si>
    <t>TV (CRT)</t>
  </si>
  <si>
    <t>TV (DLP)</t>
  </si>
  <si>
    <t>TV (LCD)</t>
  </si>
  <si>
    <t>VCRs</t>
  </si>
  <si>
    <t>home copiers</t>
  </si>
  <si>
    <t>Dishwasher</t>
  </si>
  <si>
    <t>Europe</t>
  </si>
  <si>
    <t>JRC_1</t>
  </si>
  <si>
    <t>Washing machine</t>
  </si>
  <si>
    <t>Germany</t>
  </si>
  <si>
    <t>Otterbach_Froehling_1</t>
  </si>
  <si>
    <t>Boldoczki_1</t>
  </si>
  <si>
    <t>JRC_2</t>
  </si>
  <si>
    <t>Vacuum cleaners</t>
  </si>
  <si>
    <t>PU_1</t>
  </si>
  <si>
    <t>https://www.sciencedirect.com/science/article/pii/S0048969716305745#bb0065</t>
  </si>
  <si>
    <t>Electric kettle</t>
  </si>
  <si>
    <t>PU_2</t>
  </si>
  <si>
    <t>https://www.researchgate.net/publication/320018302_Environmental_Performance_of_Kettle_Production_Product_Life_Cycle_Assessment</t>
  </si>
  <si>
    <t>Microwave oven</t>
  </si>
  <si>
    <t>PU_3</t>
  </si>
  <si>
    <t>https://www.researchgate.net/publication/321028357_Environmental_assessment_of_microwaves_and_the_effect_of_European_energy_efficiency_and_waste_management_legislation</t>
  </si>
  <si>
    <t>Refrigerator</t>
  </si>
  <si>
    <t>PU_4</t>
  </si>
  <si>
    <t>https://www.sciencedirect.com/science/article/pii/S0959652615001444#sec2</t>
  </si>
  <si>
    <t>Television</t>
  </si>
  <si>
    <t>PU_5</t>
  </si>
  <si>
    <t>https://www.sciencedirect.com/science/article/pii/S0959652608000504#sec2</t>
  </si>
  <si>
    <t>Headphones</t>
  </si>
  <si>
    <t>PU_6</t>
  </si>
  <si>
    <t>https://link.springer.com/chapter/10.1007/978-3-031-29294-1_2/tables/2</t>
  </si>
  <si>
    <t>Log entry name (link to column I on Data sheet)</t>
  </si>
  <si>
    <t>Which product? (check CM_2: flowables for existing labels)</t>
  </si>
  <si>
    <t>Which material consuming sector?</t>
  </si>
  <si>
    <t>Date</t>
  </si>
  <si>
    <t>Who</t>
  </si>
  <si>
    <t>What - detailed description</t>
  </si>
  <si>
    <t>List items of ref sheet used</t>
  </si>
  <si>
    <t>Various appliances</t>
  </si>
  <si>
    <t>Arias Castillo</t>
  </si>
  <si>
    <t>Yearly energy consumption of appliances from study carried out by the lawrence berkeley national laboratory</t>
  </si>
  <si>
    <t>Additional comments, assumptions, and proxy choices made:</t>
  </si>
  <si>
    <t>None.</t>
  </si>
  <si>
    <r>
      <t xml:space="preserve">Qualitative evaluation of the data </t>
    </r>
    <r>
      <rPr>
        <sz val="11"/>
        <color theme="1"/>
        <rFont val="Calibri"/>
        <family val="2"/>
        <scheme val="minor"/>
      </rPr>
      <t>(coverage, overall quality and representativenss, technology readiness, scalability, quality evaluation of the data)</t>
    </r>
  </si>
  <si>
    <t>Yearly energy consumption of Dishwasher</t>
  </si>
  <si>
    <t>Yearly energy consumption of Washing machines</t>
  </si>
  <si>
    <t>Yearly energy consumption of Washing machines based on the energy labels with future projections as well</t>
  </si>
  <si>
    <t>Yearly energy consumption of Washing machines and wash dryers</t>
  </si>
  <si>
    <t>Yearly energy consumption of product</t>
  </si>
  <si>
    <t>Dataset</t>
  </si>
  <si>
    <t>literature_id</t>
  </si>
  <si>
    <t>authors</t>
  </si>
  <si>
    <t>title</t>
  </si>
  <si>
    <t>year</t>
  </si>
  <si>
    <t>journal_outlet_institution</t>
  </si>
  <si>
    <t>city</t>
  </si>
  <si>
    <t>DOI (for papers) and checksum (MD5) for datasets and scripts</t>
  </si>
  <si>
    <t>URL or link to document, name of document</t>
  </si>
  <si>
    <t>copyright</t>
  </si>
  <si>
    <t>archive location</t>
  </si>
  <si>
    <t>notes</t>
  </si>
  <si>
    <t>LBL</t>
  </si>
  <si>
    <t>https://hes-documentation.lbl.gov/calculation-methodology/calculation-of-energy-consumption/appliances/miscellaneous-equipment-energy-consumption/default-energy-consumption-of-mels</t>
  </si>
  <si>
    <t>JRC</t>
  </si>
  <si>
    <t>Environmental Footprint and Material Efficiency Support for Product Policy: Report on benefits and impacts/costs of options for different potential material efficiency requirements for Dishwashers</t>
  </si>
  <si>
    <t>https://publications.jrc.ec.europa.eu/repository/handle/JRC95187</t>
  </si>
  <si>
    <t>Otterbach &amp; Fröhling</t>
  </si>
  <si>
    <t>Assessing the environmental impacts of product-service systems – the case of washing machines in Germany</t>
  </si>
  <si>
    <t>https://doi.org/10.1016/j.resconrec.2024.107446</t>
  </si>
  <si>
    <t>https://www.sciencedirect.com/science/article/pii/S0921344924000405#sec0026</t>
  </si>
  <si>
    <t>Boldoczki, et. Al</t>
  </si>
  <si>
    <t>Does increased circularity lead to environmental sustainability?: The case of washing machine reuse in Germany</t>
  </si>
  <si>
    <t>https://onlinelibrary.wiley.com/doi/full/10.1111/jiec.13104</t>
  </si>
  <si>
    <t xml:space="preserve">Ecodesign and energy label for household washing machines and washer dryers </t>
  </si>
  <si>
    <t>https://op.europa.eu/en/publication-detail/-/publication/533fa096-d971-11e7-a506-01aa75ed71a1/language-en</t>
  </si>
  <si>
    <t>Gallego Schmid, et al.</t>
  </si>
  <si>
    <t>Life cycle environmental impacts of vacuum cleaners and the effects of European regulation</t>
  </si>
  <si>
    <t>Marcinkowski &amp; Zynch</t>
  </si>
  <si>
    <t>Environmental Performance of Kettle Production: Product Life Cycle Assessment</t>
  </si>
  <si>
    <t>Environmental assessment of microwaves and the effect of European energy efficiency and waste management legislation</t>
  </si>
  <si>
    <t>Xiao et al</t>
  </si>
  <si>
    <t>A life-cycle assessment of household refrigerators in China</t>
  </si>
  <si>
    <t>Feng &amp; Qian</t>
  </si>
  <si>
    <t>The energy consumption and environmental impacts of a color TV set in China</t>
  </si>
  <si>
    <t>Herrmann et al.</t>
  </si>
  <si>
    <t>The Climate Impact of the Usage of Headphones and Headsets</t>
  </si>
  <si>
    <t>10.2760/029939</t>
  </si>
  <si>
    <t>https://doi.org/10.1016/j.scitotenv.2016.03.149</t>
  </si>
  <si>
    <t>3_EI_Appliances_CIRCOMOD</t>
  </si>
  <si>
    <t>stats_array string</t>
  </si>
  <si>
    <t>kWh</t>
  </si>
  <si>
    <t>yr</t>
  </si>
  <si>
    <t>services generated by household appliances</t>
  </si>
  <si>
    <t>Specific energy consumption of products</t>
  </si>
  <si>
    <t>Energy</t>
  </si>
  <si>
    <t>use phase</t>
  </si>
  <si>
    <t>one aggregate process</t>
  </si>
  <si>
    <t>ca. 70 different types of appliances</t>
  </si>
  <si>
    <t>Global</t>
  </si>
  <si>
    <t>values for the USA, Europe, and Germany</t>
  </si>
  <si>
    <t>ca. 2012</t>
  </si>
  <si>
    <t>single value per appliance</t>
  </si>
  <si>
    <t>Specific energy consumption of appliances, in kWh/unit/yr</t>
  </si>
  <si>
    <t>appliances; energy consumption; use phase; specific energy consumption; energy intensity of operation</t>
  </si>
  <si>
    <t>Result of academic MFA work</t>
  </si>
  <si>
    <t>energy_carrier</t>
  </si>
  <si>
    <t>electricity</t>
  </si>
  <si>
    <t>Value(g,V,r,t,n)</t>
  </si>
  <si>
    <t>Martijn van Engelenburg</t>
  </si>
  <si>
    <t>Compiled by the CIRCOMOD team under coordination of Martijn van Engelenburg.</t>
  </si>
  <si>
    <t>Stefan Pauliuk</t>
  </si>
  <si>
    <t>Publicly available report or research article</t>
  </si>
  <si>
    <t>unknown/not specified</t>
  </si>
  <si>
    <t>See comment for each data entry</t>
  </si>
  <si>
    <t>Specific energy consumption of products for 'coffee maker: percolater (warm)' consuming electricity to generate services generated by household appliances in USA in 2012 was 29 kWh/yr</t>
  </si>
  <si>
    <t>[Layer] for [Aspect 1] consuming [Aspect 5] to generate [Aspect 2] in [Aspect 3] in [Aspect 4] was [Value].</t>
  </si>
  <si>
    <t>Data process link</t>
  </si>
  <si>
    <t>Washing machine A(2041) 0.62 kWh/cycle 200 cycles per year assumed; https://onlinelibrary.wiley.com/doi/full/10.1111/jiec.13104</t>
  </si>
  <si>
    <t>Washing machine A(2031) 0.66 kWh/cycle 200 cycles per year assumed; https://onlinelibrary.wiley.com/doi/full/10.1111/jiec.13105</t>
  </si>
  <si>
    <t>Washing machine A(2021) 0.72 kWh/cycle 200 cycles per year assumed; https://onlinelibrary.wiley.com/doi/full/10.1111/jiec.13106</t>
  </si>
  <si>
    <t>Washing machine A+++ 0.8 kWh/cycle 200 cycles per year assumed; https://onlinelibrary.wiley.com/doi/full/10.1111/jiec.13107</t>
  </si>
  <si>
    <t>Washing machine A++ 0.9 kWh/cycle 200 cycles per year assumed; https://onlinelibrary.wiley.com/doi/full/10.1111/jiec.13108</t>
  </si>
  <si>
    <t>Washing machine A+ 1.02 kWh/cycle 200 cycles per year assumed; https://onlinelibrary.wiley.com/doi/full/10.1111/jiec.13109</t>
  </si>
  <si>
    <t>Washing machine A 1.17 kWh/cycle 200 cycles per year assumed; https://onlinelibrary.wiley.com/doi/full/10.1111/jiec.13110</t>
  </si>
  <si>
    <t>Washing machine B 1.33 kWh/cycle 200 cycles per year assumed; https://onlinelibrary.wiley.com/doi/full/10.1111/jiec.13111</t>
  </si>
  <si>
    <t>Washing machine C 1.5 kWh/cycle 200 cycles per year assumed; https://onlinelibrary.wiley.com/doi/full/10.1111/jiec.13112</t>
  </si>
  <si>
    <t>Washing machine D 1.68 kWh/cycle 200 cycles per year assumed; https://onlinelibrary.wiley.com/doi/full/10.1111/jiec.13113</t>
  </si>
  <si>
    <t>Washing machine 220 cycles per year assumed; DOI 10.2760/029939</t>
  </si>
  <si>
    <t>Wash dryer 220 cycles per year assumed; DOI 10.2760/029939</t>
  </si>
  <si>
    <t>boom box</t>
  </si>
  <si>
    <t>cable boxes (standby losses)</t>
  </si>
  <si>
    <t>receiver</t>
  </si>
  <si>
    <t>tape player</t>
  </si>
  <si>
    <t>telephone answering machine</t>
  </si>
  <si>
    <t>TV (CRT - projection)</t>
  </si>
  <si>
    <t>TV (plasma)</t>
  </si>
  <si>
    <t>video games</t>
  </si>
  <si>
    <t>computer CPU</t>
  </si>
  <si>
    <t>home facsimile machines (thermal)</t>
  </si>
  <si>
    <t>home fax/multi-function device (inkjet)</t>
  </si>
  <si>
    <t>laptop charger</t>
  </si>
  <si>
    <t>monitor</t>
  </si>
  <si>
    <t>printers (inkjet)</t>
  </si>
  <si>
    <t>printers (laser)</t>
  </si>
  <si>
    <t>router/DSL/cable modem</t>
  </si>
  <si>
    <t>pool heater</t>
  </si>
  <si>
    <t>pool pump</t>
  </si>
  <si>
    <t>spa (24 hour gas)</t>
  </si>
  <si>
    <t>spa (24 hour electric)</t>
  </si>
  <si>
    <t>spa (on-demand electric)</t>
  </si>
  <si>
    <t>spa (on-demand gas)</t>
  </si>
  <si>
    <t>sump/sewage pump</t>
  </si>
  <si>
    <t>irrigation/pond/waterfall circulation pump</t>
  </si>
  <si>
    <t>bottled water dispenser</t>
  </si>
  <si>
    <t>broilers</t>
  </si>
  <si>
    <t>coffee maker: drip (brew)</t>
  </si>
  <si>
    <t>coffee maker: drip (warm)</t>
  </si>
  <si>
    <t>coffee maker: percolater (brew)</t>
  </si>
  <si>
    <t>coffee maker: percolater (warm)</t>
  </si>
  <si>
    <t>compactors</t>
  </si>
  <si>
    <t>deep fryer</t>
  </si>
  <si>
    <t>dishwashers</t>
  </si>
  <si>
    <t>washing machines</t>
  </si>
  <si>
    <t>wash dryer</t>
  </si>
  <si>
    <t>vacuum cleaners</t>
  </si>
  <si>
    <t>electric kettle</t>
  </si>
  <si>
    <t>microwave oven</t>
  </si>
  <si>
    <t>refrigerator</t>
  </si>
  <si>
    <t>television</t>
  </si>
  <si>
    <t>headphones</t>
  </si>
  <si>
    <t>espresso maker</t>
  </si>
  <si>
    <t>fry pans</t>
  </si>
  <si>
    <t>instant hot water</t>
  </si>
  <si>
    <t>slow cookers</t>
  </si>
  <si>
    <t>toaster</t>
  </si>
  <si>
    <t>toaster oven - toasting</t>
  </si>
  <si>
    <t>toaster oven - oven</t>
  </si>
  <si>
    <t>aquariums</t>
  </si>
  <si>
    <t>auto engine heaters</t>
  </si>
  <si>
    <t>clocks</t>
  </si>
  <si>
    <t>dehumidifiers</t>
  </si>
  <si>
    <t>doorbell</t>
  </si>
  <si>
    <t>electric blankets</t>
  </si>
  <si>
    <t>electric grills</t>
  </si>
  <si>
    <t>electronic air cleaner/filter</t>
  </si>
  <si>
    <t>garage door openers</t>
  </si>
  <si>
    <t>gas grills</t>
  </si>
  <si>
    <t>gas lighting</t>
  </si>
  <si>
    <t>hair dryers</t>
  </si>
  <si>
    <t>heat tape</t>
  </si>
  <si>
    <t>humidifier</t>
  </si>
  <si>
    <t>irons</t>
  </si>
  <si>
    <t>pipe and gutter heaters</t>
  </si>
  <si>
    <t>rechargable handheld vacuum cleaner (charging)</t>
  </si>
  <si>
    <t>vacuum cleaner - canister</t>
  </si>
  <si>
    <t>vacuum cleaner - upright</t>
  </si>
  <si>
    <t>water bed heaters</t>
  </si>
  <si>
    <t>United States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</si>
</sst>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4CCCC"/>
        <bgColor rgb="FFF4CCCC"/>
      </patternFill>
    </fill>
    <fill>
      <patternFill patternType="solid">
        <fgColor rgb="FFFCE5CD"/>
        <bgColor rgb="FFFCE5CD"/>
      </patternFill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D0E0E3"/>
        <bgColor rgb="FFD0E0E3"/>
      </patternFill>
    </fill>
    <fill>
      <patternFill patternType="solid">
        <fgColor rgb="FFC9DAF8"/>
        <bgColor rgb="FFC9DAF8"/>
      </patternFill>
    </fill>
    <fill>
      <patternFill patternType="solid">
        <fgColor rgb="FFCFE2F3"/>
        <bgColor rgb="FFCFE2F3"/>
      </patternFill>
    </fill>
    <fill>
      <patternFill patternType="solid">
        <fgColor theme="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DEDEDE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9" fillId="0" borderId="0"/>
    <xf numFmtId="0" fontId="12" fillId="0" borderId="0" applyNumberFormat="0" applyFill="0" applyBorder="0" applyAlignment="0" applyProtection="0"/>
  </cellStyleXfs>
  <cellXfs count="78">
    <xf numFmtId="0" fontId="0" fillId="0" borderId="0" xfId="0"/>
    <xf numFmtId="0" fontId="0" fillId="0" borderId="0" xfId="0" quotePrefix="1"/>
    <xf numFmtId="14" fontId="0" fillId="0" borderId="0" xfId="0" quotePrefix="1" applyNumberFormat="1"/>
    <xf numFmtId="0" fontId="0" fillId="0" borderId="0" xfId="0" quotePrefix="1" applyAlignment="1">
      <alignment horizontal="left"/>
    </xf>
    <xf numFmtId="0" fontId="1" fillId="0" borderId="0" xfId="0" applyFont="1"/>
    <xf numFmtId="0" fontId="0" fillId="0" borderId="1" xfId="0" applyBorder="1"/>
    <xf numFmtId="0" fontId="6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2" fillId="0" borderId="4" xfId="0" applyFont="1" applyBorder="1"/>
    <xf numFmtId="0" fontId="1" fillId="2" borderId="6" xfId="0" applyFont="1" applyFill="1" applyBorder="1" applyAlignment="1">
      <alignment horizontal="center"/>
    </xf>
    <xf numFmtId="0" fontId="0" fillId="0" borderId="7" xfId="0" applyBorder="1"/>
    <xf numFmtId="0" fontId="0" fillId="0" borderId="5" xfId="0" applyBorder="1"/>
    <xf numFmtId="0" fontId="0" fillId="0" borderId="9" xfId="0" applyBorder="1"/>
    <xf numFmtId="0" fontId="0" fillId="0" borderId="10" xfId="0" applyBorder="1"/>
    <xf numFmtId="0" fontId="2" fillId="4" borderId="8" xfId="0" applyFont="1" applyFill="1" applyBorder="1"/>
    <xf numFmtId="0" fontId="1" fillId="2" borderId="9" xfId="0" applyFont="1" applyFill="1" applyBorder="1"/>
    <xf numFmtId="0" fontId="0" fillId="2" borderId="0" xfId="0" quotePrefix="1" applyFill="1"/>
    <xf numFmtId="0" fontId="1" fillId="0" borderId="10" xfId="0" applyFont="1" applyBorder="1"/>
    <xf numFmtId="0" fontId="4" fillId="0" borderId="0" xfId="0" applyFont="1" applyAlignment="1">
      <alignment horizontal="left"/>
    </xf>
    <xf numFmtId="0" fontId="3" fillId="0" borderId="10" xfId="0" applyFont="1" applyBorder="1" applyAlignment="1">
      <alignment horizontal="left"/>
    </xf>
    <xf numFmtId="0" fontId="3" fillId="0" borderId="0" xfId="0" applyFont="1"/>
    <xf numFmtId="0" fontId="3" fillId="0" borderId="10" xfId="0" applyFont="1" applyBorder="1"/>
    <xf numFmtId="0" fontId="1" fillId="2" borderId="1" xfId="0" applyFont="1" applyFill="1" applyBorder="1"/>
    <xf numFmtId="0" fontId="1" fillId="2" borderId="2" xfId="0" applyFont="1" applyFill="1" applyBorder="1" applyAlignment="1">
      <alignment horizontal="center"/>
    </xf>
    <xf numFmtId="0" fontId="4" fillId="2" borderId="1" xfId="0" applyFont="1" applyFill="1" applyBorder="1"/>
    <xf numFmtId="0" fontId="1" fillId="2" borderId="0" xfId="0" applyFont="1" applyFill="1"/>
    <xf numFmtId="0" fontId="1" fillId="2" borderId="10" xfId="0" applyFont="1" applyFill="1" applyBorder="1"/>
    <xf numFmtId="0" fontId="2" fillId="0" borderId="9" xfId="0" applyFont="1" applyBorder="1"/>
    <xf numFmtId="0" fontId="0" fillId="2" borderId="0" xfId="0" applyFill="1"/>
    <xf numFmtId="14" fontId="0" fillId="0" borderId="10" xfId="0" quotePrefix="1" applyNumberFormat="1" applyBorder="1"/>
    <xf numFmtId="0" fontId="3" fillId="2" borderId="9" xfId="0" applyFont="1" applyFill="1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0" xfId="0" applyBorder="1" applyAlignment="1">
      <alignment horizontal="left"/>
    </xf>
    <xf numFmtId="0" fontId="1" fillId="0" borderId="0" xfId="0" applyFont="1" applyAlignment="1">
      <alignment horizontal="center"/>
    </xf>
    <xf numFmtId="0" fontId="2" fillId="0" borderId="9" xfId="0" applyFont="1" applyBorder="1" applyAlignment="1">
      <alignment horizontal="left"/>
    </xf>
    <xf numFmtId="0" fontId="4" fillId="0" borderId="0" xfId="0" applyFont="1"/>
    <xf numFmtId="14" fontId="0" fillId="0" borderId="0" xfId="0" quotePrefix="1" applyNumberFormat="1" applyAlignment="1">
      <alignment horizontal="left"/>
    </xf>
    <xf numFmtId="0" fontId="7" fillId="0" borderId="9" xfId="0" applyFont="1" applyBorder="1"/>
    <xf numFmtId="0" fontId="8" fillId="0" borderId="9" xfId="0" applyFont="1" applyBorder="1"/>
    <xf numFmtId="0" fontId="8" fillId="0" borderId="11" xfId="0" applyFont="1" applyBorder="1"/>
    <xf numFmtId="0" fontId="3" fillId="0" borderId="0" xfId="0" applyFont="1" applyAlignment="1">
      <alignment horizontal="center"/>
    </xf>
    <xf numFmtId="0" fontId="0" fillId="2" borderId="9" xfId="0" applyFill="1" applyBorder="1"/>
    <xf numFmtId="0" fontId="0" fillId="0" borderId="0" xfId="0" applyAlignment="1">
      <alignment horizontal="left"/>
    </xf>
    <xf numFmtId="49" fontId="0" fillId="0" borderId="0" xfId="0" applyNumberFormat="1"/>
    <xf numFmtId="14" fontId="0" fillId="0" borderId="0" xfId="0" applyNumberFormat="1"/>
    <xf numFmtId="0" fontId="10" fillId="13" borderId="0" xfId="0" applyFont="1" applyFill="1" applyAlignment="1">
      <alignment wrapText="1"/>
    </xf>
    <xf numFmtId="0" fontId="1" fillId="13" borderId="0" xfId="0" applyFont="1" applyFill="1" applyAlignment="1">
      <alignment wrapText="1"/>
    </xf>
    <xf numFmtId="0" fontId="1" fillId="13" borderId="0" xfId="0" applyFont="1" applyFill="1"/>
    <xf numFmtId="0" fontId="1" fillId="13" borderId="0" xfId="0" applyFont="1" applyFill="1" applyAlignment="1">
      <alignment vertical="top" wrapText="1"/>
    </xf>
    <xf numFmtId="0" fontId="0" fillId="0" borderId="0" xfId="0" applyAlignment="1">
      <alignment horizontal="right"/>
    </xf>
    <xf numFmtId="0" fontId="0" fillId="3" borderId="0" xfId="0" applyFill="1"/>
    <xf numFmtId="0" fontId="12" fillId="0" borderId="0" xfId="2"/>
    <xf numFmtId="0" fontId="12" fillId="0" borderId="0" xfId="2" applyFill="1" applyBorder="1"/>
    <xf numFmtId="0" fontId="0" fillId="0" borderId="0" xfId="0"/>
    <xf numFmtId="0" fontId="0" fillId="0" borderId="0" xfId="0"/>
    <xf numFmtId="0" fontId="4" fillId="2" borderId="2" xfId="0" applyFont="1" applyFill="1" applyBorder="1" applyAlignment="1">
      <alignment horizontal="center"/>
    </xf>
    <xf numFmtId="0" fontId="1" fillId="12" borderId="0" xfId="0" applyFont="1" applyFill="1" applyAlignment="1">
      <alignment horizontal="left" vertical="center"/>
    </xf>
    <xf numFmtId="0" fontId="0" fillId="0" borderId="0" xfId="0" applyFill="1"/>
    <xf numFmtId="0" fontId="0" fillId="0" borderId="0" xfId="0"/>
    <xf numFmtId="14" fontId="3" fillId="0" borderId="10" xfId="0" applyNumberFormat="1" applyFont="1" applyBorder="1" applyAlignment="1">
      <alignment horizontal="left"/>
    </xf>
    <xf numFmtId="0" fontId="13" fillId="0" borderId="5" xfId="0" applyFont="1" applyBorder="1" applyAlignment="1">
      <alignment horizontal="left"/>
    </xf>
    <xf numFmtId="0" fontId="0" fillId="0" borderId="10" xfId="0" applyFont="1" applyBorder="1" applyAlignment="1">
      <alignment horizontal="left"/>
    </xf>
    <xf numFmtId="0" fontId="0" fillId="0" borderId="10" xfId="0" applyFont="1" applyBorder="1"/>
    <xf numFmtId="0" fontId="14" fillId="0" borderId="10" xfId="0" applyFont="1" applyBorder="1" applyAlignment="1">
      <alignment horizontal="left"/>
    </xf>
    <xf numFmtId="14" fontId="0" fillId="0" borderId="10" xfId="0" applyNumberFormat="1" applyBorder="1" applyAlignment="1">
      <alignment horizontal="left"/>
    </xf>
    <xf numFmtId="0" fontId="0" fillId="0" borderId="0" xfId="0" applyFill="1" applyAlignment="1"/>
    <xf numFmtId="0" fontId="2" fillId="8" borderId="8" xfId="0" applyFont="1" applyFill="1" applyBorder="1" applyAlignment="1">
      <alignment horizontal="center" vertical="center" wrapText="1"/>
    </xf>
    <xf numFmtId="0" fontId="0" fillId="0" borderId="0" xfId="0"/>
    <xf numFmtId="0" fontId="2" fillId="9" borderId="8" xfId="0" applyFont="1" applyFill="1" applyBorder="1" applyAlignment="1">
      <alignment horizontal="center" vertical="center" wrapText="1"/>
    </xf>
    <xf numFmtId="0" fontId="7" fillId="10" borderId="8" xfId="0" applyFont="1" applyFill="1" applyBorder="1" applyAlignment="1">
      <alignment horizontal="center" vertical="center" wrapText="1"/>
    </xf>
    <xf numFmtId="0" fontId="7" fillId="11" borderId="8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/>
    </xf>
    <xf numFmtId="0" fontId="2" fillId="4" borderId="3" xfId="0" applyFont="1" applyFill="1" applyBorder="1" applyAlignment="1">
      <alignment horizontal="center"/>
    </xf>
    <xf numFmtId="0" fontId="7" fillId="5" borderId="8" xfId="0" applyFont="1" applyFill="1" applyBorder="1" applyAlignment="1">
      <alignment horizontal="center" vertical="center" wrapText="1"/>
    </xf>
    <xf numFmtId="0" fontId="7" fillId="6" borderId="8" xfId="0" applyFont="1" applyFill="1" applyBorder="1" applyAlignment="1">
      <alignment horizontal="center" vertical="center" wrapText="1"/>
    </xf>
    <xf numFmtId="0" fontId="2" fillId="7" borderId="8" xfId="0" applyFont="1" applyFill="1" applyBorder="1" applyAlignment="1">
      <alignment horizontal="center" vertical="center" wrapText="1"/>
    </xf>
  </cellXfs>
  <cellStyles count="3">
    <cellStyle name="Hyperlink" xfId="2" xr:uid="{00000000-000B-0000-0000-000008000000}"/>
    <cellStyle name="Normal 2" xfId="1" xr:uid="{00000000-0005-0000-0000-000000000000}"/>
    <cellStyle name="Standard" xfId="0" builtinId="0"/>
  </cellStyles>
  <dxfs count="0"/>
  <tableStyles count="0" defaultTableStyle="TableStyleMedium2" defaultPivotStyle="PivotStyleMedium9"/>
  <colors>
    <mruColors>
      <color rgb="FFDEDED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https://publications.jrc.ec.europa.eu/repository/handle/JRC95187" TargetMode="External"/><Relationship Id="rId3" Type="http://schemas.openxmlformats.org/officeDocument/2006/relationships/hyperlink" Target="https://www.sciencedirect.com/science/article/pii/S0048969716305745" TargetMode="External"/><Relationship Id="rId7" Type="http://schemas.openxmlformats.org/officeDocument/2006/relationships/hyperlink" Target="https://hes-documentation.lbl.gov/calculation-methodology/calculation-of-energy-consumption/appliances/miscellaneous-equipment-energy-consumption/default-energy-consumption-of-mels" TargetMode="External"/><Relationship Id="rId12" Type="http://schemas.openxmlformats.org/officeDocument/2006/relationships/printerSettings" Target="../printerSettings/printerSettings3.bin"/><Relationship Id="rId2" Type="http://schemas.openxmlformats.org/officeDocument/2006/relationships/hyperlink" Target="https://op.europa.eu/en/publication-detail/-/publication/533fa096-d971-11e7-a506-01aa75ed71a1/language-en" TargetMode="External"/><Relationship Id="rId1" Type="http://schemas.openxmlformats.org/officeDocument/2006/relationships/hyperlink" Target="https://doi.org/10.1016/j.resconrec.2024.107446" TargetMode="External"/><Relationship Id="rId6" Type="http://schemas.openxmlformats.org/officeDocument/2006/relationships/hyperlink" Target="https://link.springer.com/chapter/10.1007/978-3-031-29294-1_2/tables/2" TargetMode="External"/><Relationship Id="rId11" Type="http://schemas.openxmlformats.org/officeDocument/2006/relationships/hyperlink" Target="https://www.sciencedirect.com/science/article/pii/S0959652615001444" TargetMode="External"/><Relationship Id="rId5" Type="http://schemas.openxmlformats.org/officeDocument/2006/relationships/hyperlink" Target="https://www.sciencedirect.com/science/article/pii/S0959652608000504" TargetMode="External"/><Relationship Id="rId10" Type="http://schemas.openxmlformats.org/officeDocument/2006/relationships/hyperlink" Target="https://www.researchgate.net/publication/321028357_Environmental_assessment_of_microwaves_and_the_effect_of_European_energy_efficiency_and_waste_management_legislation" TargetMode="External"/><Relationship Id="rId4" Type="http://schemas.openxmlformats.org/officeDocument/2006/relationships/hyperlink" Target="https://www.researchgate.net/publication/320018302_Environmental_Performance_of_Kettle_Production_Product_Life_Cycle_Assessment" TargetMode="External"/><Relationship Id="rId9" Type="http://schemas.openxmlformats.org/officeDocument/2006/relationships/hyperlink" Target="https://onlinelibrary.wiley.com/doi/full/10.1111/jiec.1310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72"/>
  <sheetViews>
    <sheetView topLeftCell="B1" zoomScale="85" zoomScaleNormal="85" workbookViewId="0">
      <selection activeCell="F14" sqref="F14"/>
    </sheetView>
  </sheetViews>
  <sheetFormatPr baseColWidth="10" defaultColWidth="9.15625" defaultRowHeight="14.4" x14ac:dyDescent="0.55000000000000004"/>
  <cols>
    <col min="1" max="1" width="7.15625" customWidth="1"/>
    <col min="2" max="2" width="15.83984375" customWidth="1"/>
    <col min="3" max="3" width="23.15625" bestFit="1" customWidth="1"/>
    <col min="4" max="4" width="46.83984375" customWidth="1"/>
    <col min="5" max="5" width="11.68359375" bestFit="1" customWidth="1"/>
    <col min="6" max="6" width="24.26171875" bestFit="1" customWidth="1"/>
    <col min="7" max="8" width="26" bestFit="1" customWidth="1"/>
    <col min="9" max="9" width="24.83984375" bestFit="1" customWidth="1"/>
    <col min="10" max="11" width="3.26171875" customWidth="1"/>
  </cols>
  <sheetData>
    <row r="1" spans="1:12" x14ac:dyDescent="0.55000000000000004">
      <c r="E1" s="1"/>
      <c r="H1" s="20"/>
    </row>
    <row r="2" spans="1:12" ht="15.6" customHeight="1" x14ac:dyDescent="0.6">
      <c r="B2" s="73" t="s">
        <v>0</v>
      </c>
      <c r="C2" s="69"/>
      <c r="D2" s="69"/>
      <c r="E2" s="1"/>
      <c r="F2" s="73" t="s">
        <v>1</v>
      </c>
      <c r="G2" s="69"/>
      <c r="H2" s="69"/>
      <c r="I2" s="69"/>
      <c r="L2" s="1"/>
    </row>
    <row r="3" spans="1:12" x14ac:dyDescent="0.55000000000000004">
      <c r="B3" s="5"/>
      <c r="C3" s="6" t="s">
        <v>2</v>
      </c>
      <c r="D3" s="7" t="s">
        <v>3</v>
      </c>
      <c r="E3" s="1"/>
      <c r="L3" s="1"/>
    </row>
    <row r="4" spans="1:12" x14ac:dyDescent="0.55000000000000004">
      <c r="A4">
        <v>1</v>
      </c>
      <c r="B4" s="74" t="s">
        <v>4</v>
      </c>
      <c r="C4" s="8" t="s">
        <v>5</v>
      </c>
      <c r="D4" s="62" t="s">
        <v>6</v>
      </c>
      <c r="E4" s="1" t="s">
        <v>7</v>
      </c>
      <c r="F4" s="9" t="s">
        <v>8</v>
      </c>
      <c r="G4" s="10"/>
      <c r="H4" s="10"/>
      <c r="I4" s="11"/>
      <c r="L4" s="1"/>
    </row>
    <row r="5" spans="1:12" x14ac:dyDescent="0.55000000000000004">
      <c r="A5">
        <v>2</v>
      </c>
      <c r="B5" s="69"/>
      <c r="C5" s="39" t="s">
        <v>9</v>
      </c>
      <c r="D5" s="19" t="s">
        <v>200</v>
      </c>
      <c r="E5" s="1" t="s">
        <v>7</v>
      </c>
      <c r="F5" s="12"/>
      <c r="I5" s="13"/>
      <c r="L5" s="1"/>
    </row>
    <row r="6" spans="1:12" x14ac:dyDescent="0.55000000000000004">
      <c r="A6">
        <v>3</v>
      </c>
      <c r="B6" s="14"/>
      <c r="C6" s="39" t="s">
        <v>10</v>
      </c>
      <c r="D6" s="19" t="s">
        <v>11</v>
      </c>
      <c r="E6" s="1" t="s">
        <v>7</v>
      </c>
      <c r="F6" s="15" t="s">
        <v>12</v>
      </c>
      <c r="G6" s="16" t="s">
        <v>13</v>
      </c>
      <c r="H6" s="4"/>
      <c r="I6" s="17"/>
      <c r="L6" s="1"/>
    </row>
    <row r="7" spans="1:12" x14ac:dyDescent="0.55000000000000004">
      <c r="A7">
        <v>4</v>
      </c>
      <c r="B7" s="75" t="s">
        <v>14</v>
      </c>
      <c r="C7" s="39" t="s">
        <v>15</v>
      </c>
      <c r="D7" s="19">
        <v>20</v>
      </c>
      <c r="E7" s="1" t="s">
        <v>7</v>
      </c>
      <c r="F7" s="15" t="s">
        <v>16</v>
      </c>
      <c r="G7" s="16" t="s">
        <v>17</v>
      </c>
      <c r="H7" s="18"/>
      <c r="I7" s="19"/>
      <c r="L7" s="1"/>
    </row>
    <row r="8" spans="1:12" x14ac:dyDescent="0.55000000000000004">
      <c r="A8">
        <v>5</v>
      </c>
      <c r="B8" s="69"/>
      <c r="C8" s="39" t="s">
        <v>18</v>
      </c>
      <c r="D8" s="19">
        <v>3</v>
      </c>
      <c r="E8" s="1" t="s">
        <v>7</v>
      </c>
      <c r="F8" s="15" t="s">
        <v>19</v>
      </c>
      <c r="G8" s="16" t="s">
        <v>17</v>
      </c>
      <c r="H8" s="20"/>
      <c r="I8" s="21"/>
      <c r="L8" s="1"/>
    </row>
    <row r="9" spans="1:12" x14ac:dyDescent="0.55000000000000004">
      <c r="A9">
        <v>6</v>
      </c>
      <c r="B9" s="69"/>
      <c r="C9" s="39" t="s">
        <v>20</v>
      </c>
      <c r="D9" s="19" t="s">
        <v>205</v>
      </c>
      <c r="E9" s="1" t="s">
        <v>7</v>
      </c>
      <c r="F9" s="15" t="s">
        <v>21</v>
      </c>
      <c r="G9" s="16" t="s">
        <v>17</v>
      </c>
      <c r="H9" s="20"/>
      <c r="I9" s="21"/>
      <c r="L9" s="1"/>
    </row>
    <row r="10" spans="1:12" x14ac:dyDescent="0.55000000000000004">
      <c r="A10">
        <v>7</v>
      </c>
      <c r="B10" s="69"/>
      <c r="C10" s="39" t="s">
        <v>22</v>
      </c>
      <c r="D10" s="19" t="s">
        <v>206</v>
      </c>
      <c r="E10" s="1" t="s">
        <v>7</v>
      </c>
      <c r="F10" s="22" t="s">
        <v>23</v>
      </c>
      <c r="G10" s="23" t="s">
        <v>17</v>
      </c>
      <c r="H10" s="24" t="s">
        <v>24</v>
      </c>
      <c r="I10" s="57">
        <v>88</v>
      </c>
      <c r="L10" s="1"/>
    </row>
    <row r="11" spans="1:12" x14ac:dyDescent="0.55000000000000004">
      <c r="A11">
        <v>8</v>
      </c>
      <c r="B11" s="76" t="s">
        <v>25</v>
      </c>
      <c r="C11" s="27" t="s">
        <v>26</v>
      </c>
      <c r="D11" s="19" t="s">
        <v>207</v>
      </c>
      <c r="E11" s="1" t="s">
        <v>7</v>
      </c>
      <c r="F11" s="15" t="s">
        <v>27</v>
      </c>
      <c r="G11" s="25" t="s">
        <v>28</v>
      </c>
      <c r="H11" s="25" t="s">
        <v>29</v>
      </c>
      <c r="I11" s="26" t="s">
        <v>30</v>
      </c>
      <c r="L11" s="1"/>
    </row>
    <row r="12" spans="1:12" x14ac:dyDescent="0.55000000000000004">
      <c r="A12">
        <v>9</v>
      </c>
      <c r="B12" s="69"/>
      <c r="C12" s="27" t="s">
        <v>31</v>
      </c>
      <c r="D12" s="19" t="s">
        <v>208</v>
      </c>
      <c r="E12" s="1" t="s">
        <v>7</v>
      </c>
      <c r="F12" s="43" t="s">
        <v>57</v>
      </c>
      <c r="G12" s="3">
        <v>1</v>
      </c>
      <c r="H12" s="28" t="s">
        <v>32</v>
      </c>
      <c r="I12" s="29"/>
      <c r="L12" s="1"/>
    </row>
    <row r="13" spans="1:12" x14ac:dyDescent="0.55000000000000004">
      <c r="A13">
        <v>10</v>
      </c>
      <c r="B13" s="69"/>
      <c r="C13" s="27" t="s">
        <v>33</v>
      </c>
      <c r="D13" s="19" t="s">
        <v>34</v>
      </c>
      <c r="E13" s="1" t="s">
        <v>7</v>
      </c>
      <c r="F13" s="43" t="s">
        <v>54</v>
      </c>
      <c r="G13" s="3">
        <v>1</v>
      </c>
      <c r="H13" s="28" t="s">
        <v>35</v>
      </c>
      <c r="I13" s="29"/>
      <c r="L13" s="1"/>
    </row>
    <row r="14" spans="1:12" x14ac:dyDescent="0.55000000000000004">
      <c r="A14">
        <v>11</v>
      </c>
      <c r="B14" s="69"/>
      <c r="C14" s="27" t="s">
        <v>36</v>
      </c>
      <c r="D14" s="19" t="s">
        <v>209</v>
      </c>
      <c r="E14" s="1" t="s">
        <v>7</v>
      </c>
      <c r="F14" s="30" t="s">
        <v>62</v>
      </c>
      <c r="G14" s="3">
        <v>1</v>
      </c>
      <c r="H14" s="28" t="s">
        <v>38</v>
      </c>
      <c r="I14" s="29"/>
      <c r="L14" s="1"/>
    </row>
    <row r="15" spans="1:12" x14ac:dyDescent="0.55000000000000004">
      <c r="A15">
        <v>12</v>
      </c>
      <c r="B15" s="69"/>
      <c r="C15" s="27" t="s">
        <v>39</v>
      </c>
      <c r="D15" s="19" t="s">
        <v>37</v>
      </c>
      <c r="E15" s="1" t="s">
        <v>7</v>
      </c>
      <c r="F15" s="43" t="s">
        <v>65</v>
      </c>
      <c r="G15" s="3">
        <v>1</v>
      </c>
      <c r="H15" s="28" t="s">
        <v>40</v>
      </c>
      <c r="I15" s="29"/>
      <c r="L15" s="1"/>
    </row>
    <row r="16" spans="1:12" x14ac:dyDescent="0.55000000000000004">
      <c r="A16">
        <v>13</v>
      </c>
      <c r="B16" s="69"/>
      <c r="C16" s="27" t="s">
        <v>41</v>
      </c>
      <c r="D16" s="19" t="s">
        <v>37</v>
      </c>
      <c r="E16" s="1" t="s">
        <v>7</v>
      </c>
      <c r="F16" s="43" t="s">
        <v>217</v>
      </c>
      <c r="G16" s="3">
        <v>1</v>
      </c>
      <c r="H16" s="28" t="s">
        <v>42</v>
      </c>
      <c r="I16" s="29"/>
      <c r="L16" s="1"/>
    </row>
    <row r="17" spans="1:15" x14ac:dyDescent="0.55000000000000004">
      <c r="A17">
        <v>14</v>
      </c>
      <c r="B17" s="69"/>
      <c r="C17" s="27" t="s">
        <v>43</v>
      </c>
      <c r="D17" s="19" t="s">
        <v>210</v>
      </c>
      <c r="E17" s="1" t="s">
        <v>7</v>
      </c>
      <c r="F17" s="12"/>
      <c r="I17" s="13"/>
      <c r="L17" s="1"/>
    </row>
    <row r="18" spans="1:15" x14ac:dyDescent="0.55000000000000004">
      <c r="A18">
        <v>15</v>
      </c>
      <c r="B18" s="69"/>
      <c r="C18" s="27" t="s">
        <v>44</v>
      </c>
      <c r="D18" s="19" t="s">
        <v>211</v>
      </c>
      <c r="E18" s="1" t="s">
        <v>7</v>
      </c>
      <c r="F18" s="12"/>
      <c r="I18" s="13"/>
      <c r="L18" s="1"/>
    </row>
    <row r="19" spans="1:15" x14ac:dyDescent="0.55000000000000004">
      <c r="A19">
        <v>16</v>
      </c>
      <c r="B19" s="69"/>
      <c r="C19" s="27" t="s">
        <v>45</v>
      </c>
      <c r="D19" s="19" t="s">
        <v>212</v>
      </c>
      <c r="E19" s="1" t="s">
        <v>7</v>
      </c>
      <c r="F19" s="12"/>
      <c r="I19" s="13"/>
      <c r="L19" s="1"/>
    </row>
    <row r="20" spans="1:15" x14ac:dyDescent="0.55000000000000004">
      <c r="A20">
        <v>17</v>
      </c>
      <c r="B20" s="69"/>
      <c r="C20" s="27" t="s">
        <v>46</v>
      </c>
      <c r="D20" s="19" t="s">
        <v>213</v>
      </c>
      <c r="E20" s="1" t="s">
        <v>7</v>
      </c>
      <c r="F20" s="12"/>
      <c r="I20" s="13"/>
      <c r="L20" s="1"/>
    </row>
    <row r="21" spans="1:15" x14ac:dyDescent="0.55000000000000004">
      <c r="A21">
        <v>18</v>
      </c>
      <c r="B21" s="77" t="s">
        <v>47</v>
      </c>
      <c r="C21" s="27" t="s">
        <v>48</v>
      </c>
      <c r="D21" s="19" t="s">
        <v>214</v>
      </c>
      <c r="E21" s="1" t="s">
        <v>7</v>
      </c>
      <c r="F21" s="31"/>
      <c r="G21" s="32"/>
      <c r="H21" s="32"/>
      <c r="I21" s="33"/>
      <c r="L21" s="1"/>
    </row>
    <row r="22" spans="1:15" x14ac:dyDescent="0.55000000000000004">
      <c r="A22">
        <v>19</v>
      </c>
      <c r="B22" s="69"/>
      <c r="C22" s="27" t="s">
        <v>49</v>
      </c>
      <c r="D22" s="19" t="s">
        <v>215</v>
      </c>
      <c r="E22" s="1" t="s">
        <v>7</v>
      </c>
      <c r="L22" s="1"/>
    </row>
    <row r="23" spans="1:15" x14ac:dyDescent="0.55000000000000004">
      <c r="A23">
        <v>20</v>
      </c>
      <c r="B23" s="69"/>
      <c r="C23" s="27" t="s">
        <v>50</v>
      </c>
      <c r="D23" s="19" t="s">
        <v>216</v>
      </c>
      <c r="E23" s="1" t="s">
        <v>7</v>
      </c>
      <c r="L23" s="1"/>
      <c r="N23" s="35"/>
    </row>
    <row r="24" spans="1:15" x14ac:dyDescent="0.55000000000000004">
      <c r="A24">
        <v>21</v>
      </c>
      <c r="B24" s="69"/>
      <c r="C24" s="27" t="s">
        <v>51</v>
      </c>
      <c r="D24" s="19">
        <v>88</v>
      </c>
      <c r="E24" s="1" t="s">
        <v>7</v>
      </c>
      <c r="H24" s="20"/>
      <c r="L24" s="1"/>
      <c r="N24" s="4"/>
      <c r="O24" s="1"/>
    </row>
    <row r="25" spans="1:15" x14ac:dyDescent="0.55000000000000004">
      <c r="A25">
        <v>22</v>
      </c>
      <c r="B25" s="69"/>
      <c r="C25" s="27" t="s">
        <v>42</v>
      </c>
      <c r="D25" s="19" t="s">
        <v>221</v>
      </c>
      <c r="E25" s="1" t="s">
        <v>7</v>
      </c>
      <c r="G25" s="35"/>
      <c r="L25" s="1"/>
      <c r="N25" s="4"/>
    </row>
    <row r="26" spans="1:15" x14ac:dyDescent="0.55000000000000004">
      <c r="A26">
        <v>23</v>
      </c>
      <c r="B26" s="68" t="s">
        <v>52</v>
      </c>
      <c r="C26" s="36" t="s">
        <v>53</v>
      </c>
      <c r="D26" s="19" t="s">
        <v>57</v>
      </c>
      <c r="E26" s="1" t="s">
        <v>7</v>
      </c>
      <c r="G26" s="4"/>
      <c r="H26" s="1"/>
      <c r="L26" s="1"/>
      <c r="N26" s="4"/>
    </row>
    <row r="27" spans="1:15" x14ac:dyDescent="0.55000000000000004">
      <c r="A27">
        <v>24</v>
      </c>
      <c r="B27" s="69"/>
      <c r="C27" s="36" t="s">
        <v>55</v>
      </c>
      <c r="D27" s="19">
        <v>7</v>
      </c>
      <c r="E27" s="1" t="s">
        <v>7</v>
      </c>
      <c r="G27" s="4"/>
      <c r="L27" s="1"/>
      <c r="N27" s="4"/>
      <c r="O27" s="1"/>
    </row>
    <row r="28" spans="1:15" x14ac:dyDescent="0.55000000000000004">
      <c r="A28">
        <v>25</v>
      </c>
      <c r="B28" s="69"/>
      <c r="C28" s="36" t="s">
        <v>56</v>
      </c>
      <c r="D28" s="19" t="s">
        <v>54</v>
      </c>
      <c r="E28" s="1" t="s">
        <v>7</v>
      </c>
      <c r="G28" s="4"/>
      <c r="L28" s="1"/>
      <c r="N28" s="4"/>
      <c r="O28" s="1"/>
    </row>
    <row r="29" spans="1:15" x14ac:dyDescent="0.55000000000000004">
      <c r="A29">
        <v>26</v>
      </c>
      <c r="B29" s="69"/>
      <c r="C29" s="36" t="s">
        <v>58</v>
      </c>
      <c r="D29" s="19">
        <v>12</v>
      </c>
      <c r="E29" s="1" t="s">
        <v>7</v>
      </c>
      <c r="G29" s="4"/>
      <c r="H29" s="1"/>
      <c r="N29" s="4"/>
      <c r="O29" s="1"/>
    </row>
    <row r="30" spans="1:15" x14ac:dyDescent="0.55000000000000004">
      <c r="A30">
        <v>27</v>
      </c>
      <c r="B30" s="69"/>
      <c r="C30" s="36" t="s">
        <v>59</v>
      </c>
      <c r="D30" s="19" t="s">
        <v>62</v>
      </c>
      <c r="E30" s="1" t="s">
        <v>7</v>
      </c>
      <c r="G30" s="4"/>
      <c r="H30" s="1"/>
      <c r="N30" s="4"/>
    </row>
    <row r="31" spans="1:15" x14ac:dyDescent="0.55000000000000004">
      <c r="A31">
        <v>28</v>
      </c>
      <c r="B31" s="69"/>
      <c r="C31" s="36" t="s">
        <v>60</v>
      </c>
      <c r="D31" s="19">
        <v>2</v>
      </c>
      <c r="E31" s="1" t="s">
        <v>7</v>
      </c>
      <c r="G31" s="4"/>
      <c r="H31" s="1"/>
      <c r="N31" s="4"/>
    </row>
    <row r="32" spans="1:15" x14ac:dyDescent="0.55000000000000004">
      <c r="A32">
        <v>29</v>
      </c>
      <c r="B32" s="69"/>
      <c r="C32" s="36" t="s">
        <v>61</v>
      </c>
      <c r="D32" s="19" t="s">
        <v>65</v>
      </c>
      <c r="E32" s="1" t="s">
        <v>7</v>
      </c>
      <c r="G32" s="4"/>
      <c r="N32" s="4"/>
    </row>
    <row r="33" spans="1:17" x14ac:dyDescent="0.55000000000000004">
      <c r="A33">
        <v>30</v>
      </c>
      <c r="B33" s="69"/>
      <c r="C33" s="36" t="s">
        <v>63</v>
      </c>
      <c r="D33" s="19">
        <v>3</v>
      </c>
      <c r="E33" s="1" t="s">
        <v>7</v>
      </c>
      <c r="G33" s="4"/>
      <c r="N33" s="4"/>
      <c r="O33" s="2"/>
    </row>
    <row r="34" spans="1:17" x14ac:dyDescent="0.55000000000000004">
      <c r="A34">
        <v>31</v>
      </c>
      <c r="B34" s="69"/>
      <c r="C34" s="36" t="s">
        <v>64</v>
      </c>
      <c r="D34" s="19" t="s">
        <v>217</v>
      </c>
      <c r="E34" s="1" t="s">
        <v>7</v>
      </c>
      <c r="G34" s="4"/>
      <c r="N34" s="4"/>
      <c r="O34" s="2"/>
    </row>
    <row r="35" spans="1:17" x14ac:dyDescent="0.55000000000000004">
      <c r="A35">
        <v>32</v>
      </c>
      <c r="B35" s="69"/>
      <c r="C35" s="36" t="s">
        <v>66</v>
      </c>
      <c r="D35" s="19">
        <v>10</v>
      </c>
      <c r="E35" s="1" t="s">
        <v>7</v>
      </c>
      <c r="G35" s="4"/>
      <c r="H35" s="2"/>
      <c r="N35" s="4"/>
    </row>
    <row r="36" spans="1:17" x14ac:dyDescent="0.55000000000000004">
      <c r="A36">
        <v>33</v>
      </c>
      <c r="B36" s="69"/>
      <c r="C36" s="36" t="s">
        <v>67</v>
      </c>
      <c r="D36" s="19" t="s">
        <v>37</v>
      </c>
      <c r="E36" s="1" t="s">
        <v>7</v>
      </c>
      <c r="G36" s="4"/>
      <c r="H36" s="2"/>
      <c r="N36" s="4"/>
      <c r="O36" s="1"/>
    </row>
    <row r="37" spans="1:17" x14ac:dyDescent="0.55000000000000004">
      <c r="A37">
        <v>34</v>
      </c>
      <c r="B37" s="69"/>
      <c r="C37" s="36" t="s">
        <v>68</v>
      </c>
      <c r="D37" s="19" t="s">
        <v>37</v>
      </c>
      <c r="E37" s="1" t="s">
        <v>7</v>
      </c>
      <c r="G37" s="4"/>
      <c r="N37" s="4"/>
    </row>
    <row r="38" spans="1:17" x14ac:dyDescent="0.55000000000000004">
      <c r="A38">
        <v>35</v>
      </c>
      <c r="B38" s="69"/>
      <c r="C38" s="36" t="s">
        <v>69</v>
      </c>
      <c r="D38" s="19" t="s">
        <v>37</v>
      </c>
      <c r="E38" s="1" t="s">
        <v>7</v>
      </c>
      <c r="G38" s="4"/>
      <c r="H38" s="1"/>
      <c r="N38" s="4"/>
    </row>
    <row r="39" spans="1:17" x14ac:dyDescent="0.55000000000000004">
      <c r="A39">
        <v>36</v>
      </c>
      <c r="B39" s="69"/>
      <c r="C39" s="36" t="s">
        <v>70</v>
      </c>
      <c r="D39" s="19" t="s">
        <v>37</v>
      </c>
      <c r="E39" s="1" t="s">
        <v>7</v>
      </c>
      <c r="G39" s="4"/>
      <c r="N39" s="4"/>
    </row>
    <row r="40" spans="1:17" x14ac:dyDescent="0.55000000000000004">
      <c r="A40">
        <v>37</v>
      </c>
      <c r="B40" s="69"/>
      <c r="C40" s="36" t="s">
        <v>71</v>
      </c>
      <c r="D40" s="19" t="s">
        <v>37</v>
      </c>
      <c r="E40" s="1" t="s">
        <v>7</v>
      </c>
      <c r="G40" s="4"/>
      <c r="N40" s="4"/>
    </row>
    <row r="41" spans="1:17" x14ac:dyDescent="0.55000000000000004">
      <c r="A41">
        <v>38</v>
      </c>
      <c r="B41" s="69"/>
      <c r="C41" s="36" t="s">
        <v>72</v>
      </c>
      <c r="D41" s="19" t="s">
        <v>37</v>
      </c>
      <c r="E41" s="1" t="s">
        <v>7</v>
      </c>
      <c r="G41" s="4"/>
      <c r="N41" s="4"/>
    </row>
    <row r="42" spans="1:17" x14ac:dyDescent="0.55000000000000004">
      <c r="A42">
        <v>39</v>
      </c>
      <c r="B42" s="69"/>
      <c r="C42" s="36" t="s">
        <v>73</v>
      </c>
      <c r="D42" s="19" t="s">
        <v>37</v>
      </c>
      <c r="E42" s="1" t="s">
        <v>7</v>
      </c>
      <c r="G42" s="4"/>
      <c r="N42" s="4"/>
    </row>
    <row r="43" spans="1:17" x14ac:dyDescent="0.55000000000000004">
      <c r="A43">
        <v>40</v>
      </c>
      <c r="B43" s="69"/>
      <c r="C43" s="36" t="s">
        <v>74</v>
      </c>
      <c r="D43" s="19" t="s">
        <v>37</v>
      </c>
      <c r="E43" s="1" t="s">
        <v>7</v>
      </c>
      <c r="G43" s="4"/>
      <c r="N43" s="4"/>
      <c r="O43" s="35"/>
      <c r="P43" s="37"/>
      <c r="Q43" s="42"/>
    </row>
    <row r="44" spans="1:17" x14ac:dyDescent="0.55000000000000004">
      <c r="A44">
        <v>41</v>
      </c>
      <c r="B44" s="69"/>
      <c r="C44" s="36" t="s">
        <v>75</v>
      </c>
      <c r="D44" s="19" t="s">
        <v>37</v>
      </c>
      <c r="E44" s="1" t="s">
        <v>7</v>
      </c>
      <c r="G44" s="4"/>
      <c r="N44" s="4"/>
      <c r="O44" s="4"/>
      <c r="P44" s="4"/>
      <c r="Q44" s="4"/>
    </row>
    <row r="45" spans="1:17" x14ac:dyDescent="0.55000000000000004">
      <c r="A45">
        <v>42</v>
      </c>
      <c r="B45" s="69"/>
      <c r="C45" s="36" t="s">
        <v>76</v>
      </c>
      <c r="D45" s="19" t="s">
        <v>37</v>
      </c>
      <c r="E45" s="1" t="s">
        <v>7</v>
      </c>
      <c r="G45" s="4"/>
      <c r="H45" s="35"/>
      <c r="I45" s="37"/>
      <c r="O45" s="3"/>
      <c r="Q45" s="2"/>
    </row>
    <row r="46" spans="1:17" x14ac:dyDescent="0.55000000000000004">
      <c r="A46">
        <v>43</v>
      </c>
      <c r="B46" s="69"/>
      <c r="C46" s="36" t="s">
        <v>77</v>
      </c>
      <c r="D46" s="19" t="s">
        <v>37</v>
      </c>
      <c r="E46" s="1" t="s">
        <v>7</v>
      </c>
      <c r="G46" s="4"/>
      <c r="H46" s="4"/>
      <c r="I46" s="4"/>
      <c r="O46" s="3"/>
      <c r="Q46" s="2"/>
    </row>
    <row r="47" spans="1:17" x14ac:dyDescent="0.55000000000000004">
      <c r="A47">
        <v>44</v>
      </c>
      <c r="B47" s="69"/>
      <c r="C47" s="36" t="s">
        <v>78</v>
      </c>
      <c r="D47" s="19" t="s">
        <v>37</v>
      </c>
      <c r="E47" s="1" t="s">
        <v>7</v>
      </c>
      <c r="H47" s="38"/>
      <c r="N47" s="20"/>
      <c r="O47" s="3"/>
      <c r="Q47" s="2"/>
    </row>
    <row r="48" spans="1:17" x14ac:dyDescent="0.55000000000000004">
      <c r="A48">
        <v>45</v>
      </c>
      <c r="B48" s="69"/>
      <c r="C48" s="36" t="s">
        <v>79</v>
      </c>
      <c r="D48" s="19" t="s">
        <v>37</v>
      </c>
      <c r="E48" s="1" t="s">
        <v>7</v>
      </c>
      <c r="H48" s="3"/>
      <c r="N48" s="20"/>
      <c r="O48" s="3"/>
      <c r="Q48" s="2"/>
    </row>
    <row r="49" spans="1:17" x14ac:dyDescent="0.55000000000000004">
      <c r="A49">
        <v>46</v>
      </c>
      <c r="B49" s="69"/>
      <c r="C49" s="36" t="s">
        <v>80</v>
      </c>
      <c r="D49" s="19" t="s">
        <v>37</v>
      </c>
      <c r="E49" s="1" t="s">
        <v>7</v>
      </c>
      <c r="Q49" s="2"/>
    </row>
    <row r="50" spans="1:17" x14ac:dyDescent="0.55000000000000004">
      <c r="A50">
        <v>47</v>
      </c>
      <c r="B50" s="69"/>
      <c r="C50" s="27" t="s">
        <v>81</v>
      </c>
      <c r="D50" s="19" t="s">
        <v>219</v>
      </c>
      <c r="E50" s="1" t="s">
        <v>7</v>
      </c>
      <c r="H50" s="44"/>
    </row>
    <row r="51" spans="1:17" x14ac:dyDescent="0.55000000000000004">
      <c r="A51">
        <v>48</v>
      </c>
      <c r="B51" s="69"/>
      <c r="C51" s="27" t="s">
        <v>82</v>
      </c>
      <c r="D51" s="19" t="s">
        <v>226</v>
      </c>
      <c r="E51" s="1" t="s">
        <v>7</v>
      </c>
      <c r="H51" s="44"/>
    </row>
    <row r="52" spans="1:17" x14ac:dyDescent="0.55000000000000004">
      <c r="A52">
        <v>49</v>
      </c>
      <c r="B52" s="69"/>
      <c r="C52" s="27" t="s">
        <v>83</v>
      </c>
      <c r="D52" s="19" t="s">
        <v>227</v>
      </c>
      <c r="E52" s="1" t="s">
        <v>7</v>
      </c>
      <c r="H52" s="44"/>
    </row>
    <row r="53" spans="1:17" x14ac:dyDescent="0.55000000000000004">
      <c r="A53">
        <v>50</v>
      </c>
      <c r="B53" s="70" t="s">
        <v>84</v>
      </c>
      <c r="C53" s="39" t="s">
        <v>85</v>
      </c>
      <c r="D53" s="34" t="s">
        <v>223</v>
      </c>
      <c r="E53" s="1" t="s">
        <v>7</v>
      </c>
    </row>
    <row r="54" spans="1:17" x14ac:dyDescent="0.55000000000000004">
      <c r="A54">
        <v>51</v>
      </c>
      <c r="B54" s="69"/>
      <c r="C54" s="39" t="s">
        <v>86</v>
      </c>
      <c r="D54" s="34" t="s">
        <v>224</v>
      </c>
      <c r="E54" s="1" t="s">
        <v>7</v>
      </c>
    </row>
    <row r="55" spans="1:17" x14ac:dyDescent="0.55000000000000004">
      <c r="A55">
        <v>52</v>
      </c>
      <c r="B55" s="69"/>
      <c r="C55" s="39" t="s">
        <v>87</v>
      </c>
      <c r="D55" s="34" t="s">
        <v>225</v>
      </c>
      <c r="E55" s="1" t="s">
        <v>7</v>
      </c>
    </row>
    <row r="56" spans="1:17" x14ac:dyDescent="0.55000000000000004">
      <c r="A56">
        <v>53</v>
      </c>
      <c r="B56" s="69"/>
      <c r="C56" s="39" t="s">
        <v>88</v>
      </c>
      <c r="D56" s="34" t="s">
        <v>225</v>
      </c>
      <c r="E56" s="1" t="s">
        <v>7</v>
      </c>
    </row>
    <row r="57" spans="1:17" x14ac:dyDescent="0.55000000000000004">
      <c r="A57">
        <v>54</v>
      </c>
      <c r="B57" s="69"/>
      <c r="C57" s="27" t="s">
        <v>89</v>
      </c>
      <c r="D57" s="34" t="s">
        <v>225</v>
      </c>
      <c r="E57" s="1" t="s">
        <v>7</v>
      </c>
    </row>
    <row r="58" spans="1:17" x14ac:dyDescent="0.55000000000000004">
      <c r="A58">
        <v>55</v>
      </c>
      <c r="B58" s="69"/>
      <c r="C58" s="39" t="s">
        <v>90</v>
      </c>
      <c r="D58" s="34" t="s">
        <v>225</v>
      </c>
      <c r="E58" s="1" t="s">
        <v>7</v>
      </c>
    </row>
    <row r="59" spans="1:17" x14ac:dyDescent="0.55000000000000004">
      <c r="A59">
        <v>56</v>
      </c>
      <c r="B59" s="69"/>
      <c r="C59" s="39" t="s">
        <v>91</v>
      </c>
      <c r="D59" s="34" t="s">
        <v>225</v>
      </c>
      <c r="E59" s="1" t="s">
        <v>7</v>
      </c>
    </row>
    <row r="60" spans="1:17" x14ac:dyDescent="0.55000000000000004">
      <c r="A60">
        <v>57</v>
      </c>
      <c r="B60" s="69"/>
      <c r="C60" s="39" t="s">
        <v>92</v>
      </c>
      <c r="D60" s="65">
        <v>1</v>
      </c>
      <c r="E60" s="1" t="s">
        <v>7</v>
      </c>
    </row>
    <row r="61" spans="1:17" x14ac:dyDescent="0.55000000000000004">
      <c r="A61">
        <v>58</v>
      </c>
      <c r="B61" s="71" t="s">
        <v>93</v>
      </c>
      <c r="C61" s="39" t="s">
        <v>94</v>
      </c>
      <c r="D61" s="66">
        <v>45413</v>
      </c>
      <c r="E61" s="1" t="s">
        <v>7</v>
      </c>
    </row>
    <row r="62" spans="1:17" x14ac:dyDescent="0.55000000000000004">
      <c r="A62">
        <v>59</v>
      </c>
      <c r="B62" s="69"/>
      <c r="C62" s="39" t="s">
        <v>95</v>
      </c>
      <c r="D62" s="61">
        <v>45709</v>
      </c>
      <c r="E62" s="1" t="s">
        <v>7</v>
      </c>
    </row>
    <row r="63" spans="1:17" x14ac:dyDescent="0.55000000000000004">
      <c r="A63">
        <v>60</v>
      </c>
      <c r="B63" s="69"/>
      <c r="C63" s="39" t="s">
        <v>96</v>
      </c>
      <c r="D63" s="19" t="s">
        <v>220</v>
      </c>
      <c r="E63" s="1" t="s">
        <v>7</v>
      </c>
    </row>
    <row r="64" spans="1:17" x14ac:dyDescent="0.55000000000000004">
      <c r="A64">
        <v>61</v>
      </c>
      <c r="B64" s="69"/>
      <c r="C64" s="39" t="s">
        <v>97</v>
      </c>
      <c r="D64" s="63" t="s">
        <v>98</v>
      </c>
      <c r="E64" s="1" t="s">
        <v>7</v>
      </c>
    </row>
    <row r="65" spans="1:5" x14ac:dyDescent="0.55000000000000004">
      <c r="A65">
        <v>62</v>
      </c>
      <c r="B65" s="69"/>
      <c r="C65" s="39" t="s">
        <v>99</v>
      </c>
      <c r="D65" s="61">
        <v>45719</v>
      </c>
      <c r="E65" s="1" t="s">
        <v>7</v>
      </c>
    </row>
    <row r="66" spans="1:5" x14ac:dyDescent="0.55000000000000004">
      <c r="A66">
        <v>63</v>
      </c>
      <c r="B66" s="69"/>
      <c r="C66" s="39" t="s">
        <v>100</v>
      </c>
      <c r="D66" s="64" t="s">
        <v>222</v>
      </c>
      <c r="E66" s="1" t="s">
        <v>7</v>
      </c>
    </row>
    <row r="67" spans="1:5" x14ac:dyDescent="0.55000000000000004">
      <c r="A67">
        <v>64</v>
      </c>
      <c r="B67" s="69"/>
      <c r="C67" s="39" t="s">
        <v>101</v>
      </c>
      <c r="D67" s="64"/>
      <c r="E67" s="1" t="s">
        <v>7</v>
      </c>
    </row>
    <row r="68" spans="1:5" x14ac:dyDescent="0.55000000000000004">
      <c r="A68">
        <v>65</v>
      </c>
      <c r="B68" s="72" t="s">
        <v>102</v>
      </c>
      <c r="C68" s="40" t="s">
        <v>103</v>
      </c>
      <c r="D68" s="64"/>
      <c r="E68" s="1" t="s">
        <v>7</v>
      </c>
    </row>
    <row r="69" spans="1:5" x14ac:dyDescent="0.55000000000000004">
      <c r="A69">
        <v>66</v>
      </c>
      <c r="B69" s="69"/>
      <c r="C69" s="40" t="s">
        <v>104</v>
      </c>
      <c r="D69" s="64"/>
      <c r="E69" s="1" t="s">
        <v>7</v>
      </c>
    </row>
    <row r="70" spans="1:5" x14ac:dyDescent="0.55000000000000004">
      <c r="A70">
        <v>67</v>
      </c>
      <c r="B70" s="69"/>
      <c r="C70" s="40" t="s">
        <v>105</v>
      </c>
      <c r="D70" s="64"/>
      <c r="E70" s="1" t="s">
        <v>7</v>
      </c>
    </row>
    <row r="71" spans="1:5" x14ac:dyDescent="0.55000000000000004">
      <c r="A71">
        <v>68</v>
      </c>
      <c r="B71" s="69"/>
      <c r="C71" s="40" t="s">
        <v>106</v>
      </c>
      <c r="D71" s="13"/>
      <c r="E71" s="1" t="s">
        <v>7</v>
      </c>
    </row>
    <row r="72" spans="1:5" x14ac:dyDescent="0.55000000000000004">
      <c r="A72">
        <v>69</v>
      </c>
      <c r="B72" s="69"/>
      <c r="C72" s="41" t="s">
        <v>107</v>
      </c>
      <c r="D72" s="33"/>
      <c r="E72" s="1" t="s">
        <v>7</v>
      </c>
    </row>
  </sheetData>
  <mergeCells count="10">
    <mergeCell ref="F2:I2"/>
    <mergeCell ref="B4:B5"/>
    <mergeCell ref="B7:B10"/>
    <mergeCell ref="B11:B20"/>
    <mergeCell ref="B21:B25"/>
    <mergeCell ref="B26:B52"/>
    <mergeCell ref="B53:B60"/>
    <mergeCell ref="B61:B67"/>
    <mergeCell ref="B68:B72"/>
    <mergeCell ref="B2:D2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89"/>
  <sheetViews>
    <sheetView tabSelected="1" zoomScale="85" zoomScaleNormal="85" workbookViewId="0">
      <pane ySplit="1" topLeftCell="A2" activePane="bottomLeft" state="frozen"/>
      <selection pane="bottomLeft" activeCell="C1" sqref="C1:C1048576"/>
    </sheetView>
  </sheetViews>
  <sheetFormatPr baseColWidth="10" defaultColWidth="11.41796875" defaultRowHeight="14.4" x14ac:dyDescent="0.55000000000000004"/>
  <cols>
    <col min="1" max="1" width="30.578125" customWidth="1"/>
    <col min="2" max="2" width="36" style="51" customWidth="1"/>
    <col min="3" max="3" width="15.15625" customWidth="1"/>
    <col min="4" max="4" width="10.41796875" customWidth="1"/>
    <col min="5" max="5" width="20.47265625" style="56" customWidth="1"/>
    <col min="6" max="8" width="20.41796875" customWidth="1"/>
    <col min="9" max="9" width="15.41796875" bestFit="1" customWidth="1"/>
    <col min="10" max="11" width="17.68359375" bestFit="1" customWidth="1"/>
    <col min="12" max="12" width="12.68359375" customWidth="1"/>
    <col min="13" max="13" width="15.15625" style="45" bestFit="1" customWidth="1"/>
    <col min="14" max="14" width="22.68359375" bestFit="1" customWidth="1"/>
    <col min="22" max="22" width="14.41796875" customWidth="1"/>
    <col min="23" max="23" width="13.68359375" customWidth="1"/>
  </cols>
  <sheetData>
    <row r="1" spans="1:12" x14ac:dyDescent="0.55000000000000004">
      <c r="A1" s="58" t="s">
        <v>57</v>
      </c>
      <c r="B1" s="58" t="s">
        <v>54</v>
      </c>
      <c r="C1" s="58" t="s">
        <v>62</v>
      </c>
      <c r="D1" s="58" t="s">
        <v>65</v>
      </c>
      <c r="E1" s="58" t="s">
        <v>217</v>
      </c>
      <c r="F1" s="58" t="s">
        <v>32</v>
      </c>
      <c r="G1" s="58" t="s">
        <v>35</v>
      </c>
      <c r="H1" s="58" t="s">
        <v>38</v>
      </c>
      <c r="I1" s="58" t="s">
        <v>201</v>
      </c>
      <c r="J1" s="58" t="s">
        <v>42</v>
      </c>
      <c r="K1" s="58" t="s">
        <v>228</v>
      </c>
      <c r="L1" s="45"/>
    </row>
    <row r="2" spans="1:12" x14ac:dyDescent="0.55000000000000004">
      <c r="A2" t="s">
        <v>241</v>
      </c>
      <c r="B2" t="s">
        <v>204</v>
      </c>
      <c r="C2" t="s">
        <v>309</v>
      </c>
      <c r="D2">
        <v>2012</v>
      </c>
      <c r="E2" s="56" t="s">
        <v>218</v>
      </c>
      <c r="F2">
        <v>46</v>
      </c>
      <c r="G2" t="s">
        <v>202</v>
      </c>
      <c r="H2" t="s">
        <v>203</v>
      </c>
      <c r="I2" t="s">
        <v>37</v>
      </c>
      <c r="J2" s="59" t="s">
        <v>174</v>
      </c>
      <c r="K2" t="s">
        <v>108</v>
      </c>
      <c r="L2" s="45"/>
    </row>
    <row r="3" spans="1:12" x14ac:dyDescent="0.55000000000000004">
      <c r="A3" t="s">
        <v>242</v>
      </c>
      <c r="B3" s="55" t="s">
        <v>204</v>
      </c>
      <c r="C3" t="s">
        <v>309</v>
      </c>
      <c r="D3">
        <v>2012</v>
      </c>
      <c r="E3" s="56" t="s">
        <v>218</v>
      </c>
      <c r="F3">
        <v>172</v>
      </c>
      <c r="G3" s="55" t="s">
        <v>202</v>
      </c>
      <c r="H3" s="55" t="s">
        <v>203</v>
      </c>
      <c r="I3" t="s">
        <v>37</v>
      </c>
      <c r="J3" s="59" t="s">
        <v>174</v>
      </c>
      <c r="K3" s="56" t="s">
        <v>108</v>
      </c>
      <c r="L3" s="45"/>
    </row>
    <row r="4" spans="1:12" x14ac:dyDescent="0.55000000000000004">
      <c r="A4" t="s">
        <v>109</v>
      </c>
      <c r="B4" s="55" t="s">
        <v>204</v>
      </c>
      <c r="C4" t="s">
        <v>309</v>
      </c>
      <c r="D4">
        <v>2012</v>
      </c>
      <c r="E4" s="56" t="s">
        <v>218</v>
      </c>
      <c r="F4">
        <v>19</v>
      </c>
      <c r="G4" s="55" t="s">
        <v>202</v>
      </c>
      <c r="H4" s="55" t="s">
        <v>203</v>
      </c>
      <c r="I4" t="s">
        <v>37</v>
      </c>
      <c r="J4" s="59" t="s">
        <v>174</v>
      </c>
      <c r="K4" s="56" t="s">
        <v>108</v>
      </c>
      <c r="L4" s="45"/>
    </row>
    <row r="5" spans="1:12" x14ac:dyDescent="0.55000000000000004">
      <c r="A5" t="s">
        <v>110</v>
      </c>
      <c r="B5" s="55" t="s">
        <v>204</v>
      </c>
      <c r="C5" t="s">
        <v>309</v>
      </c>
      <c r="D5">
        <v>2012</v>
      </c>
      <c r="E5" s="56" t="s">
        <v>218</v>
      </c>
      <c r="F5">
        <v>17</v>
      </c>
      <c r="G5" s="55" t="s">
        <v>202</v>
      </c>
      <c r="H5" s="55" t="s">
        <v>203</v>
      </c>
      <c r="I5" t="s">
        <v>37</v>
      </c>
      <c r="J5" s="59" t="s">
        <v>174</v>
      </c>
      <c r="K5" s="56" t="s">
        <v>108</v>
      </c>
      <c r="L5" s="45"/>
    </row>
    <row r="6" spans="1:12" x14ac:dyDescent="0.55000000000000004">
      <c r="A6" t="s">
        <v>243</v>
      </c>
      <c r="B6" s="55" t="s">
        <v>204</v>
      </c>
      <c r="C6" t="s">
        <v>309</v>
      </c>
      <c r="D6">
        <v>2012</v>
      </c>
      <c r="E6" s="56" t="s">
        <v>218</v>
      </c>
      <c r="F6">
        <v>27</v>
      </c>
      <c r="G6" s="55" t="s">
        <v>202</v>
      </c>
      <c r="H6" s="55" t="s">
        <v>203</v>
      </c>
      <c r="I6" t="s">
        <v>37</v>
      </c>
      <c r="J6" s="59" t="s">
        <v>174</v>
      </c>
      <c r="K6" s="56" t="s">
        <v>108</v>
      </c>
      <c r="L6" s="45"/>
    </row>
    <row r="7" spans="1:12" x14ac:dyDescent="0.55000000000000004">
      <c r="A7" t="s">
        <v>111</v>
      </c>
      <c r="B7" s="55" t="s">
        <v>204</v>
      </c>
      <c r="C7" t="s">
        <v>309</v>
      </c>
      <c r="D7">
        <v>2012</v>
      </c>
      <c r="E7" s="56" t="s">
        <v>218</v>
      </c>
      <c r="F7">
        <v>132</v>
      </c>
      <c r="G7" s="55" t="s">
        <v>202</v>
      </c>
      <c r="H7" s="55" t="s">
        <v>203</v>
      </c>
      <c r="I7" t="s">
        <v>37</v>
      </c>
      <c r="J7" s="59" t="s">
        <v>174</v>
      </c>
      <c r="K7" s="56" t="s">
        <v>108</v>
      </c>
      <c r="L7" s="45"/>
    </row>
    <row r="8" spans="1:12" x14ac:dyDescent="0.55000000000000004">
      <c r="A8" t="s">
        <v>244</v>
      </c>
      <c r="B8" s="55" t="s">
        <v>204</v>
      </c>
      <c r="C8" t="s">
        <v>309</v>
      </c>
      <c r="D8">
        <v>2012</v>
      </c>
      <c r="E8" s="56" t="s">
        <v>218</v>
      </c>
      <c r="F8">
        <v>9</v>
      </c>
      <c r="G8" s="55" t="s">
        <v>202</v>
      </c>
      <c r="H8" s="55" t="s">
        <v>203</v>
      </c>
      <c r="I8" t="s">
        <v>37</v>
      </c>
      <c r="J8" s="59" t="s">
        <v>174</v>
      </c>
      <c r="K8" s="56" t="s">
        <v>108</v>
      </c>
      <c r="L8" s="45"/>
    </row>
    <row r="9" spans="1:12" x14ac:dyDescent="0.55000000000000004">
      <c r="A9" t="s">
        <v>245</v>
      </c>
      <c r="B9" s="55" t="s">
        <v>204</v>
      </c>
      <c r="C9" t="s">
        <v>309</v>
      </c>
      <c r="D9">
        <v>2012</v>
      </c>
      <c r="E9" s="56" t="s">
        <v>218</v>
      </c>
      <c r="F9">
        <v>39</v>
      </c>
      <c r="G9" s="55" t="s">
        <v>202</v>
      </c>
      <c r="H9" s="55" t="s">
        <v>203</v>
      </c>
      <c r="I9" t="s">
        <v>37</v>
      </c>
      <c r="J9" s="59" t="s">
        <v>174</v>
      </c>
      <c r="K9" s="56" t="s">
        <v>108</v>
      </c>
      <c r="L9" s="45"/>
    </row>
    <row r="10" spans="1:12" x14ac:dyDescent="0.55000000000000004">
      <c r="A10" t="s">
        <v>246</v>
      </c>
      <c r="B10" s="55" t="s">
        <v>204</v>
      </c>
      <c r="C10" t="s">
        <v>309</v>
      </c>
      <c r="D10">
        <v>2012</v>
      </c>
      <c r="E10" s="56" t="s">
        <v>218</v>
      </c>
      <c r="F10">
        <v>216</v>
      </c>
      <c r="G10" s="55" t="s">
        <v>202</v>
      </c>
      <c r="H10" s="55" t="s">
        <v>203</v>
      </c>
      <c r="I10" t="s">
        <v>37</v>
      </c>
      <c r="J10" s="59" t="s">
        <v>174</v>
      </c>
      <c r="K10" s="56" t="s">
        <v>108</v>
      </c>
      <c r="L10" s="45"/>
    </row>
    <row r="11" spans="1:12" x14ac:dyDescent="0.55000000000000004">
      <c r="A11" t="s">
        <v>112</v>
      </c>
      <c r="B11" s="55" t="s">
        <v>204</v>
      </c>
      <c r="C11" t="s">
        <v>309</v>
      </c>
      <c r="D11">
        <v>2012</v>
      </c>
      <c r="E11" s="56" t="s">
        <v>218</v>
      </c>
      <c r="F11">
        <v>95</v>
      </c>
      <c r="G11" s="55" t="s">
        <v>202</v>
      </c>
      <c r="H11" s="55" t="s">
        <v>203</v>
      </c>
      <c r="I11" t="s">
        <v>37</v>
      </c>
      <c r="J11" s="59" t="s">
        <v>174</v>
      </c>
      <c r="K11" s="56" t="s">
        <v>108</v>
      </c>
      <c r="L11" s="45"/>
    </row>
    <row r="12" spans="1:12" x14ac:dyDescent="0.55000000000000004">
      <c r="A12" t="s">
        <v>113</v>
      </c>
      <c r="B12" s="55" t="s">
        <v>204</v>
      </c>
      <c r="C12" t="s">
        <v>309</v>
      </c>
      <c r="D12">
        <v>2012</v>
      </c>
      <c r="E12" s="56" t="s">
        <v>218</v>
      </c>
      <c r="F12">
        <v>179</v>
      </c>
      <c r="G12" s="55" t="s">
        <v>202</v>
      </c>
      <c r="H12" s="55" t="s">
        <v>203</v>
      </c>
      <c r="I12" t="s">
        <v>37</v>
      </c>
      <c r="J12" s="59" t="s">
        <v>174</v>
      </c>
      <c r="K12" s="56" t="s">
        <v>108</v>
      </c>
      <c r="L12" s="45"/>
    </row>
    <row r="13" spans="1:12" x14ac:dyDescent="0.55000000000000004">
      <c r="A13" t="s">
        <v>114</v>
      </c>
      <c r="B13" s="55" t="s">
        <v>204</v>
      </c>
      <c r="C13" t="s">
        <v>309</v>
      </c>
      <c r="D13">
        <v>2012</v>
      </c>
      <c r="E13" s="56" t="s">
        <v>218</v>
      </c>
      <c r="F13">
        <v>161</v>
      </c>
      <c r="G13" s="55" t="s">
        <v>202</v>
      </c>
      <c r="H13" s="55" t="s">
        <v>203</v>
      </c>
      <c r="I13" t="s">
        <v>37</v>
      </c>
      <c r="J13" s="59" t="s">
        <v>174</v>
      </c>
      <c r="K13" s="56" t="s">
        <v>108</v>
      </c>
      <c r="L13" s="45"/>
    </row>
    <row r="14" spans="1:12" x14ac:dyDescent="0.55000000000000004">
      <c r="A14" t="s">
        <v>247</v>
      </c>
      <c r="B14" s="55" t="s">
        <v>204</v>
      </c>
      <c r="C14" t="s">
        <v>309</v>
      </c>
      <c r="D14">
        <v>2012</v>
      </c>
      <c r="E14" s="56" t="s">
        <v>218</v>
      </c>
      <c r="F14">
        <v>270</v>
      </c>
      <c r="G14" s="55" t="s">
        <v>202</v>
      </c>
      <c r="H14" s="55" t="s">
        <v>203</v>
      </c>
      <c r="I14" t="s">
        <v>37</v>
      </c>
      <c r="J14" s="59" t="s">
        <v>174</v>
      </c>
      <c r="K14" s="56" t="s">
        <v>108</v>
      </c>
      <c r="L14" s="45"/>
    </row>
    <row r="15" spans="1:12" x14ac:dyDescent="0.55000000000000004">
      <c r="A15" t="s">
        <v>115</v>
      </c>
      <c r="B15" s="55" t="s">
        <v>204</v>
      </c>
      <c r="C15" t="s">
        <v>309</v>
      </c>
      <c r="D15">
        <v>2012</v>
      </c>
      <c r="E15" s="56" t="s">
        <v>218</v>
      </c>
      <c r="F15">
        <v>48</v>
      </c>
      <c r="G15" s="55" t="s">
        <v>202</v>
      </c>
      <c r="H15" s="55" t="s">
        <v>203</v>
      </c>
      <c r="I15" t="s">
        <v>37</v>
      </c>
      <c r="J15" s="59" t="s">
        <v>174</v>
      </c>
      <c r="K15" s="56" t="s">
        <v>108</v>
      </c>
      <c r="L15" s="45"/>
    </row>
    <row r="16" spans="1:12" x14ac:dyDescent="0.55000000000000004">
      <c r="A16" t="s">
        <v>248</v>
      </c>
      <c r="B16" s="55" t="s">
        <v>204</v>
      </c>
      <c r="C16" t="s">
        <v>309</v>
      </c>
      <c r="D16">
        <v>2012</v>
      </c>
      <c r="E16" s="56" t="s">
        <v>218</v>
      </c>
      <c r="F16">
        <v>7</v>
      </c>
      <c r="G16" s="55" t="s">
        <v>202</v>
      </c>
      <c r="H16" s="55" t="s">
        <v>203</v>
      </c>
      <c r="I16" t="s">
        <v>37</v>
      </c>
      <c r="J16" s="59" t="s">
        <v>174</v>
      </c>
      <c r="K16" s="56" t="s">
        <v>108</v>
      </c>
      <c r="L16" s="45"/>
    </row>
    <row r="17" spans="1:12" x14ac:dyDescent="0.55000000000000004">
      <c r="A17" t="s">
        <v>249</v>
      </c>
      <c r="B17" s="55" t="s">
        <v>204</v>
      </c>
      <c r="C17" t="s">
        <v>309</v>
      </c>
      <c r="D17">
        <v>2012</v>
      </c>
      <c r="E17" s="56" t="s">
        <v>218</v>
      </c>
      <c r="F17">
        <v>132</v>
      </c>
      <c r="G17" s="55" t="s">
        <v>202</v>
      </c>
      <c r="H17" s="55" t="s">
        <v>203</v>
      </c>
      <c r="I17" t="s">
        <v>37</v>
      </c>
      <c r="J17" s="59" t="s">
        <v>174</v>
      </c>
      <c r="K17" s="56" t="s">
        <v>108</v>
      </c>
      <c r="L17" s="45"/>
    </row>
    <row r="18" spans="1:12" x14ac:dyDescent="0.55000000000000004">
      <c r="A18" t="s">
        <v>116</v>
      </c>
      <c r="B18" s="55" t="s">
        <v>204</v>
      </c>
      <c r="C18" t="s">
        <v>309</v>
      </c>
      <c r="D18">
        <v>2012</v>
      </c>
      <c r="E18" s="56" t="s">
        <v>218</v>
      </c>
      <c r="F18">
        <v>190</v>
      </c>
      <c r="G18" s="55" t="s">
        <v>202</v>
      </c>
      <c r="H18" s="55" t="s">
        <v>203</v>
      </c>
      <c r="I18" t="s">
        <v>37</v>
      </c>
      <c r="J18" s="59" t="s">
        <v>174</v>
      </c>
      <c r="K18" s="56" t="s">
        <v>108</v>
      </c>
      <c r="L18" s="45"/>
    </row>
    <row r="19" spans="1:12" x14ac:dyDescent="0.55000000000000004">
      <c r="A19" t="s">
        <v>250</v>
      </c>
      <c r="B19" s="55" t="s">
        <v>204</v>
      </c>
      <c r="C19" t="s">
        <v>309</v>
      </c>
      <c r="D19">
        <v>2012</v>
      </c>
      <c r="E19" s="56" t="s">
        <v>218</v>
      </c>
      <c r="F19">
        <v>135</v>
      </c>
      <c r="G19" s="55" t="s">
        <v>202</v>
      </c>
      <c r="H19" s="55" t="s">
        <v>203</v>
      </c>
      <c r="I19" t="s">
        <v>37</v>
      </c>
      <c r="J19" s="59" t="s">
        <v>174</v>
      </c>
      <c r="K19" s="56" t="s">
        <v>108</v>
      </c>
      <c r="L19" s="45"/>
    </row>
    <row r="20" spans="1:12" x14ac:dyDescent="0.55000000000000004">
      <c r="A20" t="s">
        <v>251</v>
      </c>
      <c r="B20" s="55" t="s">
        <v>204</v>
      </c>
      <c r="C20" t="s">
        <v>309</v>
      </c>
      <c r="D20">
        <v>2012</v>
      </c>
      <c r="E20" s="56" t="s">
        <v>218</v>
      </c>
      <c r="F20">
        <v>70</v>
      </c>
      <c r="G20" s="55" t="s">
        <v>202</v>
      </c>
      <c r="H20" s="55" t="s">
        <v>203</v>
      </c>
      <c r="I20" t="s">
        <v>37</v>
      </c>
      <c r="J20" s="59" t="s">
        <v>174</v>
      </c>
      <c r="K20" s="56" t="s">
        <v>108</v>
      </c>
      <c r="L20" s="45"/>
    </row>
    <row r="21" spans="1:12" x14ac:dyDescent="0.55000000000000004">
      <c r="A21" t="s">
        <v>252</v>
      </c>
      <c r="B21" s="55" t="s">
        <v>204</v>
      </c>
      <c r="C21" t="s">
        <v>309</v>
      </c>
      <c r="D21">
        <v>2012</v>
      </c>
      <c r="E21" s="56" t="s">
        <v>218</v>
      </c>
      <c r="F21">
        <v>39</v>
      </c>
      <c r="G21" s="55" t="s">
        <v>202</v>
      </c>
      <c r="H21" s="55" t="s">
        <v>203</v>
      </c>
      <c r="I21" t="s">
        <v>37</v>
      </c>
      <c r="J21" s="59" t="s">
        <v>174</v>
      </c>
      <c r="K21" s="56" t="s">
        <v>108</v>
      </c>
      <c r="L21" s="45"/>
    </row>
    <row r="22" spans="1:12" x14ac:dyDescent="0.55000000000000004">
      <c r="A22" t="s">
        <v>253</v>
      </c>
      <c r="B22" s="55" t="s">
        <v>204</v>
      </c>
      <c r="C22" t="s">
        <v>309</v>
      </c>
      <c r="D22">
        <v>2012</v>
      </c>
      <c r="E22" s="56" t="s">
        <v>218</v>
      </c>
      <c r="F22">
        <v>167</v>
      </c>
      <c r="G22" s="55" t="s">
        <v>202</v>
      </c>
      <c r="H22" s="55" t="s">
        <v>203</v>
      </c>
      <c r="I22" t="s">
        <v>37</v>
      </c>
      <c r="J22" s="59" t="s">
        <v>174</v>
      </c>
      <c r="K22" s="56" t="s">
        <v>108</v>
      </c>
      <c r="L22" s="45"/>
    </row>
    <row r="23" spans="1:12" x14ac:dyDescent="0.55000000000000004">
      <c r="A23" t="s">
        <v>254</v>
      </c>
      <c r="B23" s="55" t="s">
        <v>204</v>
      </c>
      <c r="C23" t="s">
        <v>309</v>
      </c>
      <c r="D23">
        <v>2012</v>
      </c>
      <c r="E23" s="56" t="s">
        <v>218</v>
      </c>
      <c r="F23">
        <v>37</v>
      </c>
      <c r="G23" s="55" t="s">
        <v>202</v>
      </c>
      <c r="H23" s="55" t="s">
        <v>203</v>
      </c>
      <c r="I23" t="s">
        <v>37</v>
      </c>
      <c r="J23" s="59" t="s">
        <v>174</v>
      </c>
      <c r="K23" s="56" t="s">
        <v>108</v>
      </c>
      <c r="L23" s="45"/>
    </row>
    <row r="24" spans="1:12" x14ac:dyDescent="0.55000000000000004">
      <c r="A24" t="s">
        <v>255</v>
      </c>
      <c r="B24" s="55" t="s">
        <v>204</v>
      </c>
      <c r="C24" t="s">
        <v>309</v>
      </c>
      <c r="D24">
        <v>2012</v>
      </c>
      <c r="E24" s="56" t="s">
        <v>218</v>
      </c>
      <c r="F24">
        <v>50</v>
      </c>
      <c r="G24" s="55" t="s">
        <v>202</v>
      </c>
      <c r="H24" s="55" t="s">
        <v>203</v>
      </c>
      <c r="I24" t="s">
        <v>37</v>
      </c>
      <c r="J24" s="59" t="s">
        <v>174</v>
      </c>
      <c r="K24" s="56" t="s">
        <v>108</v>
      </c>
      <c r="L24" s="45"/>
    </row>
    <row r="25" spans="1:12" x14ac:dyDescent="0.55000000000000004">
      <c r="A25" t="s">
        <v>256</v>
      </c>
      <c r="B25" s="55" t="s">
        <v>204</v>
      </c>
      <c r="C25" t="s">
        <v>309</v>
      </c>
      <c r="D25">
        <v>2012</v>
      </c>
      <c r="E25" s="56" t="s">
        <v>218</v>
      </c>
      <c r="F25">
        <v>25</v>
      </c>
      <c r="G25" s="55" t="s">
        <v>202</v>
      </c>
      <c r="H25" s="55" t="s">
        <v>203</v>
      </c>
      <c r="I25" t="s">
        <v>37</v>
      </c>
      <c r="J25" s="59" t="s">
        <v>174</v>
      </c>
      <c r="K25" s="56" t="s">
        <v>108</v>
      </c>
      <c r="L25" s="45"/>
    </row>
    <row r="26" spans="1:12" x14ac:dyDescent="0.55000000000000004">
      <c r="A26" t="s">
        <v>257</v>
      </c>
      <c r="B26" s="55" t="s">
        <v>204</v>
      </c>
      <c r="C26" t="s">
        <v>309</v>
      </c>
      <c r="D26">
        <v>2012</v>
      </c>
      <c r="E26" s="56" t="s">
        <v>218</v>
      </c>
      <c r="F26">
        <v>201</v>
      </c>
      <c r="G26" s="55" t="s">
        <v>202</v>
      </c>
      <c r="H26" s="55" t="s">
        <v>203</v>
      </c>
      <c r="I26" t="s">
        <v>37</v>
      </c>
      <c r="J26" s="59" t="s">
        <v>174</v>
      </c>
      <c r="K26" s="56" t="s">
        <v>108</v>
      </c>
      <c r="L26" s="45"/>
    </row>
    <row r="27" spans="1:12" x14ac:dyDescent="0.55000000000000004">
      <c r="A27" t="s">
        <v>258</v>
      </c>
      <c r="B27" s="55" t="s">
        <v>204</v>
      </c>
      <c r="C27" t="s">
        <v>309</v>
      </c>
      <c r="D27">
        <v>2012</v>
      </c>
      <c r="E27" s="56" t="s">
        <v>218</v>
      </c>
      <c r="F27">
        <v>1643</v>
      </c>
      <c r="G27" s="55" t="s">
        <v>202</v>
      </c>
      <c r="H27" s="55" t="s">
        <v>203</v>
      </c>
      <c r="I27" t="s">
        <v>37</v>
      </c>
      <c r="J27" s="59" t="s">
        <v>174</v>
      </c>
      <c r="K27" s="56" t="s">
        <v>108</v>
      </c>
      <c r="L27" s="45"/>
    </row>
    <row r="28" spans="1:12" x14ac:dyDescent="0.55000000000000004">
      <c r="A28" t="s">
        <v>260</v>
      </c>
      <c r="B28" s="55" t="s">
        <v>204</v>
      </c>
      <c r="C28" t="s">
        <v>309</v>
      </c>
      <c r="D28">
        <v>2012</v>
      </c>
      <c r="E28" s="56" t="s">
        <v>218</v>
      </c>
      <c r="F28">
        <v>2300</v>
      </c>
      <c r="G28" s="55" t="s">
        <v>202</v>
      </c>
      <c r="H28" s="55" t="s">
        <v>203</v>
      </c>
      <c r="I28" t="s">
        <v>37</v>
      </c>
      <c r="J28" s="59" t="s">
        <v>174</v>
      </c>
      <c r="K28" s="56" t="s">
        <v>108</v>
      </c>
      <c r="L28" s="45"/>
    </row>
    <row r="29" spans="1:12" x14ac:dyDescent="0.55000000000000004">
      <c r="A29" t="s">
        <v>259</v>
      </c>
      <c r="B29" s="55" t="s">
        <v>204</v>
      </c>
      <c r="C29" t="s">
        <v>309</v>
      </c>
      <c r="D29">
        <v>2012</v>
      </c>
      <c r="E29" s="56" t="s">
        <v>218</v>
      </c>
      <c r="F29">
        <v>105</v>
      </c>
      <c r="G29" s="55" t="s">
        <v>202</v>
      </c>
      <c r="H29" s="55" t="s">
        <v>203</v>
      </c>
      <c r="I29" t="s">
        <v>37</v>
      </c>
      <c r="J29" s="59" t="s">
        <v>174</v>
      </c>
      <c r="K29" s="56" t="s">
        <v>108</v>
      </c>
      <c r="L29" s="45"/>
    </row>
    <row r="30" spans="1:12" x14ac:dyDescent="0.55000000000000004">
      <c r="A30" t="s">
        <v>261</v>
      </c>
      <c r="B30" s="55" t="s">
        <v>204</v>
      </c>
      <c r="C30" t="s">
        <v>309</v>
      </c>
      <c r="D30">
        <v>2012</v>
      </c>
      <c r="E30" s="56" t="s">
        <v>218</v>
      </c>
      <c r="F30">
        <v>1144</v>
      </c>
      <c r="G30" s="55" t="s">
        <v>202</v>
      </c>
      <c r="H30" s="55" t="s">
        <v>203</v>
      </c>
      <c r="I30" t="s">
        <v>37</v>
      </c>
      <c r="J30" s="59" t="s">
        <v>174</v>
      </c>
      <c r="K30" s="56" t="s">
        <v>108</v>
      </c>
      <c r="L30" s="45"/>
    </row>
    <row r="31" spans="1:12" x14ac:dyDescent="0.55000000000000004">
      <c r="A31" t="s">
        <v>262</v>
      </c>
      <c r="B31" s="55" t="s">
        <v>204</v>
      </c>
      <c r="C31" t="s">
        <v>309</v>
      </c>
      <c r="D31">
        <v>2012</v>
      </c>
      <c r="E31" s="56" t="s">
        <v>218</v>
      </c>
      <c r="F31">
        <v>312</v>
      </c>
      <c r="G31" s="55" t="s">
        <v>202</v>
      </c>
      <c r="H31" s="55" t="s">
        <v>203</v>
      </c>
      <c r="I31" t="s">
        <v>37</v>
      </c>
      <c r="J31" s="59" t="s">
        <v>174</v>
      </c>
      <c r="K31" s="56" t="s">
        <v>108</v>
      </c>
      <c r="L31" s="45"/>
    </row>
    <row r="32" spans="1:12" x14ac:dyDescent="0.55000000000000004">
      <c r="A32" t="s">
        <v>263</v>
      </c>
      <c r="B32" s="55" t="s">
        <v>204</v>
      </c>
      <c r="C32" t="s">
        <v>309</v>
      </c>
      <c r="D32">
        <v>2012</v>
      </c>
      <c r="E32" s="56" t="s">
        <v>218</v>
      </c>
      <c r="F32">
        <v>9</v>
      </c>
      <c r="G32" s="55" t="s">
        <v>202</v>
      </c>
      <c r="H32" s="55" t="s">
        <v>203</v>
      </c>
      <c r="I32" t="s">
        <v>37</v>
      </c>
      <c r="J32" s="59" t="s">
        <v>174</v>
      </c>
      <c r="K32" s="56" t="s">
        <v>108</v>
      </c>
      <c r="L32" s="45"/>
    </row>
    <row r="33" spans="1:12" x14ac:dyDescent="0.55000000000000004">
      <c r="A33" t="s">
        <v>264</v>
      </c>
      <c r="B33" s="55" t="s">
        <v>204</v>
      </c>
      <c r="C33" t="s">
        <v>309</v>
      </c>
      <c r="D33">
        <v>2012</v>
      </c>
      <c r="E33" s="56" t="s">
        <v>218</v>
      </c>
      <c r="F33">
        <v>1314</v>
      </c>
      <c r="G33" s="55" t="s">
        <v>202</v>
      </c>
      <c r="H33" s="55" t="s">
        <v>203</v>
      </c>
      <c r="I33" t="s">
        <v>37</v>
      </c>
      <c r="J33" s="59" t="s">
        <v>174</v>
      </c>
      <c r="K33" s="56" t="s">
        <v>108</v>
      </c>
      <c r="L33" s="45"/>
    </row>
    <row r="34" spans="1:12" x14ac:dyDescent="0.55000000000000004">
      <c r="A34" t="s">
        <v>265</v>
      </c>
      <c r="B34" s="55" t="s">
        <v>204</v>
      </c>
      <c r="C34" t="s">
        <v>309</v>
      </c>
      <c r="D34">
        <v>2012</v>
      </c>
      <c r="E34" s="56" t="s">
        <v>218</v>
      </c>
      <c r="F34">
        <v>300</v>
      </c>
      <c r="G34" s="55" t="s">
        <v>202</v>
      </c>
      <c r="H34" s="55" t="s">
        <v>203</v>
      </c>
      <c r="I34" t="s">
        <v>37</v>
      </c>
      <c r="J34" s="59" t="s">
        <v>174</v>
      </c>
      <c r="K34" s="56" t="s">
        <v>108</v>
      </c>
      <c r="L34" s="45"/>
    </row>
    <row r="35" spans="1:12" x14ac:dyDescent="0.55000000000000004">
      <c r="A35" t="s">
        <v>266</v>
      </c>
      <c r="B35" s="55" t="s">
        <v>204</v>
      </c>
      <c r="C35" t="s">
        <v>309</v>
      </c>
      <c r="D35">
        <v>2012</v>
      </c>
      <c r="E35" s="56" t="s">
        <v>218</v>
      </c>
      <c r="F35">
        <v>73</v>
      </c>
      <c r="G35" s="55" t="s">
        <v>202</v>
      </c>
      <c r="H35" s="55" t="s">
        <v>203</v>
      </c>
      <c r="I35" t="s">
        <v>37</v>
      </c>
      <c r="J35" s="59" t="s">
        <v>174</v>
      </c>
      <c r="K35" s="56" t="s">
        <v>108</v>
      </c>
      <c r="L35" s="45"/>
    </row>
    <row r="36" spans="1:12" x14ac:dyDescent="0.55000000000000004">
      <c r="A36" t="s">
        <v>267</v>
      </c>
      <c r="B36" s="55" t="s">
        <v>204</v>
      </c>
      <c r="C36" t="s">
        <v>309</v>
      </c>
      <c r="D36">
        <v>2012</v>
      </c>
      <c r="E36" s="56" t="s">
        <v>218</v>
      </c>
      <c r="F36">
        <v>282</v>
      </c>
      <c r="G36" s="55" t="s">
        <v>202</v>
      </c>
      <c r="H36" s="55" t="s">
        <v>203</v>
      </c>
      <c r="I36" t="s">
        <v>37</v>
      </c>
      <c r="J36" s="59" t="s">
        <v>174</v>
      </c>
      <c r="K36" s="56" t="s">
        <v>108</v>
      </c>
      <c r="L36" s="45"/>
    </row>
    <row r="37" spans="1:12" x14ac:dyDescent="0.55000000000000004">
      <c r="A37" t="s">
        <v>268</v>
      </c>
      <c r="B37" s="55" t="s">
        <v>204</v>
      </c>
      <c r="C37" t="s">
        <v>309</v>
      </c>
      <c r="D37">
        <v>2012</v>
      </c>
      <c r="E37" s="56" t="s">
        <v>218</v>
      </c>
      <c r="F37">
        <v>26</v>
      </c>
      <c r="G37" s="55" t="s">
        <v>202</v>
      </c>
      <c r="H37" s="55" t="s">
        <v>203</v>
      </c>
      <c r="I37" t="s">
        <v>37</v>
      </c>
      <c r="J37" s="59" t="s">
        <v>174</v>
      </c>
      <c r="K37" s="56" t="s">
        <v>108</v>
      </c>
      <c r="L37" s="45"/>
    </row>
    <row r="38" spans="1:12" x14ac:dyDescent="0.55000000000000004">
      <c r="A38" t="s">
        <v>269</v>
      </c>
      <c r="B38" s="55" t="s">
        <v>204</v>
      </c>
      <c r="C38" t="s">
        <v>309</v>
      </c>
      <c r="D38">
        <v>2012</v>
      </c>
      <c r="E38" s="56" t="s">
        <v>218</v>
      </c>
      <c r="F38">
        <v>110</v>
      </c>
      <c r="G38" s="55" t="s">
        <v>202</v>
      </c>
      <c r="H38" s="55" t="s">
        <v>203</v>
      </c>
      <c r="I38" t="s">
        <v>37</v>
      </c>
      <c r="J38" s="59" t="s">
        <v>174</v>
      </c>
      <c r="K38" s="56" t="s">
        <v>108</v>
      </c>
      <c r="L38" s="45"/>
    </row>
    <row r="39" spans="1:12" x14ac:dyDescent="0.55000000000000004">
      <c r="A39" t="s">
        <v>270</v>
      </c>
      <c r="B39" s="55" t="s">
        <v>204</v>
      </c>
      <c r="C39" t="s">
        <v>309</v>
      </c>
      <c r="D39">
        <v>2012</v>
      </c>
      <c r="E39" s="56" t="s">
        <v>218</v>
      </c>
      <c r="F39">
        <v>29</v>
      </c>
      <c r="G39" s="55" t="s">
        <v>202</v>
      </c>
      <c r="H39" s="55" t="s">
        <v>203</v>
      </c>
      <c r="I39" t="s">
        <v>37</v>
      </c>
      <c r="J39" s="59" t="s">
        <v>174</v>
      </c>
      <c r="K39" s="56" t="s">
        <v>108</v>
      </c>
      <c r="L39" s="45"/>
    </row>
    <row r="40" spans="1:12" x14ac:dyDescent="0.55000000000000004">
      <c r="A40" t="s">
        <v>271</v>
      </c>
      <c r="B40" s="55" t="s">
        <v>204</v>
      </c>
      <c r="C40" t="s">
        <v>309</v>
      </c>
      <c r="D40">
        <v>2012</v>
      </c>
      <c r="E40" s="56" t="s">
        <v>218</v>
      </c>
      <c r="F40">
        <v>49</v>
      </c>
      <c r="G40" s="55" t="s">
        <v>202</v>
      </c>
      <c r="H40" s="55" t="s">
        <v>203</v>
      </c>
      <c r="I40" t="s">
        <v>37</v>
      </c>
      <c r="J40" s="59" t="s">
        <v>174</v>
      </c>
      <c r="K40" s="56" t="s">
        <v>108</v>
      </c>
      <c r="L40" s="45"/>
    </row>
    <row r="41" spans="1:12" x14ac:dyDescent="0.55000000000000004">
      <c r="A41" t="s">
        <v>272</v>
      </c>
      <c r="B41" s="55" t="s">
        <v>204</v>
      </c>
      <c r="C41" t="s">
        <v>309</v>
      </c>
      <c r="D41">
        <v>2012</v>
      </c>
      <c r="E41" s="56" t="s">
        <v>218</v>
      </c>
      <c r="F41">
        <v>20</v>
      </c>
      <c r="G41" s="55" t="s">
        <v>202</v>
      </c>
      <c r="H41" s="55" t="s">
        <v>203</v>
      </c>
      <c r="I41" t="s">
        <v>37</v>
      </c>
      <c r="J41" s="59" t="s">
        <v>174</v>
      </c>
      <c r="K41" s="56" t="s">
        <v>108</v>
      </c>
      <c r="L41" s="45"/>
    </row>
    <row r="42" spans="1:12" x14ac:dyDescent="0.55000000000000004">
      <c r="A42" t="s">
        <v>282</v>
      </c>
      <c r="B42" s="55" t="s">
        <v>204</v>
      </c>
      <c r="C42" t="s">
        <v>309</v>
      </c>
      <c r="D42">
        <v>2012</v>
      </c>
      <c r="E42" s="56" t="s">
        <v>218</v>
      </c>
      <c r="F42">
        <v>19</v>
      </c>
      <c r="G42" s="55" t="s">
        <v>202</v>
      </c>
      <c r="H42" s="55" t="s">
        <v>203</v>
      </c>
      <c r="I42" t="s">
        <v>37</v>
      </c>
      <c r="J42" s="59" t="s">
        <v>174</v>
      </c>
      <c r="K42" s="56" t="s">
        <v>108</v>
      </c>
      <c r="L42" s="45"/>
    </row>
    <row r="43" spans="1:12" x14ac:dyDescent="0.55000000000000004">
      <c r="A43" t="s">
        <v>283</v>
      </c>
      <c r="B43" s="55" t="s">
        <v>204</v>
      </c>
      <c r="C43" t="s">
        <v>309</v>
      </c>
      <c r="D43">
        <v>2012</v>
      </c>
      <c r="E43" s="56" t="s">
        <v>218</v>
      </c>
      <c r="F43">
        <v>162</v>
      </c>
      <c r="G43" s="55" t="s">
        <v>202</v>
      </c>
      <c r="H43" s="55" t="s">
        <v>203</v>
      </c>
      <c r="I43" t="s">
        <v>37</v>
      </c>
      <c r="J43" s="59" t="s">
        <v>174</v>
      </c>
      <c r="K43" s="56" t="s">
        <v>108</v>
      </c>
      <c r="L43" s="45"/>
    </row>
    <row r="44" spans="1:12" x14ac:dyDescent="0.55000000000000004">
      <c r="A44" t="s">
        <v>284</v>
      </c>
      <c r="B44" s="55" t="s">
        <v>204</v>
      </c>
      <c r="C44" t="s">
        <v>309</v>
      </c>
      <c r="D44">
        <v>2012</v>
      </c>
      <c r="E44" s="56" t="s">
        <v>218</v>
      </c>
      <c r="F44">
        <v>160</v>
      </c>
      <c r="G44" s="55" t="s">
        <v>202</v>
      </c>
      <c r="H44" s="55" t="s">
        <v>203</v>
      </c>
      <c r="I44" t="s">
        <v>37</v>
      </c>
      <c r="J44" s="59" t="s">
        <v>174</v>
      </c>
      <c r="K44" s="56" t="s">
        <v>108</v>
      </c>
      <c r="L44" s="45"/>
    </row>
    <row r="45" spans="1:12" x14ac:dyDescent="0.55000000000000004">
      <c r="A45" s="60" t="s">
        <v>278</v>
      </c>
      <c r="B45" s="55" t="s">
        <v>204</v>
      </c>
      <c r="C45" t="s">
        <v>309</v>
      </c>
      <c r="D45">
        <v>2012</v>
      </c>
      <c r="E45" s="56" t="s">
        <v>218</v>
      </c>
      <c r="F45">
        <v>103</v>
      </c>
      <c r="G45" s="55" t="s">
        <v>202</v>
      </c>
      <c r="H45" s="55" t="s">
        <v>203</v>
      </c>
      <c r="I45" t="s">
        <v>37</v>
      </c>
      <c r="J45" s="59" t="s">
        <v>174</v>
      </c>
      <c r="K45" s="56" t="s">
        <v>108</v>
      </c>
      <c r="L45" s="45"/>
    </row>
    <row r="46" spans="1:12" x14ac:dyDescent="0.55000000000000004">
      <c r="A46" t="s">
        <v>285</v>
      </c>
      <c r="B46" s="55" t="s">
        <v>204</v>
      </c>
      <c r="C46" t="s">
        <v>309</v>
      </c>
      <c r="D46">
        <v>2012</v>
      </c>
      <c r="E46" s="56" t="s">
        <v>218</v>
      </c>
      <c r="F46">
        <v>139</v>
      </c>
      <c r="G46" s="55" t="s">
        <v>202</v>
      </c>
      <c r="H46" s="55" t="s">
        <v>203</v>
      </c>
      <c r="I46" t="s">
        <v>37</v>
      </c>
      <c r="J46" s="59" t="s">
        <v>174</v>
      </c>
      <c r="K46" s="56" t="s">
        <v>108</v>
      </c>
      <c r="L46" s="45"/>
    </row>
    <row r="47" spans="1:12" x14ac:dyDescent="0.55000000000000004">
      <c r="A47" t="s">
        <v>286</v>
      </c>
      <c r="B47" s="55" t="s">
        <v>204</v>
      </c>
      <c r="C47" t="s">
        <v>309</v>
      </c>
      <c r="D47">
        <v>2012</v>
      </c>
      <c r="E47" s="56" t="s">
        <v>218</v>
      </c>
      <c r="F47">
        <v>40</v>
      </c>
      <c r="G47" s="55" t="s">
        <v>202</v>
      </c>
      <c r="H47" s="55" t="s">
        <v>203</v>
      </c>
      <c r="I47" t="s">
        <v>37</v>
      </c>
      <c r="J47" s="59" t="s">
        <v>174</v>
      </c>
      <c r="K47" s="56" t="s">
        <v>108</v>
      </c>
      <c r="L47" s="45"/>
    </row>
    <row r="48" spans="1:12" x14ac:dyDescent="0.55000000000000004">
      <c r="A48" t="s">
        <v>287</v>
      </c>
      <c r="B48" s="55" t="s">
        <v>204</v>
      </c>
      <c r="C48" t="s">
        <v>309</v>
      </c>
      <c r="D48">
        <v>2012</v>
      </c>
      <c r="E48" s="56" t="s">
        <v>218</v>
      </c>
      <c r="F48">
        <v>12</v>
      </c>
      <c r="G48" s="55" t="s">
        <v>202</v>
      </c>
      <c r="H48" s="55" t="s">
        <v>203</v>
      </c>
      <c r="I48" t="s">
        <v>37</v>
      </c>
      <c r="J48" s="59" t="s">
        <v>174</v>
      </c>
      <c r="K48" s="56" t="s">
        <v>108</v>
      </c>
      <c r="L48" s="45"/>
    </row>
    <row r="49" spans="1:12" x14ac:dyDescent="0.55000000000000004">
      <c r="A49" t="s">
        <v>288</v>
      </c>
      <c r="B49" s="55" t="s">
        <v>204</v>
      </c>
      <c r="C49" t="s">
        <v>309</v>
      </c>
      <c r="D49">
        <v>2012</v>
      </c>
      <c r="E49" s="56" t="s">
        <v>218</v>
      </c>
      <c r="F49">
        <v>210</v>
      </c>
      <c r="G49" s="55" t="s">
        <v>202</v>
      </c>
      <c r="H49" s="55" t="s">
        <v>203</v>
      </c>
      <c r="I49" t="s">
        <v>37</v>
      </c>
      <c r="J49" s="59" t="s">
        <v>174</v>
      </c>
      <c r="K49" s="56" t="s">
        <v>108</v>
      </c>
      <c r="L49" s="45"/>
    </row>
    <row r="50" spans="1:12" x14ac:dyDescent="0.55000000000000004">
      <c r="A50" t="s">
        <v>289</v>
      </c>
      <c r="B50" s="55" t="s">
        <v>204</v>
      </c>
      <c r="C50" t="s">
        <v>309</v>
      </c>
      <c r="D50">
        <v>2012</v>
      </c>
      <c r="E50" s="56" t="s">
        <v>218</v>
      </c>
      <c r="F50">
        <v>548</v>
      </c>
      <c r="G50" s="55" t="s">
        <v>202</v>
      </c>
      <c r="H50" s="55" t="s">
        <v>203</v>
      </c>
      <c r="I50" t="s">
        <v>37</v>
      </c>
      <c r="J50" s="59" t="s">
        <v>174</v>
      </c>
      <c r="K50" s="56" t="s">
        <v>108</v>
      </c>
      <c r="L50" s="45"/>
    </row>
    <row r="51" spans="1:12" x14ac:dyDescent="0.55000000000000004">
      <c r="A51" t="s">
        <v>290</v>
      </c>
      <c r="B51" s="55" t="s">
        <v>204</v>
      </c>
      <c r="C51" t="s">
        <v>309</v>
      </c>
      <c r="D51">
        <v>2012</v>
      </c>
      <c r="E51" s="56" t="s">
        <v>218</v>
      </c>
      <c r="F51">
        <v>228</v>
      </c>
      <c r="G51" s="55" t="s">
        <v>202</v>
      </c>
      <c r="H51" s="55" t="s">
        <v>203</v>
      </c>
      <c r="I51" t="s">
        <v>37</v>
      </c>
      <c r="J51" s="59" t="s">
        <v>174</v>
      </c>
      <c r="K51" s="56" t="s">
        <v>108</v>
      </c>
      <c r="L51" s="45"/>
    </row>
    <row r="52" spans="1:12" x14ac:dyDescent="0.55000000000000004">
      <c r="A52" t="s">
        <v>291</v>
      </c>
      <c r="B52" s="55" t="s">
        <v>204</v>
      </c>
      <c r="C52" t="s">
        <v>309</v>
      </c>
      <c r="D52">
        <v>2012</v>
      </c>
      <c r="E52" s="56" t="s">
        <v>218</v>
      </c>
      <c r="F52">
        <v>9</v>
      </c>
      <c r="G52" s="55" t="s">
        <v>202</v>
      </c>
      <c r="H52" s="55" t="s">
        <v>203</v>
      </c>
      <c r="I52" t="s">
        <v>37</v>
      </c>
      <c r="J52" s="59" t="s">
        <v>174</v>
      </c>
      <c r="K52" s="56" t="s">
        <v>108</v>
      </c>
      <c r="L52" s="45"/>
    </row>
    <row r="53" spans="1:12" x14ac:dyDescent="0.55000000000000004">
      <c r="A53" t="s">
        <v>292</v>
      </c>
      <c r="B53" s="55" t="s">
        <v>204</v>
      </c>
      <c r="C53" t="s">
        <v>309</v>
      </c>
      <c r="D53">
        <v>2012</v>
      </c>
      <c r="E53" s="56" t="s">
        <v>218</v>
      </c>
      <c r="F53">
        <v>400</v>
      </c>
      <c r="G53" s="55" t="s">
        <v>202</v>
      </c>
      <c r="H53" s="55" t="s">
        <v>203</v>
      </c>
      <c r="I53" t="s">
        <v>37</v>
      </c>
      <c r="J53" s="59" t="s">
        <v>174</v>
      </c>
      <c r="K53" s="56" t="s">
        <v>108</v>
      </c>
      <c r="L53" s="45"/>
    </row>
    <row r="54" spans="1:12" x14ac:dyDescent="0.55000000000000004">
      <c r="A54" t="s">
        <v>293</v>
      </c>
      <c r="B54" s="55" t="s">
        <v>204</v>
      </c>
      <c r="C54" t="s">
        <v>309</v>
      </c>
      <c r="D54">
        <v>2012</v>
      </c>
      <c r="E54" s="56" t="s">
        <v>218</v>
      </c>
      <c r="F54">
        <v>44</v>
      </c>
      <c r="G54" s="55" t="s">
        <v>202</v>
      </c>
      <c r="H54" s="55" t="s">
        <v>203</v>
      </c>
      <c r="I54" t="s">
        <v>37</v>
      </c>
      <c r="J54" s="59" t="s">
        <v>174</v>
      </c>
      <c r="K54" s="56" t="s">
        <v>108</v>
      </c>
      <c r="L54" s="45"/>
    </row>
    <row r="55" spans="1:12" x14ac:dyDescent="0.55000000000000004">
      <c r="A55" t="s">
        <v>294</v>
      </c>
      <c r="B55" s="55" t="s">
        <v>204</v>
      </c>
      <c r="C55" t="s">
        <v>309</v>
      </c>
      <c r="D55">
        <v>2012</v>
      </c>
      <c r="E55" s="56" t="s">
        <v>218</v>
      </c>
      <c r="F55">
        <v>122</v>
      </c>
      <c r="G55" s="55" t="s">
        <v>202</v>
      </c>
      <c r="H55" s="55" t="s">
        <v>203</v>
      </c>
      <c r="I55" t="s">
        <v>37</v>
      </c>
      <c r="J55" s="59" t="s">
        <v>174</v>
      </c>
      <c r="K55" s="56" t="s">
        <v>108</v>
      </c>
      <c r="L55" s="45"/>
    </row>
    <row r="56" spans="1:12" x14ac:dyDescent="0.55000000000000004">
      <c r="A56" t="s">
        <v>295</v>
      </c>
      <c r="B56" s="55" t="s">
        <v>204</v>
      </c>
      <c r="C56" t="s">
        <v>309</v>
      </c>
      <c r="D56">
        <v>2012</v>
      </c>
      <c r="E56" s="56" t="s">
        <v>218</v>
      </c>
      <c r="F56">
        <v>195</v>
      </c>
      <c r="G56" s="55" t="s">
        <v>202</v>
      </c>
      <c r="H56" s="55" t="s">
        <v>203</v>
      </c>
      <c r="I56" t="s">
        <v>37</v>
      </c>
      <c r="J56" s="59" t="s">
        <v>174</v>
      </c>
      <c r="K56" s="56" t="s">
        <v>108</v>
      </c>
      <c r="L56" s="45"/>
    </row>
    <row r="57" spans="1:12" x14ac:dyDescent="0.55000000000000004">
      <c r="A57" t="s">
        <v>296</v>
      </c>
      <c r="B57" s="55" t="s">
        <v>204</v>
      </c>
      <c r="C57" t="s">
        <v>309</v>
      </c>
      <c r="D57">
        <v>2012</v>
      </c>
      <c r="E57" s="56" t="s">
        <v>218</v>
      </c>
      <c r="F57">
        <v>55</v>
      </c>
      <c r="G57" s="55" t="s">
        <v>202</v>
      </c>
      <c r="H57" s="55" t="s">
        <v>203</v>
      </c>
      <c r="I57" t="s">
        <v>37</v>
      </c>
      <c r="J57" s="59" t="s">
        <v>174</v>
      </c>
      <c r="K57" s="56" t="s">
        <v>108</v>
      </c>
      <c r="L57" s="45"/>
    </row>
    <row r="58" spans="1:12" x14ac:dyDescent="0.55000000000000004">
      <c r="A58" t="s">
        <v>297</v>
      </c>
      <c r="B58" s="55" t="s">
        <v>204</v>
      </c>
      <c r="C58" t="s">
        <v>309</v>
      </c>
      <c r="D58">
        <v>2012</v>
      </c>
      <c r="E58" s="56" t="s">
        <v>218</v>
      </c>
      <c r="F58">
        <v>44</v>
      </c>
      <c r="G58" s="55" t="s">
        <v>202</v>
      </c>
      <c r="H58" s="55" t="s">
        <v>203</v>
      </c>
      <c r="I58" t="s">
        <v>37</v>
      </c>
      <c r="J58" s="59" t="s">
        <v>174</v>
      </c>
      <c r="K58" s="56" t="s">
        <v>108</v>
      </c>
      <c r="L58" s="45"/>
    </row>
    <row r="59" spans="1:12" x14ac:dyDescent="0.55000000000000004">
      <c r="A59" t="s">
        <v>298</v>
      </c>
      <c r="B59" s="55" t="s">
        <v>204</v>
      </c>
      <c r="C59" t="s">
        <v>309</v>
      </c>
      <c r="D59">
        <v>2012</v>
      </c>
      <c r="E59" s="56" t="s">
        <v>218</v>
      </c>
      <c r="F59">
        <v>0</v>
      </c>
      <c r="G59" s="55" t="s">
        <v>202</v>
      </c>
      <c r="H59" s="55" t="s">
        <v>203</v>
      </c>
      <c r="I59" t="s">
        <v>37</v>
      </c>
      <c r="J59" s="59" t="s">
        <v>174</v>
      </c>
      <c r="K59" s="56" t="s">
        <v>108</v>
      </c>
      <c r="L59" s="45"/>
    </row>
    <row r="60" spans="1:12" x14ac:dyDescent="0.55000000000000004">
      <c r="A60" t="s">
        <v>299</v>
      </c>
      <c r="B60" s="55" t="s">
        <v>204</v>
      </c>
      <c r="C60" t="s">
        <v>309</v>
      </c>
      <c r="D60">
        <v>2012</v>
      </c>
      <c r="E60" s="56" t="s">
        <v>218</v>
      </c>
      <c r="F60">
        <v>0</v>
      </c>
      <c r="G60" s="55" t="s">
        <v>202</v>
      </c>
      <c r="H60" s="55" t="s">
        <v>203</v>
      </c>
      <c r="I60" t="s">
        <v>37</v>
      </c>
      <c r="J60" s="59" t="s">
        <v>174</v>
      </c>
      <c r="K60" s="56" t="s">
        <v>108</v>
      </c>
      <c r="L60" s="45"/>
    </row>
    <row r="61" spans="1:12" x14ac:dyDescent="0.55000000000000004">
      <c r="A61" t="s">
        <v>300</v>
      </c>
      <c r="B61" s="55" t="s">
        <v>204</v>
      </c>
      <c r="C61" t="s">
        <v>309</v>
      </c>
      <c r="D61">
        <v>2012</v>
      </c>
      <c r="E61" s="56" t="s">
        <v>218</v>
      </c>
      <c r="F61">
        <v>35</v>
      </c>
      <c r="G61" s="55" t="s">
        <v>202</v>
      </c>
      <c r="H61" s="55" t="s">
        <v>203</v>
      </c>
      <c r="I61" t="s">
        <v>37</v>
      </c>
      <c r="J61" s="59" t="s">
        <v>174</v>
      </c>
      <c r="K61" s="56" t="s">
        <v>108</v>
      </c>
      <c r="L61" s="45"/>
    </row>
    <row r="62" spans="1:12" x14ac:dyDescent="0.55000000000000004">
      <c r="A62" t="s">
        <v>301</v>
      </c>
      <c r="B62" s="55" t="s">
        <v>204</v>
      </c>
      <c r="C62" t="s">
        <v>309</v>
      </c>
      <c r="D62">
        <v>2012</v>
      </c>
      <c r="E62" s="56" t="s">
        <v>218</v>
      </c>
      <c r="F62">
        <v>91</v>
      </c>
      <c r="G62" s="55" t="s">
        <v>202</v>
      </c>
      <c r="H62" s="55" t="s">
        <v>203</v>
      </c>
      <c r="I62" t="s">
        <v>37</v>
      </c>
      <c r="J62" s="59" t="s">
        <v>174</v>
      </c>
      <c r="K62" s="56" t="s">
        <v>108</v>
      </c>
      <c r="L62" s="45"/>
    </row>
    <row r="63" spans="1:12" x14ac:dyDescent="0.55000000000000004">
      <c r="A63" t="s">
        <v>302</v>
      </c>
      <c r="B63" s="55" t="s">
        <v>204</v>
      </c>
      <c r="C63" t="s">
        <v>309</v>
      </c>
      <c r="D63">
        <v>2012</v>
      </c>
      <c r="E63" s="56" t="s">
        <v>218</v>
      </c>
      <c r="F63">
        <v>100</v>
      </c>
      <c r="G63" s="55" t="s">
        <v>202</v>
      </c>
      <c r="H63" s="55" t="s">
        <v>203</v>
      </c>
      <c r="I63" t="s">
        <v>37</v>
      </c>
      <c r="J63" s="59" t="s">
        <v>174</v>
      </c>
      <c r="K63" s="56" t="s">
        <v>108</v>
      </c>
      <c r="L63" s="45"/>
    </row>
    <row r="64" spans="1:12" x14ac:dyDescent="0.55000000000000004">
      <c r="A64" t="s">
        <v>303</v>
      </c>
      <c r="B64" s="55" t="s">
        <v>204</v>
      </c>
      <c r="C64" t="s">
        <v>309</v>
      </c>
      <c r="D64">
        <v>2012</v>
      </c>
      <c r="E64" s="56" t="s">
        <v>218</v>
      </c>
      <c r="F64">
        <v>53</v>
      </c>
      <c r="G64" s="55" t="s">
        <v>202</v>
      </c>
      <c r="H64" s="55" t="s">
        <v>203</v>
      </c>
      <c r="I64" t="s">
        <v>37</v>
      </c>
      <c r="J64" s="59" t="s">
        <v>174</v>
      </c>
      <c r="K64" s="56" t="s">
        <v>108</v>
      </c>
      <c r="L64" s="45"/>
    </row>
    <row r="65" spans="1:17" x14ac:dyDescent="0.55000000000000004">
      <c r="A65" t="s">
        <v>304</v>
      </c>
      <c r="B65" s="55" t="s">
        <v>204</v>
      </c>
      <c r="C65" t="s">
        <v>309</v>
      </c>
      <c r="D65">
        <v>2012</v>
      </c>
      <c r="E65" s="56" t="s">
        <v>218</v>
      </c>
      <c r="F65">
        <v>91</v>
      </c>
      <c r="G65" s="55" t="s">
        <v>202</v>
      </c>
      <c r="H65" s="55" t="s">
        <v>203</v>
      </c>
      <c r="I65" t="s">
        <v>37</v>
      </c>
      <c r="J65" s="59" t="s">
        <v>174</v>
      </c>
      <c r="K65" s="56" t="s">
        <v>108</v>
      </c>
      <c r="L65" s="45"/>
    </row>
    <row r="66" spans="1:17" x14ac:dyDescent="0.55000000000000004">
      <c r="A66" t="s">
        <v>305</v>
      </c>
      <c r="B66" s="55" t="s">
        <v>204</v>
      </c>
      <c r="C66" t="s">
        <v>309</v>
      </c>
      <c r="D66">
        <v>2012</v>
      </c>
      <c r="E66" s="56" t="s">
        <v>218</v>
      </c>
      <c r="F66">
        <v>44</v>
      </c>
      <c r="G66" s="55" t="s">
        <v>202</v>
      </c>
      <c r="H66" s="55" t="s">
        <v>203</v>
      </c>
      <c r="I66" t="s">
        <v>37</v>
      </c>
      <c r="J66" s="59" t="s">
        <v>174</v>
      </c>
      <c r="K66" s="56" t="s">
        <v>108</v>
      </c>
      <c r="L66" s="45"/>
    </row>
    <row r="67" spans="1:17" x14ac:dyDescent="0.55000000000000004">
      <c r="A67" t="s">
        <v>306</v>
      </c>
      <c r="B67" s="55" t="s">
        <v>204</v>
      </c>
      <c r="C67" t="s">
        <v>309</v>
      </c>
      <c r="D67">
        <v>2012</v>
      </c>
      <c r="E67" s="56" t="s">
        <v>218</v>
      </c>
      <c r="F67">
        <v>43</v>
      </c>
      <c r="G67" s="55" t="s">
        <v>202</v>
      </c>
      <c r="H67" s="55" t="s">
        <v>203</v>
      </c>
      <c r="I67" t="s">
        <v>37</v>
      </c>
      <c r="J67" s="59" t="s">
        <v>174</v>
      </c>
      <c r="K67" s="56" t="s">
        <v>108</v>
      </c>
      <c r="L67" s="45"/>
    </row>
    <row r="68" spans="1:17" x14ac:dyDescent="0.55000000000000004">
      <c r="A68" t="s">
        <v>307</v>
      </c>
      <c r="B68" s="55" t="s">
        <v>204</v>
      </c>
      <c r="C68" t="s">
        <v>309</v>
      </c>
      <c r="D68">
        <v>2012</v>
      </c>
      <c r="E68" s="56" t="s">
        <v>218</v>
      </c>
      <c r="F68">
        <v>15</v>
      </c>
      <c r="G68" s="55" t="s">
        <v>202</v>
      </c>
      <c r="H68" s="55" t="s">
        <v>203</v>
      </c>
      <c r="I68" t="s">
        <v>37</v>
      </c>
      <c r="J68" s="59" t="s">
        <v>174</v>
      </c>
      <c r="K68" s="56" t="s">
        <v>108</v>
      </c>
      <c r="L68" s="45"/>
    </row>
    <row r="69" spans="1:17" x14ac:dyDescent="0.55000000000000004">
      <c r="A69" t="s">
        <v>308</v>
      </c>
      <c r="B69" s="60" t="s">
        <v>204</v>
      </c>
      <c r="C69" t="s">
        <v>309</v>
      </c>
      <c r="D69">
        <v>2012</v>
      </c>
      <c r="E69" s="56" t="s">
        <v>218</v>
      </c>
      <c r="F69">
        <v>900</v>
      </c>
      <c r="G69" s="55" t="s">
        <v>202</v>
      </c>
      <c r="H69" s="55" t="s">
        <v>203</v>
      </c>
      <c r="I69" t="s">
        <v>37</v>
      </c>
      <c r="J69" s="59" t="s">
        <v>174</v>
      </c>
      <c r="K69" s="56" t="s">
        <v>108</v>
      </c>
      <c r="L69" s="45"/>
    </row>
    <row r="70" spans="1:17" x14ac:dyDescent="0.55000000000000004">
      <c r="A70" s="67" t="s">
        <v>273</v>
      </c>
      <c r="B70" s="60" t="s">
        <v>204</v>
      </c>
      <c r="C70" t="s">
        <v>118</v>
      </c>
      <c r="D70">
        <v>2015</v>
      </c>
      <c r="E70" s="56" t="s">
        <v>218</v>
      </c>
      <c r="F70">
        <v>233</v>
      </c>
      <c r="G70" s="55" t="s">
        <v>202</v>
      </c>
      <c r="H70" s="55" t="s">
        <v>203</v>
      </c>
      <c r="I70" t="s">
        <v>37</v>
      </c>
      <c r="J70" s="59" t="s">
        <v>174</v>
      </c>
      <c r="K70" s="56" t="s">
        <v>108</v>
      </c>
      <c r="L70" s="45"/>
    </row>
    <row r="71" spans="1:17" x14ac:dyDescent="0.55000000000000004">
      <c r="A71" s="67" t="s">
        <v>274</v>
      </c>
      <c r="B71" s="60" t="s">
        <v>204</v>
      </c>
      <c r="C71" t="s">
        <v>121</v>
      </c>
      <c r="D71">
        <v>2023</v>
      </c>
      <c r="E71" s="56" t="s">
        <v>218</v>
      </c>
      <c r="F71">
        <v>135.19999999999999</v>
      </c>
      <c r="G71" s="55" t="s">
        <v>202</v>
      </c>
      <c r="H71" s="55" t="s">
        <v>203</v>
      </c>
      <c r="I71" t="s">
        <v>37</v>
      </c>
      <c r="J71" s="59" t="s">
        <v>180</v>
      </c>
      <c r="K71" t="s">
        <v>122</v>
      </c>
      <c r="L71" s="45"/>
    </row>
    <row r="72" spans="1:17" x14ac:dyDescent="0.55000000000000004">
      <c r="A72" s="67" t="s">
        <v>274</v>
      </c>
      <c r="B72" s="60" t="s">
        <v>204</v>
      </c>
      <c r="C72" t="s">
        <v>121</v>
      </c>
      <c r="D72">
        <v>2041</v>
      </c>
      <c r="E72" s="56" t="s">
        <v>218</v>
      </c>
      <c r="F72">
        <v>124</v>
      </c>
      <c r="G72" s="55" t="s">
        <v>202</v>
      </c>
      <c r="H72" s="55" t="s">
        <v>203</v>
      </c>
      <c r="I72" t="s">
        <v>37</v>
      </c>
      <c r="J72" t="s">
        <v>229</v>
      </c>
      <c r="K72" s="59" t="s">
        <v>123</v>
      </c>
      <c r="M72"/>
      <c r="N72" s="45"/>
      <c r="O72" s="45"/>
    </row>
    <row r="73" spans="1:17" x14ac:dyDescent="0.55000000000000004">
      <c r="A73" s="67" t="s">
        <v>274</v>
      </c>
      <c r="B73" s="60" t="s">
        <v>204</v>
      </c>
      <c r="C73" t="s">
        <v>121</v>
      </c>
      <c r="D73">
        <v>2031</v>
      </c>
      <c r="E73" s="56" t="s">
        <v>218</v>
      </c>
      <c r="F73">
        <v>132</v>
      </c>
      <c r="G73" s="55" t="s">
        <v>202</v>
      </c>
      <c r="H73" s="55" t="s">
        <v>203</v>
      </c>
      <c r="I73" t="s">
        <v>37</v>
      </c>
      <c r="J73" t="s">
        <v>230</v>
      </c>
      <c r="K73" s="59" t="s">
        <v>123</v>
      </c>
      <c r="L73" s="56"/>
      <c r="M73"/>
      <c r="N73" s="45"/>
      <c r="O73" s="45"/>
      <c r="Q73" s="56"/>
    </row>
    <row r="74" spans="1:17" x14ac:dyDescent="0.55000000000000004">
      <c r="A74" s="67" t="s">
        <v>274</v>
      </c>
      <c r="B74" s="60" t="s">
        <v>204</v>
      </c>
      <c r="C74" t="s">
        <v>121</v>
      </c>
      <c r="D74">
        <v>2021</v>
      </c>
      <c r="E74" s="56" t="s">
        <v>218</v>
      </c>
      <c r="F74">
        <v>144</v>
      </c>
      <c r="G74" s="55" t="s">
        <v>202</v>
      </c>
      <c r="H74" s="55" t="s">
        <v>203</v>
      </c>
      <c r="I74" t="s">
        <v>37</v>
      </c>
      <c r="J74" t="s">
        <v>231</v>
      </c>
      <c r="K74" s="59" t="s">
        <v>123</v>
      </c>
      <c r="L74" s="56"/>
      <c r="M74"/>
      <c r="N74" s="45"/>
      <c r="O74" s="45"/>
      <c r="Q74" s="56"/>
    </row>
    <row r="75" spans="1:17" x14ac:dyDescent="0.55000000000000004">
      <c r="A75" s="67" t="s">
        <v>274</v>
      </c>
      <c r="B75" s="60" t="s">
        <v>204</v>
      </c>
      <c r="C75" t="s">
        <v>121</v>
      </c>
      <c r="D75">
        <v>2021</v>
      </c>
      <c r="E75" s="56" t="s">
        <v>218</v>
      </c>
      <c r="F75">
        <v>160</v>
      </c>
      <c r="G75" s="55" t="s">
        <v>202</v>
      </c>
      <c r="H75" s="55" t="s">
        <v>203</v>
      </c>
      <c r="I75" t="s">
        <v>37</v>
      </c>
      <c r="J75" t="s">
        <v>232</v>
      </c>
      <c r="K75" s="59" t="s">
        <v>123</v>
      </c>
      <c r="L75" s="56"/>
      <c r="M75"/>
      <c r="N75" s="45"/>
      <c r="O75" s="45"/>
      <c r="Q75" s="56"/>
    </row>
    <row r="76" spans="1:17" x14ac:dyDescent="0.55000000000000004">
      <c r="A76" s="67" t="s">
        <v>274</v>
      </c>
      <c r="B76" s="55" t="s">
        <v>204</v>
      </c>
      <c r="C76" t="s">
        <v>121</v>
      </c>
      <c r="D76">
        <v>2021</v>
      </c>
      <c r="E76" s="56" t="s">
        <v>218</v>
      </c>
      <c r="F76">
        <v>180</v>
      </c>
      <c r="G76" s="55" t="s">
        <v>202</v>
      </c>
      <c r="H76" s="55" t="s">
        <v>203</v>
      </c>
      <c r="I76" t="s">
        <v>37</v>
      </c>
      <c r="J76" t="s">
        <v>233</v>
      </c>
      <c r="K76" s="59" t="s">
        <v>123</v>
      </c>
      <c r="L76" s="56"/>
      <c r="M76"/>
      <c r="N76" s="45"/>
      <c r="O76" s="45"/>
      <c r="Q76" s="56"/>
    </row>
    <row r="77" spans="1:17" x14ac:dyDescent="0.55000000000000004">
      <c r="A77" s="67" t="s">
        <v>274</v>
      </c>
      <c r="B77" s="55" t="s">
        <v>204</v>
      </c>
      <c r="C77" t="s">
        <v>121</v>
      </c>
      <c r="D77">
        <v>2021</v>
      </c>
      <c r="E77" s="56" t="s">
        <v>218</v>
      </c>
      <c r="F77">
        <v>204</v>
      </c>
      <c r="G77" s="55" t="s">
        <v>202</v>
      </c>
      <c r="H77" s="55" t="s">
        <v>203</v>
      </c>
      <c r="I77" t="s">
        <v>37</v>
      </c>
      <c r="J77" t="s">
        <v>234</v>
      </c>
      <c r="K77" s="59" t="s">
        <v>123</v>
      </c>
      <c r="L77" s="56"/>
      <c r="M77"/>
      <c r="N77" s="45"/>
      <c r="O77" s="45"/>
      <c r="Q77" s="56"/>
    </row>
    <row r="78" spans="1:17" x14ac:dyDescent="0.55000000000000004">
      <c r="A78" s="67" t="s">
        <v>274</v>
      </c>
      <c r="B78" s="55" t="s">
        <v>204</v>
      </c>
      <c r="C78" t="s">
        <v>121</v>
      </c>
      <c r="D78">
        <v>2021</v>
      </c>
      <c r="E78" s="56" t="s">
        <v>218</v>
      </c>
      <c r="F78">
        <v>234</v>
      </c>
      <c r="G78" s="55" t="s">
        <v>202</v>
      </c>
      <c r="H78" s="55" t="s">
        <v>203</v>
      </c>
      <c r="I78" t="s">
        <v>37</v>
      </c>
      <c r="J78" t="s">
        <v>235</v>
      </c>
      <c r="K78" s="59" t="s">
        <v>123</v>
      </c>
      <c r="L78" s="56"/>
      <c r="M78"/>
      <c r="N78" s="45"/>
      <c r="O78" s="45"/>
      <c r="Q78" s="56"/>
    </row>
    <row r="79" spans="1:17" x14ac:dyDescent="0.55000000000000004">
      <c r="A79" s="67" t="s">
        <v>274</v>
      </c>
      <c r="B79" s="55" t="s">
        <v>204</v>
      </c>
      <c r="C79" t="s">
        <v>121</v>
      </c>
      <c r="D79">
        <v>2021</v>
      </c>
      <c r="E79" s="56" t="s">
        <v>218</v>
      </c>
      <c r="F79">
        <v>266</v>
      </c>
      <c r="G79" s="55" t="s">
        <v>202</v>
      </c>
      <c r="H79" s="55" t="s">
        <v>203</v>
      </c>
      <c r="I79" t="s">
        <v>37</v>
      </c>
      <c r="J79" t="s">
        <v>236</v>
      </c>
      <c r="K79" s="59" t="s">
        <v>123</v>
      </c>
      <c r="L79" s="56"/>
      <c r="M79"/>
      <c r="N79" s="45"/>
      <c r="O79" s="45"/>
      <c r="Q79" s="56"/>
    </row>
    <row r="80" spans="1:17" x14ac:dyDescent="0.55000000000000004">
      <c r="A80" s="67" t="s">
        <v>274</v>
      </c>
      <c r="B80" s="55" t="s">
        <v>204</v>
      </c>
      <c r="C80" t="s">
        <v>121</v>
      </c>
      <c r="D80">
        <v>2021</v>
      </c>
      <c r="E80" s="56" t="s">
        <v>218</v>
      </c>
      <c r="F80">
        <v>300</v>
      </c>
      <c r="G80" s="55" t="s">
        <v>202</v>
      </c>
      <c r="H80" s="55" t="s">
        <v>203</v>
      </c>
      <c r="I80" t="s">
        <v>37</v>
      </c>
      <c r="J80" t="s">
        <v>237</v>
      </c>
      <c r="K80" s="59" t="s">
        <v>123</v>
      </c>
      <c r="L80" s="56"/>
      <c r="M80"/>
      <c r="N80" s="45"/>
      <c r="O80" s="45"/>
      <c r="Q80" s="56"/>
    </row>
    <row r="81" spans="1:17" x14ac:dyDescent="0.55000000000000004">
      <c r="A81" s="67" t="s">
        <v>274</v>
      </c>
      <c r="B81" s="55" t="s">
        <v>204</v>
      </c>
      <c r="C81" t="s">
        <v>121</v>
      </c>
      <c r="D81">
        <v>2021</v>
      </c>
      <c r="E81" s="56" t="s">
        <v>218</v>
      </c>
      <c r="F81">
        <v>336</v>
      </c>
      <c r="G81" s="55" t="s">
        <v>202</v>
      </c>
      <c r="H81" s="55" t="s">
        <v>203</v>
      </c>
      <c r="I81" t="s">
        <v>37</v>
      </c>
      <c r="J81" t="s">
        <v>238</v>
      </c>
      <c r="K81" s="59" t="s">
        <v>123</v>
      </c>
      <c r="L81" s="56"/>
      <c r="M81"/>
      <c r="N81" s="45"/>
      <c r="O81" s="45"/>
      <c r="Q81" s="56"/>
    </row>
    <row r="82" spans="1:17" x14ac:dyDescent="0.55000000000000004">
      <c r="A82" s="67" t="s">
        <v>274</v>
      </c>
      <c r="B82" s="55" t="s">
        <v>204</v>
      </c>
      <c r="C82" t="s">
        <v>118</v>
      </c>
      <c r="D82">
        <v>2017</v>
      </c>
      <c r="E82" s="56" t="s">
        <v>218</v>
      </c>
      <c r="F82">
        <v>141.68</v>
      </c>
      <c r="G82" s="55" t="s">
        <v>202</v>
      </c>
      <c r="H82" s="55" t="s">
        <v>203</v>
      </c>
      <c r="I82" t="s">
        <v>37</v>
      </c>
      <c r="J82" t="s">
        <v>239</v>
      </c>
      <c r="K82" s="59" t="s">
        <v>124</v>
      </c>
      <c r="L82" s="56"/>
      <c r="M82"/>
      <c r="N82" s="45"/>
      <c r="O82" s="45"/>
    </row>
    <row r="83" spans="1:17" x14ac:dyDescent="0.55000000000000004">
      <c r="A83" t="s">
        <v>275</v>
      </c>
      <c r="B83" s="55" t="s">
        <v>204</v>
      </c>
      <c r="C83" t="s">
        <v>118</v>
      </c>
      <c r="D83">
        <v>2017</v>
      </c>
      <c r="E83" s="56" t="s">
        <v>218</v>
      </c>
      <c r="F83">
        <f>1.93*220</f>
        <v>424.59999999999997</v>
      </c>
      <c r="G83" s="55" t="s">
        <v>202</v>
      </c>
      <c r="H83" s="55" t="s">
        <v>203</v>
      </c>
      <c r="I83" t="s">
        <v>37</v>
      </c>
      <c r="J83" t="s">
        <v>240</v>
      </c>
      <c r="K83" s="59" t="s">
        <v>124</v>
      </c>
      <c r="L83" s="56"/>
      <c r="M83"/>
      <c r="N83" s="45"/>
      <c r="O83" s="45"/>
      <c r="Q83" s="56"/>
    </row>
    <row r="84" spans="1:17" x14ac:dyDescent="0.55000000000000004">
      <c r="A84" t="s">
        <v>276</v>
      </c>
      <c r="B84" s="55" t="s">
        <v>204</v>
      </c>
      <c r="C84" t="s">
        <v>118</v>
      </c>
      <c r="D84">
        <v>2016</v>
      </c>
      <c r="E84" s="56" t="s">
        <v>218</v>
      </c>
      <c r="F84">
        <f>50*1.4</f>
        <v>70</v>
      </c>
      <c r="G84" s="55" t="s">
        <v>202</v>
      </c>
      <c r="H84" s="55" t="s">
        <v>203</v>
      </c>
      <c r="I84" t="s">
        <v>37</v>
      </c>
      <c r="J84" t="s">
        <v>127</v>
      </c>
      <c r="K84" s="59" t="s">
        <v>126</v>
      </c>
      <c r="M84" s="54"/>
      <c r="O84" s="45"/>
    </row>
    <row r="85" spans="1:17" x14ac:dyDescent="0.55000000000000004">
      <c r="A85" t="s">
        <v>277</v>
      </c>
      <c r="B85" s="55" t="s">
        <v>204</v>
      </c>
      <c r="C85" t="s">
        <v>118</v>
      </c>
      <c r="D85">
        <v>2017</v>
      </c>
      <c r="E85" s="56" t="s">
        <v>218</v>
      </c>
      <c r="F85">
        <f>262.8*0.278/4</f>
        <v>18.264600000000002</v>
      </c>
      <c r="G85" s="55" t="s">
        <v>202</v>
      </c>
      <c r="H85" s="55" t="s">
        <v>203</v>
      </c>
      <c r="I85" t="s">
        <v>37</v>
      </c>
      <c r="J85" t="s">
        <v>130</v>
      </c>
      <c r="K85" s="59" t="s">
        <v>129</v>
      </c>
      <c r="M85" s="53"/>
      <c r="O85" s="45"/>
    </row>
    <row r="86" spans="1:17" x14ac:dyDescent="0.55000000000000004">
      <c r="A86" t="s">
        <v>278</v>
      </c>
      <c r="B86" s="55" t="s">
        <v>204</v>
      </c>
      <c r="C86" t="s">
        <v>118</v>
      </c>
      <c r="D86">
        <v>2018</v>
      </c>
      <c r="E86" s="56" t="s">
        <v>218</v>
      </c>
      <c r="F86">
        <f>537.6/8</f>
        <v>67.2</v>
      </c>
      <c r="G86" s="55" t="s">
        <v>202</v>
      </c>
      <c r="H86" s="55" t="s">
        <v>203</v>
      </c>
      <c r="I86" t="s">
        <v>37</v>
      </c>
      <c r="J86" t="s">
        <v>133</v>
      </c>
      <c r="K86" s="59" t="s">
        <v>132</v>
      </c>
      <c r="M86"/>
      <c r="O86" s="45"/>
    </row>
    <row r="87" spans="1:17" x14ac:dyDescent="0.55000000000000004">
      <c r="A87" t="s">
        <v>279</v>
      </c>
      <c r="B87" s="55" t="s">
        <v>204</v>
      </c>
      <c r="C87" t="s">
        <v>118</v>
      </c>
      <c r="D87">
        <v>2015</v>
      </c>
      <c r="E87" s="56" t="s">
        <v>218</v>
      </c>
      <c r="F87">
        <f>0.35*365*10</f>
        <v>1277.4999999999998</v>
      </c>
      <c r="G87" s="55" t="s">
        <v>202</v>
      </c>
      <c r="H87" s="55" t="s">
        <v>203</v>
      </c>
      <c r="I87" t="s">
        <v>37</v>
      </c>
      <c r="J87" t="s">
        <v>136</v>
      </c>
      <c r="K87" s="59" t="s">
        <v>135</v>
      </c>
      <c r="M87"/>
      <c r="O87" s="45"/>
    </row>
    <row r="88" spans="1:17" x14ac:dyDescent="0.55000000000000004">
      <c r="A88" t="s">
        <v>280</v>
      </c>
      <c r="B88" s="55" t="s">
        <v>204</v>
      </c>
      <c r="C88" t="s">
        <v>118</v>
      </c>
      <c r="D88">
        <v>2009</v>
      </c>
      <c r="E88" s="56" t="s">
        <v>218</v>
      </c>
      <c r="F88">
        <f>0.12*8*300</f>
        <v>288</v>
      </c>
      <c r="G88" s="55" t="s">
        <v>202</v>
      </c>
      <c r="H88" s="55" t="s">
        <v>203</v>
      </c>
      <c r="I88" t="s">
        <v>37</v>
      </c>
      <c r="J88" t="s">
        <v>139</v>
      </c>
      <c r="K88" s="59" t="s">
        <v>138</v>
      </c>
      <c r="M88" s="53"/>
      <c r="O88" s="45"/>
    </row>
    <row r="89" spans="1:17" x14ac:dyDescent="0.55000000000000004">
      <c r="A89" t="s">
        <v>281</v>
      </c>
      <c r="B89" s="55" t="s">
        <v>204</v>
      </c>
      <c r="C89" t="s">
        <v>118</v>
      </c>
      <c r="D89">
        <v>2021</v>
      </c>
      <c r="E89" s="56" t="s">
        <v>218</v>
      </c>
      <c r="F89">
        <f>0.344/2</f>
        <v>0.17199999999999999</v>
      </c>
      <c r="G89" s="55" t="s">
        <v>202</v>
      </c>
      <c r="H89" s="55" t="s">
        <v>203</v>
      </c>
      <c r="I89" t="s">
        <v>37</v>
      </c>
      <c r="J89" t="s">
        <v>142</v>
      </c>
      <c r="K89" s="59" t="s">
        <v>141</v>
      </c>
      <c r="M89" s="53"/>
      <c r="O89" s="45"/>
    </row>
  </sheetData>
  <phoneticPr fontId="11" type="noConversion"/>
  <pageMargins left="0.7" right="0.7" top="0.78740157499999996" bottom="0.78740157499999996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G56"/>
  <sheetViews>
    <sheetView zoomScale="70" zoomScaleNormal="70" workbookViewId="0">
      <selection activeCell="A13" sqref="A13"/>
    </sheetView>
  </sheetViews>
  <sheetFormatPr baseColWidth="10" defaultColWidth="10.68359375" defaultRowHeight="14.4" x14ac:dyDescent="0.55000000000000004"/>
  <cols>
    <col min="1" max="1" width="25.68359375" bestFit="1" customWidth="1"/>
    <col min="2" max="2" width="26.26171875" customWidth="1"/>
    <col min="3" max="3" width="26.578125" customWidth="1"/>
    <col min="4" max="4" width="12.15625" customWidth="1"/>
    <col min="6" max="6" width="65.83984375" customWidth="1"/>
  </cols>
  <sheetData>
    <row r="2" spans="1:7" ht="55.9" customHeight="1" x14ac:dyDescent="0.55000000000000004">
      <c r="A2" s="47" t="s">
        <v>143</v>
      </c>
      <c r="B2" s="48" t="s">
        <v>144</v>
      </c>
      <c r="C2" s="50" t="s">
        <v>145</v>
      </c>
      <c r="D2" s="49" t="s">
        <v>146</v>
      </c>
      <c r="E2" s="49" t="s">
        <v>147</v>
      </c>
      <c r="F2" s="49" t="s">
        <v>148</v>
      </c>
      <c r="G2" s="48" t="s">
        <v>149</v>
      </c>
    </row>
    <row r="3" spans="1:7" x14ac:dyDescent="0.55000000000000004">
      <c r="A3" s="52" t="s">
        <v>108</v>
      </c>
      <c r="B3" s="52" t="s">
        <v>150</v>
      </c>
      <c r="C3" t="s">
        <v>34</v>
      </c>
      <c r="D3" s="46">
        <v>45368</v>
      </c>
      <c r="E3" t="s">
        <v>151</v>
      </c>
      <c r="F3" t="s">
        <v>152</v>
      </c>
      <c r="G3">
        <v>1</v>
      </c>
    </row>
    <row r="4" spans="1:7" x14ac:dyDescent="0.55000000000000004">
      <c r="F4" s="4" t="s">
        <v>153</v>
      </c>
    </row>
    <row r="5" spans="1:7" x14ac:dyDescent="0.55000000000000004">
      <c r="F5" t="s">
        <v>154</v>
      </c>
    </row>
    <row r="6" spans="1:7" x14ac:dyDescent="0.55000000000000004">
      <c r="F6" s="4" t="s">
        <v>155</v>
      </c>
    </row>
    <row r="8" spans="1:7" x14ac:dyDescent="0.55000000000000004">
      <c r="A8" s="52" t="s">
        <v>119</v>
      </c>
      <c r="B8" s="52" t="s">
        <v>117</v>
      </c>
      <c r="C8" t="s">
        <v>34</v>
      </c>
      <c r="D8" s="46">
        <v>45368</v>
      </c>
      <c r="E8" t="s">
        <v>151</v>
      </c>
      <c r="F8" t="s">
        <v>156</v>
      </c>
      <c r="G8">
        <v>2</v>
      </c>
    </row>
    <row r="9" spans="1:7" x14ac:dyDescent="0.55000000000000004">
      <c r="F9" s="4" t="s">
        <v>153</v>
      </c>
    </row>
    <row r="10" spans="1:7" x14ac:dyDescent="0.55000000000000004">
      <c r="F10" t="s">
        <v>154</v>
      </c>
    </row>
    <row r="11" spans="1:7" x14ac:dyDescent="0.55000000000000004">
      <c r="F11" s="4" t="s">
        <v>155</v>
      </c>
    </row>
    <row r="13" spans="1:7" x14ac:dyDescent="0.55000000000000004">
      <c r="A13" s="52" t="s">
        <v>122</v>
      </c>
      <c r="B13" s="52" t="s">
        <v>120</v>
      </c>
      <c r="C13" t="s">
        <v>34</v>
      </c>
      <c r="D13" s="46">
        <v>45368</v>
      </c>
      <c r="E13" t="s">
        <v>151</v>
      </c>
      <c r="F13" t="s">
        <v>157</v>
      </c>
      <c r="G13">
        <v>3</v>
      </c>
    </row>
    <row r="14" spans="1:7" x14ac:dyDescent="0.55000000000000004">
      <c r="F14" s="4" t="s">
        <v>153</v>
      </c>
    </row>
    <row r="15" spans="1:7" x14ac:dyDescent="0.55000000000000004">
      <c r="F15" t="s">
        <v>154</v>
      </c>
    </row>
    <row r="16" spans="1:7" x14ac:dyDescent="0.55000000000000004">
      <c r="F16" s="4" t="s">
        <v>155</v>
      </c>
    </row>
    <row r="18" spans="1:7" x14ac:dyDescent="0.55000000000000004">
      <c r="A18" s="52" t="s">
        <v>123</v>
      </c>
      <c r="B18" s="52" t="s">
        <v>120</v>
      </c>
      <c r="C18" t="s">
        <v>34</v>
      </c>
      <c r="D18" s="46">
        <v>45368</v>
      </c>
      <c r="E18" t="s">
        <v>151</v>
      </c>
      <c r="F18" t="s">
        <v>158</v>
      </c>
      <c r="G18">
        <v>4</v>
      </c>
    </row>
    <row r="19" spans="1:7" x14ac:dyDescent="0.55000000000000004">
      <c r="F19" s="4" t="s">
        <v>153</v>
      </c>
    </row>
    <row r="20" spans="1:7" x14ac:dyDescent="0.55000000000000004">
      <c r="F20" t="s">
        <v>154</v>
      </c>
    </row>
    <row r="21" spans="1:7" x14ac:dyDescent="0.55000000000000004">
      <c r="F21" s="4" t="s">
        <v>155</v>
      </c>
    </row>
    <row r="23" spans="1:7" x14ac:dyDescent="0.55000000000000004">
      <c r="A23" s="52" t="s">
        <v>124</v>
      </c>
      <c r="B23" s="52" t="s">
        <v>120</v>
      </c>
      <c r="C23" t="s">
        <v>34</v>
      </c>
      <c r="D23" s="46">
        <v>45368</v>
      </c>
      <c r="E23" t="s">
        <v>151</v>
      </c>
      <c r="F23" t="s">
        <v>159</v>
      </c>
      <c r="G23">
        <v>5</v>
      </c>
    </row>
    <row r="24" spans="1:7" x14ac:dyDescent="0.55000000000000004">
      <c r="F24" s="4" t="s">
        <v>153</v>
      </c>
    </row>
    <row r="25" spans="1:7" x14ac:dyDescent="0.55000000000000004">
      <c r="F25" t="s">
        <v>154</v>
      </c>
    </row>
    <row r="26" spans="1:7" x14ac:dyDescent="0.55000000000000004">
      <c r="F26" s="4" t="s">
        <v>155</v>
      </c>
    </row>
    <row r="28" spans="1:7" x14ac:dyDescent="0.55000000000000004">
      <c r="A28" s="52" t="s">
        <v>126</v>
      </c>
      <c r="B28" s="52" t="s">
        <v>125</v>
      </c>
      <c r="C28" t="s">
        <v>34</v>
      </c>
      <c r="D28" s="46">
        <v>45368</v>
      </c>
      <c r="E28" t="s">
        <v>151</v>
      </c>
      <c r="F28" t="s">
        <v>160</v>
      </c>
      <c r="G28">
        <v>6</v>
      </c>
    </row>
    <row r="29" spans="1:7" x14ac:dyDescent="0.55000000000000004">
      <c r="F29" s="4" t="s">
        <v>153</v>
      </c>
    </row>
    <row r="30" spans="1:7" x14ac:dyDescent="0.55000000000000004">
      <c r="F30" t="s">
        <v>154</v>
      </c>
    </row>
    <row r="31" spans="1:7" x14ac:dyDescent="0.55000000000000004">
      <c r="F31" s="4" t="s">
        <v>155</v>
      </c>
    </row>
    <row r="32" spans="1:7" x14ac:dyDescent="0.55000000000000004">
      <c r="F32" s="4"/>
    </row>
    <row r="33" spans="1:7" x14ac:dyDescent="0.55000000000000004">
      <c r="A33" s="52" t="s">
        <v>129</v>
      </c>
      <c r="B33" s="52" t="s">
        <v>128</v>
      </c>
      <c r="C33" t="s">
        <v>34</v>
      </c>
      <c r="D33" s="46">
        <v>45368</v>
      </c>
      <c r="E33" t="s">
        <v>151</v>
      </c>
      <c r="F33" t="s">
        <v>160</v>
      </c>
      <c r="G33">
        <v>7</v>
      </c>
    </row>
    <row r="34" spans="1:7" x14ac:dyDescent="0.55000000000000004">
      <c r="F34" s="4" t="s">
        <v>153</v>
      </c>
    </row>
    <row r="35" spans="1:7" x14ac:dyDescent="0.55000000000000004">
      <c r="F35" t="s">
        <v>154</v>
      </c>
    </row>
    <row r="36" spans="1:7" x14ac:dyDescent="0.55000000000000004">
      <c r="F36" s="4" t="s">
        <v>155</v>
      </c>
    </row>
    <row r="38" spans="1:7" x14ac:dyDescent="0.55000000000000004">
      <c r="A38" s="52" t="s">
        <v>132</v>
      </c>
      <c r="B38" s="52" t="s">
        <v>131</v>
      </c>
      <c r="C38" t="s">
        <v>34</v>
      </c>
      <c r="D38" s="46">
        <v>45368</v>
      </c>
      <c r="E38" t="s">
        <v>151</v>
      </c>
      <c r="F38" t="s">
        <v>160</v>
      </c>
      <c r="G38">
        <v>8</v>
      </c>
    </row>
    <row r="39" spans="1:7" x14ac:dyDescent="0.55000000000000004">
      <c r="F39" s="4" t="s">
        <v>153</v>
      </c>
    </row>
    <row r="40" spans="1:7" x14ac:dyDescent="0.55000000000000004">
      <c r="F40" t="s">
        <v>154</v>
      </c>
    </row>
    <row r="41" spans="1:7" x14ac:dyDescent="0.55000000000000004">
      <c r="F41" s="4" t="s">
        <v>155</v>
      </c>
    </row>
    <row r="43" spans="1:7" x14ac:dyDescent="0.55000000000000004">
      <c r="A43" s="52" t="s">
        <v>135</v>
      </c>
      <c r="B43" s="52" t="s">
        <v>134</v>
      </c>
      <c r="C43" t="s">
        <v>34</v>
      </c>
      <c r="D43" s="46">
        <v>45368</v>
      </c>
      <c r="E43" t="s">
        <v>151</v>
      </c>
      <c r="F43" t="s">
        <v>160</v>
      </c>
      <c r="G43">
        <v>9</v>
      </c>
    </row>
    <row r="44" spans="1:7" x14ac:dyDescent="0.55000000000000004">
      <c r="F44" s="4" t="s">
        <v>153</v>
      </c>
    </row>
    <row r="45" spans="1:7" x14ac:dyDescent="0.55000000000000004">
      <c r="F45" t="s">
        <v>154</v>
      </c>
    </row>
    <row r="46" spans="1:7" x14ac:dyDescent="0.55000000000000004">
      <c r="F46" s="4" t="s">
        <v>155</v>
      </c>
    </row>
    <row r="48" spans="1:7" x14ac:dyDescent="0.55000000000000004">
      <c r="A48" s="52" t="s">
        <v>138</v>
      </c>
      <c r="B48" s="52" t="s">
        <v>137</v>
      </c>
      <c r="C48" t="s">
        <v>34</v>
      </c>
      <c r="D48" s="46">
        <v>45368</v>
      </c>
      <c r="E48" t="s">
        <v>151</v>
      </c>
      <c r="F48" t="s">
        <v>160</v>
      </c>
      <c r="G48">
        <v>10</v>
      </c>
    </row>
    <row r="49" spans="1:7" x14ac:dyDescent="0.55000000000000004">
      <c r="F49" s="4" t="s">
        <v>153</v>
      </c>
    </row>
    <row r="50" spans="1:7" x14ac:dyDescent="0.55000000000000004">
      <c r="F50" t="s">
        <v>154</v>
      </c>
    </row>
    <row r="51" spans="1:7" x14ac:dyDescent="0.55000000000000004">
      <c r="F51" s="4" t="s">
        <v>155</v>
      </c>
    </row>
    <row r="53" spans="1:7" x14ac:dyDescent="0.55000000000000004">
      <c r="A53" s="52" t="s">
        <v>141</v>
      </c>
      <c r="B53" s="52" t="s">
        <v>140</v>
      </c>
      <c r="C53" t="s">
        <v>34</v>
      </c>
      <c r="D53" s="46">
        <v>45368</v>
      </c>
      <c r="E53" t="s">
        <v>151</v>
      </c>
      <c r="F53" t="s">
        <v>160</v>
      </c>
      <c r="G53">
        <v>11</v>
      </c>
    </row>
    <row r="54" spans="1:7" x14ac:dyDescent="0.55000000000000004">
      <c r="F54" s="4" t="s">
        <v>153</v>
      </c>
    </row>
    <row r="55" spans="1:7" x14ac:dyDescent="0.55000000000000004">
      <c r="F55" t="s">
        <v>154</v>
      </c>
    </row>
    <row r="56" spans="1:7" x14ac:dyDescent="0.55000000000000004">
      <c r="F56" s="4" t="s">
        <v>155</v>
      </c>
    </row>
  </sheetData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N13"/>
  <sheetViews>
    <sheetView zoomScale="70" zoomScaleNormal="70" workbookViewId="0">
      <selection activeCell="I16" sqref="I16"/>
    </sheetView>
  </sheetViews>
  <sheetFormatPr baseColWidth="10" defaultColWidth="10.68359375" defaultRowHeight="14.4" x14ac:dyDescent="0.55000000000000004"/>
  <cols>
    <col min="2" max="2" width="20.15625" bestFit="1" customWidth="1"/>
    <col min="5" max="5" width="25.68359375" customWidth="1"/>
    <col min="6" max="6" width="28.41796875" customWidth="1"/>
  </cols>
  <sheetData>
    <row r="2" spans="2:14" x14ac:dyDescent="0.55000000000000004">
      <c r="B2" s="4" t="s">
        <v>161</v>
      </c>
      <c r="C2" s="35" t="s">
        <v>162</v>
      </c>
      <c r="D2" s="4"/>
      <c r="E2" s="4" t="s">
        <v>163</v>
      </c>
      <c r="F2" s="4" t="s">
        <v>164</v>
      </c>
      <c r="G2" s="4" t="s">
        <v>165</v>
      </c>
      <c r="H2" s="4" t="s">
        <v>166</v>
      </c>
      <c r="I2" s="4" t="s">
        <v>167</v>
      </c>
      <c r="J2" s="4" t="s">
        <v>168</v>
      </c>
      <c r="K2" s="4" t="s">
        <v>169</v>
      </c>
      <c r="L2" s="4" t="s">
        <v>170</v>
      </c>
      <c r="M2" s="4" t="s">
        <v>171</v>
      </c>
      <c r="N2" s="4" t="s">
        <v>172</v>
      </c>
    </row>
    <row r="3" spans="2:14" x14ac:dyDescent="0.55000000000000004">
      <c r="B3" t="s">
        <v>200</v>
      </c>
      <c r="C3">
        <v>1</v>
      </c>
      <c r="E3" t="s">
        <v>173</v>
      </c>
      <c r="G3">
        <v>2012</v>
      </c>
      <c r="K3" s="53" t="s">
        <v>174</v>
      </c>
    </row>
    <row r="4" spans="2:14" x14ac:dyDescent="0.55000000000000004">
      <c r="B4" s="55" t="s">
        <v>200</v>
      </c>
      <c r="C4">
        <v>2</v>
      </c>
      <c r="E4" t="s">
        <v>175</v>
      </c>
      <c r="F4" t="s">
        <v>176</v>
      </c>
      <c r="G4">
        <v>2015</v>
      </c>
      <c r="H4" t="s">
        <v>175</v>
      </c>
      <c r="K4" s="53" t="s">
        <v>177</v>
      </c>
    </row>
    <row r="5" spans="2:14" x14ac:dyDescent="0.55000000000000004">
      <c r="B5" s="55" t="s">
        <v>200</v>
      </c>
      <c r="C5">
        <v>3</v>
      </c>
      <c r="E5" t="s">
        <v>178</v>
      </c>
      <c r="F5" t="s">
        <v>179</v>
      </c>
      <c r="G5">
        <v>2024</v>
      </c>
      <c r="J5" s="53" t="s">
        <v>180</v>
      </c>
      <c r="K5" t="s">
        <v>181</v>
      </c>
    </row>
    <row r="6" spans="2:14" x14ac:dyDescent="0.55000000000000004">
      <c r="B6" s="55" t="s">
        <v>200</v>
      </c>
      <c r="C6">
        <v>4</v>
      </c>
      <c r="E6" t="s">
        <v>182</v>
      </c>
      <c r="F6" t="s">
        <v>183</v>
      </c>
      <c r="G6">
        <v>2021</v>
      </c>
      <c r="J6" s="54" t="s">
        <v>184</v>
      </c>
      <c r="K6" s="54" t="s">
        <v>184</v>
      </c>
    </row>
    <row r="7" spans="2:14" x14ac:dyDescent="0.55000000000000004">
      <c r="B7" s="55" t="s">
        <v>200</v>
      </c>
      <c r="C7">
        <v>5</v>
      </c>
      <c r="E7" t="s">
        <v>175</v>
      </c>
      <c r="F7" t="s">
        <v>185</v>
      </c>
      <c r="G7">
        <v>2017</v>
      </c>
      <c r="J7" t="s">
        <v>198</v>
      </c>
      <c r="K7" s="54" t="s">
        <v>186</v>
      </c>
    </row>
    <row r="8" spans="2:14" x14ac:dyDescent="0.55000000000000004">
      <c r="B8" s="55" t="s">
        <v>200</v>
      </c>
      <c r="C8">
        <v>6</v>
      </c>
      <c r="E8" t="s">
        <v>187</v>
      </c>
      <c r="F8" t="s">
        <v>188</v>
      </c>
      <c r="G8">
        <v>2016</v>
      </c>
      <c r="J8" t="s">
        <v>199</v>
      </c>
      <c r="K8" s="54" t="s">
        <v>127</v>
      </c>
    </row>
    <row r="9" spans="2:14" x14ac:dyDescent="0.55000000000000004">
      <c r="B9" s="55" t="s">
        <v>200</v>
      </c>
      <c r="C9">
        <v>7</v>
      </c>
      <c r="E9" t="s">
        <v>189</v>
      </c>
      <c r="F9" t="s">
        <v>190</v>
      </c>
      <c r="G9">
        <v>2017</v>
      </c>
      <c r="K9" s="53" t="s">
        <v>130</v>
      </c>
    </row>
    <row r="10" spans="2:14" x14ac:dyDescent="0.55000000000000004">
      <c r="B10" s="55" t="s">
        <v>200</v>
      </c>
      <c r="C10">
        <v>8</v>
      </c>
      <c r="E10" t="s">
        <v>187</v>
      </c>
      <c r="F10" t="s">
        <v>191</v>
      </c>
      <c r="G10">
        <v>2018</v>
      </c>
      <c r="K10" s="53" t="s">
        <v>133</v>
      </c>
    </row>
    <row r="11" spans="2:14" x14ac:dyDescent="0.55000000000000004">
      <c r="B11" s="55" t="s">
        <v>200</v>
      </c>
      <c r="C11">
        <v>9</v>
      </c>
      <c r="E11" t="s">
        <v>192</v>
      </c>
      <c r="F11" t="s">
        <v>193</v>
      </c>
      <c r="G11">
        <v>2015</v>
      </c>
      <c r="K11" s="53" t="s">
        <v>136</v>
      </c>
    </row>
    <row r="12" spans="2:14" x14ac:dyDescent="0.55000000000000004">
      <c r="B12" s="55" t="s">
        <v>200</v>
      </c>
      <c r="C12">
        <v>10</v>
      </c>
      <c r="E12" t="s">
        <v>194</v>
      </c>
      <c r="F12" t="s">
        <v>195</v>
      </c>
      <c r="G12">
        <v>2009</v>
      </c>
      <c r="K12" s="53" t="s">
        <v>139</v>
      </c>
    </row>
    <row r="13" spans="2:14" x14ac:dyDescent="0.55000000000000004">
      <c r="B13" s="55" t="s">
        <v>200</v>
      </c>
      <c r="C13">
        <v>11</v>
      </c>
      <c r="E13" t="s">
        <v>196</v>
      </c>
      <c r="F13" t="s">
        <v>197</v>
      </c>
      <c r="G13">
        <v>2021</v>
      </c>
      <c r="K13" s="53" t="s">
        <v>142</v>
      </c>
    </row>
  </sheetData>
  <hyperlinks>
    <hyperlink ref="J5" r:id="rId1" xr:uid="{CD6DB9DB-3106-4F1C-8968-FFAC745007A1}"/>
    <hyperlink ref="K7" r:id="rId2" xr:uid="{37AE79CF-E243-4CFC-BE18-C61E7699FDC8}"/>
    <hyperlink ref="K8" r:id="rId3" location="bb0065" xr:uid="{5A445F82-022F-4CDF-B316-C32016B0BF1B}"/>
    <hyperlink ref="K9" r:id="rId4" xr:uid="{3866FDF9-1207-4D2B-B447-F6F54DF655B3}"/>
    <hyperlink ref="K12" r:id="rId5" location="sec2" xr:uid="{FDB66632-9963-47B7-BDD0-7F6FCA632AAD}"/>
    <hyperlink ref="K13" r:id="rId6" xr:uid="{87BBE971-A254-4388-AC10-B494C1E11010}"/>
    <hyperlink ref="K3" r:id="rId7" xr:uid="{055DE1CE-A125-48B0-9F49-CE784C862A05}"/>
    <hyperlink ref="K4" r:id="rId8" xr:uid="{3D6E0E50-343E-4C66-9CF9-78FAEC83CC71}"/>
    <hyperlink ref="J6" r:id="rId9" xr:uid="{FA67F008-3211-49FC-AE6C-1B1835DC388E}"/>
    <hyperlink ref="K10" r:id="rId10" xr:uid="{A3F6F1F1-4E28-4E94-AE15-0F958C68FE1E}"/>
    <hyperlink ref="K11" r:id="rId11" location="sec2" xr:uid="{30035B3E-2376-4CDD-ABE9-C8FB1685C166}"/>
  </hyperlinks>
  <pageMargins left="0.7" right="0.7" top="0.78740157499999996" bottom="0.78740157499999996" header="0.3" footer="0.3"/>
  <pageSetup paperSize="9" orientation="portrait" horizontalDpi="1200" verticalDpi="1200" r:id="rId1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19765609737274DAA0BA2312E565507" ma:contentTypeVersion="15" ma:contentTypeDescription="Een nieuw document maken." ma:contentTypeScope="" ma:versionID="d77ec7b5420d628315a9a13ace4bbcee">
  <xsd:schema xmlns:xsd="http://www.w3.org/2001/XMLSchema" xmlns:xs="http://www.w3.org/2001/XMLSchema" xmlns:p="http://schemas.microsoft.com/office/2006/metadata/properties" xmlns:ns2="0592d07a-1af2-4331-8b44-ea7e2815515f" xmlns:ns3="a4e2c5e2-cb1f-48cf-889d-fca67caa39a4" targetNamespace="http://schemas.microsoft.com/office/2006/metadata/properties" ma:root="true" ma:fieldsID="52e850a0f97d66bed284b7a1082d151b" ns2:_="" ns3:_="">
    <xsd:import namespace="0592d07a-1af2-4331-8b44-ea7e2815515f"/>
    <xsd:import namespace="a4e2c5e2-cb1f-48cf-889d-fca67caa39a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92d07a-1af2-4331-8b44-ea7e2815515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3" nillable="true" ma:taxonomy="true" ma:internalName="lcf76f155ced4ddcb4097134ff3c332f" ma:taxonomyFieldName="MediaServiceImageTags" ma:displayName="Afbeeldingtags" ma:readOnly="false" ma:fieldId="{5cf76f15-5ced-4ddc-b409-7134ff3c332f}" ma:taxonomyMulti="true" ma:sspId="3990300c-d600-4513-9bff-3e9eb93c760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8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e2c5e2-cb1f-48cf-889d-fca67caa39a4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c0727d16-6c00-43d3-9873-3204753fa48c}" ma:internalName="TaxCatchAll" ma:showField="CatchAllData" ma:web="a4e2c5e2-cb1f-48cf-889d-fca67caa39a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Gedeeld met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Gedeeld met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592d07a-1af2-4331-8b44-ea7e2815515f">
      <Terms xmlns="http://schemas.microsoft.com/office/infopath/2007/PartnerControls"/>
    </lcf76f155ced4ddcb4097134ff3c332f>
    <TaxCatchAll xmlns="a4e2c5e2-cb1f-48cf-889d-fca67caa39a4" xsi:nil="true"/>
  </documentManagement>
</p:properties>
</file>

<file path=customXml/itemProps1.xml><?xml version="1.0" encoding="utf-8"?>
<ds:datastoreItem xmlns:ds="http://schemas.openxmlformats.org/officeDocument/2006/customXml" ds:itemID="{74939680-E771-409B-92AB-3EBBE84B7AC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C31995E-2C8E-47FF-A2A9-36647E1271D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592d07a-1af2-4331-8b44-ea7e2815515f"/>
    <ds:schemaRef ds:uri="a4e2c5e2-cb1f-48cf-889d-fca67caa39a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B2E11958-4686-4E60-B1E6-92D92296809B}">
  <ds:schemaRefs>
    <ds:schemaRef ds:uri="http://purl.org/dc/dcmitype/"/>
    <ds:schemaRef ds:uri="http://www.w3.org/XML/1998/namespace"/>
    <ds:schemaRef ds:uri="http://schemas.microsoft.com/office/infopath/2007/PartnerControls"/>
    <ds:schemaRef ds:uri="http://purl.org/dc/elements/1.1/"/>
    <ds:schemaRef ds:uri="0592d07a-1af2-4331-8b44-ea7e2815515f"/>
    <ds:schemaRef ds:uri="a4e2c5e2-cb1f-48cf-889d-fca67caa39a4"/>
    <ds:schemaRef ds:uri="http://schemas.microsoft.com/office/2006/metadata/properties"/>
    <ds:schemaRef ds:uri="http://schemas.microsoft.com/office/2006/documentManagement/types"/>
    <ds:schemaRef ds:uri="http://schemas.openxmlformats.org/package/2006/metadata/core-properties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4</vt:i4>
      </vt:variant>
    </vt:vector>
  </HeadingPairs>
  <TitlesOfParts>
    <vt:vector size="4" baseType="lpstr">
      <vt:lpstr>Cover</vt:lpstr>
      <vt:lpstr>Data</vt:lpstr>
      <vt:lpstr>log</vt:lpstr>
      <vt:lpstr>ref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Martijn van Engelenburg</dc:creator>
  <cp:keywords/>
  <dc:description/>
  <cp:lastModifiedBy>Stefan Pauliuk</cp:lastModifiedBy>
  <cp:revision/>
  <dcterms:created xsi:type="dcterms:W3CDTF">2006-09-16T00:00:00Z</dcterms:created>
  <dcterms:modified xsi:type="dcterms:W3CDTF">2025-03-08T11:04:05Z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0x010100019765609737274DAA0BA2312E565507</vt:lpwstr>
  </property>
  <property fmtid="{D5CDD505-2E9C-101B-9397-08002B2CF9AE}" pid="3" name="MediaServiceImageTags">
    <vt:lpwstr/>
  </property>
</Properties>
</file>