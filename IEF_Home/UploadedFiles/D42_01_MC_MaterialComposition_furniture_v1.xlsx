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CB973961-1F2F-4B59-87DC-45119B88421D}" xr6:coauthVersionLast="47" xr6:coauthVersionMax="47" xr10:uidLastSave="{00000000-0000-0000-0000-000000000000}"/>
  <bookViews>
    <workbookView xWindow="-110" yWindow="-110" windowWidth="19420" windowHeight="10420" xr2:uid="{E8E6DB39-9BF3-44D6-B312-3E8D7A6FA4D0}"/>
  </bookViews>
  <sheets>
    <sheet name="Cover" sheetId="1" r:id="rId1"/>
    <sheet name="Data" sheetId="2" r:id="rId2"/>
    <sheet name="log" sheetId="3" r:id="rId3"/>
    <sheet name="ref" sheetId="4" r:id="rId4"/>
    <sheet name="raw_data" sheetId="5" r:id="rId5"/>
  </sheets>
  <definedNames>
    <definedName name="_xlnm._FilterDatabase" localSheetId="1" hidden="1">Data!$A$1:$N$1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<sst xmlns="http://schemas.openxmlformats.org/spreadsheetml/2006/main" count="1238" uniqueCount="205">
  <si>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</si>
  <si>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</si>
  <si>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</si>
  <si>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</si>
  <si>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</si>
  <si>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</si>
  <si>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</si>
  <si>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</si>
  <si>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</si>
  <si>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</si>
  <si>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</si>
  <si>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</si>
  <si>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</si>
  <si>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</si>
  <si>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</si>
  <si>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</si>
  <si>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</si>
  <si>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</si>
  <si>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</si>
  <si>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</si>
  <si>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Material composition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</si>
  <si>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</si>
  <si>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</si>
  <si>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</si>
  <si>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</si>
  <si>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</si>
  <si>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</si>
  <si>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</si>
  <si>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</si>
  <si>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</si>
  <si>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</si>
  <si>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</si>
  <si>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</si>
  <si>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</si>
  <si>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none</t>
  </si>
  <si>
    <t>unit nominator</t>
  </si>
  <si>
    <t>product_resolution</t>
  </si>
  <si>
    <t>unit denominator</t>
  </si>
  <si>
    <t>material_scope</t>
  </si>
  <si>
    <t>material_resolution</t>
  </si>
  <si>
    <t>comment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</si>
  <si>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</si>
  <si>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</si>
  <si>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</si>
  <si>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</si>
  <si>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</si>
  <si>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</si>
  <si>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</si>
  <si>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 xml:space="preserve">material; material content; </t>
  </si>
  <si>
    <t>data_provenance</t>
  </si>
  <si>
    <t>dataset_size</t>
  </si>
  <si>
    <t>[filled in later]</t>
  </si>
  <si>
    <t>Misc.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</si>
  <si>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</si>
  <si>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</si>
  <si>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</si>
  <si>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</si>
  <si>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</si>
  <si>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</si>
  <si>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</si>
  <si>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</si>
  <si>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</si>
  <si>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</si>
  <si>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</si>
  <si>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</si>
  <si>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</si>
  <si>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</si>
  <si>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</si>
  <si>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</si>
  <si>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</si>
  <si>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</si>
  <si>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</si>
  <si>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</si>
  <si>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</si>
  <si>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</si>
  <si>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</si>
  <si>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</si>
  <si>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</si>
  <si>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</si>
  <si>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</si>
  <si>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</si>
  <si>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</si>
  <si>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</si>
  <si>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</si>
  <si>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</si>
  <si>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</si>
  <si>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</si>
  <si>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</si>
  <si>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</si>
  <si>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</si>
  <si>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</si>
  <si>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</si>
  <si>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</si>
  <si>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</si>
  <si>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</si>
  <si>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</si>
  <si>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</si>
  <si>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</si>
  <si>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</si>
  <si>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</si>
  <si>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</si>
  <si>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</si>
  <si>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</si>
  <si>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</si>
  <si>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</si>
  <si>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</si>
  <si>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</si>
  <si>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</si>
  <si>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link to log entry</t>
  </si>
  <si>
    <t>Data source</t>
  </si>
  <si>
    <t>Tables and desks</t>
  </si>
  <si>
    <t>-</t>
  </si>
  <si>
    <t>Unspecific</t>
  </si>
  <si>
    <t>Solid wood</t>
  </si>
  <si>
    <t>Weight per unit</t>
  </si>
  <si>
    <t>kg</t>
  </si>
  <si>
    <t>unit</t>
  </si>
  <si>
    <t>example 1</t>
  </si>
  <si>
    <t>The values are an average of existing data in literature, thus not really representing World data but rather unspecific to a region.</t>
  </si>
  <si>
    <t>1_Ikeda</t>
  </si>
  <si>
    <t>Layer wood</t>
  </si>
  <si>
    <t>Particle-board</t>
  </si>
  <si>
    <t>Paper</t>
  </si>
  <si>
    <t>Metals</t>
  </si>
  <si>
    <t>Ferrous metal</t>
  </si>
  <si>
    <t>Plastic</t>
  </si>
  <si>
    <t>Concrete</t>
  </si>
  <si>
    <t>Glass</t>
  </si>
  <si>
    <t>Rubber</t>
  </si>
  <si>
    <t>Paints</t>
  </si>
  <si>
    <t>Adhesive</t>
  </si>
  <si>
    <t>Textiles</t>
  </si>
  <si>
    <t>Other polymers</t>
  </si>
  <si>
    <t>Other substances</t>
  </si>
  <si>
    <t>Upholstered chairs</t>
  </si>
  <si>
    <t>Unupholstered chairs</t>
  </si>
  <si>
    <t>Beds</t>
  </si>
  <si>
    <t>Storage units</t>
  </si>
  <si>
    <t>Stock of household furniture</t>
  </si>
  <si>
    <t>USA</t>
  </si>
  <si>
    <t>Composition of furniture</t>
  </si>
  <si>
    <t>%</t>
  </si>
  <si>
    <t>Total material stock</t>
  </si>
  <si>
    <t>Log entry name (link to column L on Data sheet)</t>
  </si>
  <si>
    <t>Which product_type? (CM_4: flow_categories, link to column B on Data sheet)</t>
  </si>
  <si>
    <t>Which material consuming sector? (CM_6: material_demand_sectors, link to column A on Data sheet)</t>
  </si>
  <si>
    <t>Date (mm-dd-yyyy)</t>
  </si>
  <si>
    <t>Who</t>
  </si>
  <si>
    <t>What - detailed description</t>
  </si>
  <si>
    <t>List items of ref sheet used</t>
  </si>
  <si>
    <t>example_1</t>
  </si>
  <si>
    <t>concrete_residential_building_multi-familyHouse</t>
  </si>
  <si>
    <t>Buildings</t>
  </si>
  <si>
    <t>Meng Jiang</t>
  </si>
  <si>
    <t>Add an example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</si>
  <si>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</si>
  <si>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</si>
  <si>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</si>
  <si>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</si>
  <si>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</si>
  <si>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</si>
  <si>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</si>
  <si>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</si>
  <si>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</si>
  <si>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</si>
  <si>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</si>
  <si>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 and URL</t>
  </si>
  <si>
    <t>URL or link to document, name of document</t>
  </si>
  <si>
    <t>copyright</t>
  </si>
  <si>
    <t>archive location</t>
  </si>
  <si>
    <t>notes</t>
  </si>
  <si>
    <t>Master's thesis</t>
  </si>
  <si>
    <t>Yukiko Ikeda</t>
  </si>
  <si>
    <t>Quantifying materials in household furniture</t>
  </si>
  <si>
    <t>TU Delft/Leiden University</t>
  </si>
  <si>
    <t>http://resolver.tudelft.nl/uuid:fec8d24f-f856-43a4-8673-570cc6de9d01</t>
  </si>
  <si>
    <t>D42_01_MC_MaterialComposition</t>
  </si>
  <si>
    <t>Raw tables/data could be directly pasted here :)</t>
  </si>
  <si>
    <t>Ikeda, Y. (2023). Quantifying materials in household furniture: A case study of dynamic furniture stock in American homes. https://repository.tudelft.nl/islandora/object/uuid%3Afec8d24f-f856-43a4-8673-570cc6de9d01</t>
  </si>
  <si>
    <t>v1.0</t>
  </si>
  <si>
    <t>1 end use sector</t>
  </si>
  <si>
    <t>Misc. physical units</t>
  </si>
  <si>
    <t>engineered materials</t>
  </si>
  <si>
    <t>15 materials</t>
  </si>
  <si>
    <t>age-cohort</t>
  </si>
  <si>
    <t>3_MC_Furniture_CIRCOMOD_D4.2_v1.0</t>
  </si>
  <si>
    <t>CIRCOMOD_D4.2</t>
  </si>
  <si>
    <t>use phase</t>
  </si>
  <si>
    <t>furniture</t>
  </si>
  <si>
    <t>6 product types</t>
  </si>
  <si>
    <t>Material content of furniture</t>
  </si>
  <si>
    <t>Result of academic MFA work</t>
  </si>
  <si>
    <t>n/a</t>
  </si>
  <si>
    <t>global</t>
  </si>
  <si>
    <t>end-use sector</t>
  </si>
  <si>
    <t>use phase - furniture</t>
  </si>
  <si>
    <t>engineering_material</t>
  </si>
  <si>
    <t>1 kilograms of solid wood in beds within furniture from 2020 in Germany (considering repair CE measure).</t>
  </si>
  <si>
    <t>material</t>
  </si>
  <si>
    <t>scenario</t>
  </si>
  <si>
    <t>layer</t>
  </si>
  <si>
    <t>miscellaneous licenses, see the comments in the dataset</t>
  </si>
  <si>
    <t>Publicly available report or research article</t>
  </si>
  <si>
    <t>stats_array string</t>
  </si>
  <si>
    <t>[value][layer] of [engineering_material] in [product_type] within [end-use sector] from [age-cohort] in [region] (considering [scenario] CE measure).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</si>
</sst>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DEDED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4"/>
      </top>
      <bottom/>
      <diagonal/>
    </border>
  </borders>
  <cellStyleXfs count="4">
    <xf numFmtId="0" fontId="0" fillId="0" borderId="0"/>
    <xf numFmtId="0" fontId="5" fillId="0" borderId="0"/>
    <xf numFmtId="0" fontId="7" fillId="0" borderId="0"/>
    <xf numFmtId="0" fontId="8" fillId="0" borderId="0" applyNumberFormat="0" applyFill="0" applyBorder="0" applyAlignment="0" applyProtection="0"/>
  </cellStyleXfs>
  <cellXfs count="90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0" xfId="0" quotePrefix="1"/>
    <xf numFmtId="0" fontId="1" fillId="0" borderId="0" xfId="0" applyFont="1"/>
    <xf numFmtId="0" fontId="2" fillId="0" borderId="0" xfId="0" applyFont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2" borderId="7" xfId="0" applyFont="1" applyFill="1" applyBorder="1" applyAlignment="1">
      <alignment horizontal="center"/>
    </xf>
    <xf numFmtId="0" fontId="1" fillId="2" borderId="10" xfId="0" applyFont="1" applyFill="1" applyBorder="1"/>
    <xf numFmtId="0" fontId="1" fillId="0" borderId="11" xfId="0" applyFont="1" applyBorder="1"/>
    <xf numFmtId="0" fontId="3" fillId="0" borderId="0" xfId="0" applyFont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1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14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2" applyFont="1"/>
    <xf numFmtId="0" fontId="1" fillId="14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8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2" borderId="0" xfId="0" quotePrefix="1" applyFill="1"/>
    <xf numFmtId="0" fontId="0" fillId="2" borderId="10" xfId="0" applyFill="1" applyBorder="1"/>
    <xf numFmtId="14" fontId="0" fillId="0" borderId="11" xfId="0" quotePrefix="1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Border="1"/>
    <xf numFmtId="0" fontId="10" fillId="0" borderId="6" xfId="0" applyFont="1" applyBorder="1" applyAlignment="1">
      <alignment horizontal="left"/>
    </xf>
    <xf numFmtId="0" fontId="10" fillId="0" borderId="10" xfId="0" applyFont="1" applyBorder="1"/>
    <xf numFmtId="0" fontId="2" fillId="4" borderId="9" xfId="0" applyFont="1" applyFill="1" applyBorder="1"/>
    <xf numFmtId="0" fontId="2" fillId="0" borderId="10" xfId="0" applyFont="1" applyBorder="1"/>
    <xf numFmtId="0" fontId="10" fillId="0" borderId="11" xfId="0" applyFont="1" applyBorder="1" applyAlignment="1">
      <alignment horizontal="left"/>
    </xf>
    <xf numFmtId="0" fontId="10" fillId="12" borderId="11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10" xfId="0" applyFont="1" applyBorder="1" applyAlignment="1">
      <alignment horizontal="left"/>
    </xf>
    <xf numFmtId="0" fontId="0" fillId="15" borderId="11" xfId="0" applyFill="1" applyBorder="1" applyAlignment="1">
      <alignment horizontal="left"/>
    </xf>
    <xf numFmtId="0" fontId="3" fillId="13" borderId="0" xfId="0" applyFont="1" applyFill="1" applyAlignment="1">
      <alignment vertical="center" wrapText="1"/>
    </xf>
    <xf numFmtId="0" fontId="1" fillId="13" borderId="0" xfId="0" applyFont="1" applyFill="1" applyAlignment="1">
      <alignment vertical="center" wrapText="1"/>
    </xf>
    <xf numFmtId="0" fontId="1" fillId="13" borderId="0" xfId="0" applyFont="1" applyFill="1" applyAlignment="1">
      <alignment vertical="center"/>
    </xf>
    <xf numFmtId="1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0" borderId="0" xfId="3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5" borderId="9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0" fillId="0" borderId="0" xfId="0"/>
    <xf numFmtId="0" fontId="10" fillId="10" borderId="9" xfId="0" applyFont="1" applyFill="1" applyBorder="1" applyAlignment="1">
      <alignment horizontal="center" vertical="center" wrapText="1"/>
    </xf>
    <xf numFmtId="0" fontId="10" fillId="11" borderId="9" xfId="0" applyFont="1" applyFill="1" applyBorder="1" applyAlignment="1">
      <alignment horizontal="center" vertical="center"/>
    </xf>
    <xf numFmtId="0" fontId="10" fillId="11" borderId="15" xfId="0" applyFont="1" applyFill="1" applyBorder="1" applyAlignment="1">
      <alignment horizontal="center" vertical="center"/>
    </xf>
    <xf numFmtId="0" fontId="0" fillId="0" borderId="0" xfId="0" applyBorder="1"/>
    <xf numFmtId="0" fontId="1" fillId="2" borderId="5" xfId="0" applyFont="1" applyFill="1" applyBorder="1"/>
    <xf numFmtId="0" fontId="1" fillId="2" borderId="8" xfId="0" applyFont="1" applyFill="1" applyBorder="1"/>
    <xf numFmtId="0" fontId="1" fillId="2" borderId="6" xfId="0" applyFont="1" applyFill="1" applyBorder="1"/>
    <xf numFmtId="0" fontId="0" fillId="0" borderId="0" xfId="0" quotePrefix="1" applyBorder="1" applyAlignment="1">
      <alignment horizontal="left"/>
    </xf>
    <xf numFmtId="0" fontId="0" fillId="2" borderId="0" xfId="0" applyFill="1" applyBorder="1"/>
    <xf numFmtId="0" fontId="0" fillId="0" borderId="0" xfId="0" applyBorder="1" applyAlignment="1">
      <alignment horizontal="left"/>
    </xf>
    <xf numFmtId="0" fontId="0" fillId="2" borderId="12" xfId="0" applyFill="1" applyBorder="1"/>
    <xf numFmtId="0" fontId="0" fillId="0" borderId="13" xfId="0" quotePrefix="1" applyBorder="1" applyAlignment="1">
      <alignment horizontal="left"/>
    </xf>
    <xf numFmtId="0" fontId="0" fillId="0" borderId="0" xfId="0" quotePrefix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1" fillId="0" borderId="0" xfId="0" applyFont="1" applyFill="1" applyAlignment="1">
      <alignment vertical="center" wrapText="1"/>
    </xf>
    <xf numFmtId="0" fontId="11" fillId="0" borderId="16" xfId="0" applyFont="1" applyBorder="1" applyAlignment="1">
      <alignment horizontal="left"/>
    </xf>
    <xf numFmtId="0" fontId="4" fillId="0" borderId="11" xfId="0" applyFont="1" applyBorder="1" applyAlignment="1">
      <alignment horizontal="left"/>
    </xf>
  </cellXfs>
  <cellStyles count="4">
    <cellStyle name="Hyperlink" xfId="3" xr:uid="{00000000-000B-0000-0000-000008000000}"/>
    <cellStyle name="Normal" xfId="0" builtinId="0"/>
    <cellStyle name="Normal 2" xfId="2" xr:uid="{00000000-0005-0000-0000-000000000000}"/>
    <cellStyle name="Standard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114300</xdr:rowOff>
    </xdr:from>
    <xdr:to>
      <xdr:col>2</xdr:col>
      <xdr:colOff>495300</xdr:colOff>
      <xdr:row>23</xdr:row>
      <xdr:rowOff>85725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04019A5-35C0-90AA-E188-E1D31822E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2600"/>
          <a:ext cx="4762500" cy="3838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2</xdr:col>
      <xdr:colOff>495300</xdr:colOff>
      <xdr:row>36</xdr:row>
      <xdr:rowOff>66675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1E0BB50-1850-864E-27D0-D6A3F0CCA82A}"/>
            </a:ext>
            <a:ext uri="{147F2762-F138-4A5C-976F-8EAC2B608ADB}">
              <a16:predDERef xmlns:a16="http://schemas.microsoft.com/office/drawing/2014/main" pred="{504019A5-35C0-90AA-E188-E1D31822E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52925"/>
          <a:ext cx="4572000" cy="2247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resolver.tudelft.nl/uuid:fec8d24f-f856-43a4-8673-570cc6de9d01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repository.tudelft.nl/islandora/object/uuid%3Afec8d24f-f856-43a4-8673-570cc6de9d01" TargetMode="External"/><Relationship Id="rId1" Type="http://schemas.openxmlformats.org/officeDocument/2006/relationships/hyperlink" Target="https://repository.tudelft.nl/islandora/object/uuid%3Afec8d24f-f856-43a4-8673-570cc6de9d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topLeftCell="C1" zoomScale="70" zoomScaleNormal="70" workbookViewId="0">
      <selection activeCell="G24" sqref="G24"/>
    </sheetView>
  </sheetViews>
  <sheetFormatPr defaultColWidth="9.08984375" defaultRowHeight="14.5"/>
  <cols>
    <col min="1" max="1" width="7.08984375" customWidth="1"/>
    <col min="2" max="2" width="15.90625" customWidth="1"/>
    <col min="3" max="3" width="23.08984375" bestFit="1" customWidth="1"/>
    <col min="4" max="4" width="46.90625" style="22" customWidth="1"/>
    <col min="5" max="5" width="11.7265625" bestFit="1" customWidth="1"/>
    <col min="6" max="6" width="24.26953125" bestFit="1" customWidth="1"/>
    <col min="7" max="8" width="26" bestFit="1" customWidth="1"/>
    <col min="9" max="9" width="24.90625" bestFit="1" customWidth="1"/>
    <col min="10" max="11" width="3.26953125" customWidth="1"/>
  </cols>
  <sheetData>
    <row r="1" spans="1:12">
      <c r="E1" s="2"/>
      <c r="H1" s="4"/>
    </row>
    <row r="2" spans="1:12">
      <c r="B2" s="1" t="s">
        <v>0</v>
      </c>
      <c r="C2" s="61"/>
      <c r="D2" s="62"/>
      <c r="E2" s="2"/>
      <c r="F2" s="1" t="s">
        <v>1</v>
      </c>
      <c r="G2" s="61"/>
      <c r="H2" s="61"/>
      <c r="I2" s="62"/>
      <c r="L2" s="2"/>
    </row>
    <row r="3" spans="1:12">
      <c r="B3" s="30"/>
      <c r="C3" s="43" t="s">
        <v>2</v>
      </c>
      <c r="D3" s="44" t="s">
        <v>3</v>
      </c>
      <c r="E3" s="2"/>
      <c r="L3" s="2"/>
    </row>
    <row r="4" spans="1:12">
      <c r="A4">
        <v>1</v>
      </c>
      <c r="B4" s="63" t="s">
        <v>4</v>
      </c>
      <c r="C4" s="45" t="s">
        <v>5</v>
      </c>
      <c r="D4" s="46" t="s">
        <v>6</v>
      </c>
      <c r="E4" s="2" t="s">
        <v>7</v>
      </c>
      <c r="F4" s="7" t="s">
        <v>8</v>
      </c>
      <c r="G4" s="31"/>
      <c r="H4" s="31"/>
      <c r="I4" s="32"/>
      <c r="L4" s="2"/>
    </row>
    <row r="5" spans="1:12">
      <c r="A5">
        <v>2</v>
      </c>
      <c r="B5" s="64"/>
      <c r="C5" s="47" t="s">
        <v>9</v>
      </c>
      <c r="D5" s="34" t="s">
        <v>185</v>
      </c>
      <c r="E5" s="2" t="s">
        <v>7</v>
      </c>
      <c r="F5" s="33"/>
      <c r="I5" s="34"/>
      <c r="L5" s="2"/>
    </row>
    <row r="6" spans="1:12">
      <c r="A6">
        <v>3</v>
      </c>
      <c r="B6" s="48"/>
      <c r="C6" s="47" t="s">
        <v>10</v>
      </c>
      <c r="D6" s="11" t="s">
        <v>179</v>
      </c>
      <c r="E6" s="2" t="s">
        <v>7</v>
      </c>
      <c r="F6" s="8" t="s">
        <v>11</v>
      </c>
      <c r="G6" s="35" t="s">
        <v>12</v>
      </c>
      <c r="H6" s="3"/>
      <c r="I6" s="9"/>
      <c r="L6" s="2"/>
    </row>
    <row r="7" spans="1:12">
      <c r="A7">
        <v>4</v>
      </c>
      <c r="B7" s="65" t="s">
        <v>13</v>
      </c>
      <c r="C7" s="47" t="s">
        <v>14</v>
      </c>
      <c r="D7" s="11" t="s">
        <v>186</v>
      </c>
      <c r="E7" s="2" t="s">
        <v>7</v>
      </c>
      <c r="F7" s="8" t="s">
        <v>15</v>
      </c>
      <c r="G7" s="35" t="s">
        <v>16</v>
      </c>
      <c r="H7" s="10"/>
      <c r="I7" s="11"/>
      <c r="L7" s="2"/>
    </row>
    <row r="8" spans="1:12">
      <c r="A8">
        <v>5</v>
      </c>
      <c r="B8" s="65"/>
      <c r="C8" s="47" t="s">
        <v>17</v>
      </c>
      <c r="D8" s="88">
        <v>3</v>
      </c>
      <c r="E8" s="2" t="s">
        <v>7</v>
      </c>
      <c r="F8" s="8" t="s">
        <v>18</v>
      </c>
      <c r="G8" s="35" t="s">
        <v>16</v>
      </c>
      <c r="H8" s="4"/>
      <c r="I8" s="12"/>
      <c r="L8" s="2"/>
    </row>
    <row r="9" spans="1:12">
      <c r="A9">
        <v>6</v>
      </c>
      <c r="B9" s="65"/>
      <c r="C9" s="47" t="s">
        <v>19</v>
      </c>
      <c r="D9" s="11" t="s">
        <v>20</v>
      </c>
      <c r="E9" s="2" t="s">
        <v>7</v>
      </c>
      <c r="F9" s="8" t="s">
        <v>21</v>
      </c>
      <c r="G9" s="35" t="s">
        <v>16</v>
      </c>
      <c r="H9" s="4"/>
      <c r="I9" s="12"/>
      <c r="L9" s="2"/>
    </row>
    <row r="10" spans="1:12">
      <c r="A10">
        <v>7</v>
      </c>
      <c r="B10" s="65"/>
      <c r="C10" s="47" t="s">
        <v>22</v>
      </c>
      <c r="D10" s="11" t="s">
        <v>181</v>
      </c>
      <c r="E10" s="2" t="s">
        <v>7</v>
      </c>
      <c r="F10" s="13" t="s">
        <v>23</v>
      </c>
      <c r="G10" s="14" t="s">
        <v>16</v>
      </c>
      <c r="H10" s="15" t="s">
        <v>24</v>
      </c>
      <c r="I10" s="16">
        <f>COUNTA(Data!A:A)-1</f>
        <v>81</v>
      </c>
      <c r="L10" s="2"/>
    </row>
    <row r="11" spans="1:12">
      <c r="A11">
        <v>8</v>
      </c>
      <c r="B11" s="66" t="s">
        <v>25</v>
      </c>
      <c r="C11" s="49" t="s">
        <v>26</v>
      </c>
      <c r="D11" s="50" t="s">
        <v>187</v>
      </c>
      <c r="E11" s="2" t="s">
        <v>7</v>
      </c>
      <c r="F11" s="76" t="s">
        <v>27</v>
      </c>
      <c r="G11" s="77" t="s">
        <v>28</v>
      </c>
      <c r="H11" s="77" t="s">
        <v>29</v>
      </c>
      <c r="I11" s="78" t="s">
        <v>30</v>
      </c>
      <c r="L11" s="2"/>
    </row>
    <row r="12" spans="1:12">
      <c r="A12">
        <v>9</v>
      </c>
      <c r="B12" s="67"/>
      <c r="C12" s="49" t="s">
        <v>31</v>
      </c>
      <c r="D12" s="11" t="s">
        <v>180</v>
      </c>
      <c r="E12" s="2" t="s">
        <v>7</v>
      </c>
      <c r="F12" s="36" t="s">
        <v>194</v>
      </c>
      <c r="G12" s="79">
        <v>1</v>
      </c>
      <c r="H12" s="80" t="s">
        <v>32</v>
      </c>
      <c r="I12" s="37"/>
      <c r="L12" s="2"/>
    </row>
    <row r="13" spans="1:12">
      <c r="A13">
        <v>10</v>
      </c>
      <c r="B13" s="67"/>
      <c r="C13" s="49" t="s">
        <v>33</v>
      </c>
      <c r="D13" s="11" t="s">
        <v>188</v>
      </c>
      <c r="E13" s="2" t="s">
        <v>7</v>
      </c>
      <c r="F13" s="36" t="s">
        <v>198</v>
      </c>
      <c r="G13" s="79">
        <v>1</v>
      </c>
      <c r="H13" s="80" t="s">
        <v>35</v>
      </c>
      <c r="I13" s="37"/>
      <c r="L13" s="2"/>
    </row>
    <row r="14" spans="1:12">
      <c r="A14">
        <v>11</v>
      </c>
      <c r="B14" s="67"/>
      <c r="C14" s="49" t="s">
        <v>36</v>
      </c>
      <c r="D14" s="11" t="s">
        <v>189</v>
      </c>
      <c r="E14" s="2" t="s">
        <v>7</v>
      </c>
      <c r="F14" s="36" t="s">
        <v>184</v>
      </c>
      <c r="G14" s="79">
        <v>1</v>
      </c>
      <c r="H14" s="80" t="s">
        <v>37</v>
      </c>
      <c r="I14" s="37"/>
      <c r="L14" s="2"/>
    </row>
    <row r="15" spans="1:12">
      <c r="A15">
        <v>12</v>
      </c>
      <c r="B15" s="67"/>
      <c r="C15" s="49" t="s">
        <v>38</v>
      </c>
      <c r="D15" s="11" t="s">
        <v>182</v>
      </c>
      <c r="E15" s="2" t="s">
        <v>7</v>
      </c>
      <c r="F15" s="36" t="s">
        <v>107</v>
      </c>
      <c r="G15" s="81">
        <v>1</v>
      </c>
      <c r="H15" s="80" t="s">
        <v>203</v>
      </c>
      <c r="I15" s="37"/>
      <c r="L15" s="2"/>
    </row>
    <row r="16" spans="1:12">
      <c r="A16">
        <v>13</v>
      </c>
      <c r="B16" s="67"/>
      <c r="C16" s="49" t="s">
        <v>39</v>
      </c>
      <c r="D16" s="11" t="s">
        <v>183</v>
      </c>
      <c r="E16" s="2" t="s">
        <v>7</v>
      </c>
      <c r="F16" s="36" t="s">
        <v>196</v>
      </c>
      <c r="G16" s="79">
        <v>1</v>
      </c>
      <c r="H16" s="80" t="s">
        <v>40</v>
      </c>
      <c r="I16" s="37"/>
      <c r="L16" s="2"/>
    </row>
    <row r="17" spans="1:15">
      <c r="A17">
        <v>14</v>
      </c>
      <c r="B17" s="67"/>
      <c r="C17" s="49" t="s">
        <v>41</v>
      </c>
      <c r="D17" s="11" t="s">
        <v>193</v>
      </c>
      <c r="E17" s="2" t="s">
        <v>7</v>
      </c>
      <c r="F17" s="36" t="s">
        <v>199</v>
      </c>
      <c r="G17" s="79">
        <v>1</v>
      </c>
      <c r="H17" s="75"/>
      <c r="I17" s="34"/>
      <c r="L17" s="2"/>
    </row>
    <row r="18" spans="1:15">
      <c r="A18">
        <v>15</v>
      </c>
      <c r="B18" s="67"/>
      <c r="C18" s="49" t="s">
        <v>42</v>
      </c>
      <c r="D18" s="11" t="s">
        <v>192</v>
      </c>
      <c r="E18" s="2" t="s">
        <v>7</v>
      </c>
      <c r="F18" s="82" t="s">
        <v>200</v>
      </c>
      <c r="G18" s="83">
        <v>1</v>
      </c>
      <c r="H18" s="39"/>
      <c r="I18" s="40"/>
      <c r="L18" s="2"/>
    </row>
    <row r="19" spans="1:15">
      <c r="A19">
        <v>16</v>
      </c>
      <c r="B19" s="67"/>
      <c r="C19" s="49" t="s">
        <v>43</v>
      </c>
      <c r="D19" s="11" t="s">
        <v>192</v>
      </c>
      <c r="E19" s="2" t="s">
        <v>7</v>
      </c>
      <c r="F19" s="86"/>
      <c r="G19" s="84"/>
      <c r="H19" s="75"/>
      <c r="I19" s="75"/>
      <c r="L19" s="2"/>
    </row>
    <row r="20" spans="1:15">
      <c r="A20">
        <v>17</v>
      </c>
      <c r="B20" s="67"/>
      <c r="C20" s="49" t="s">
        <v>44</v>
      </c>
      <c r="D20" s="11" t="s">
        <v>192</v>
      </c>
      <c r="E20" s="2" t="s">
        <v>7</v>
      </c>
      <c r="F20" s="86"/>
      <c r="G20" s="84"/>
      <c r="H20" s="75"/>
      <c r="I20" s="75"/>
      <c r="L20" s="2"/>
    </row>
    <row r="21" spans="1:15">
      <c r="A21">
        <v>18</v>
      </c>
      <c r="B21" s="68" t="s">
        <v>45</v>
      </c>
      <c r="C21" s="49" t="s">
        <v>46</v>
      </c>
      <c r="D21" s="11" t="s">
        <v>190</v>
      </c>
      <c r="E21" s="2" t="s">
        <v>7</v>
      </c>
      <c r="F21" s="86"/>
      <c r="G21" s="84"/>
      <c r="H21" s="75"/>
      <c r="I21" s="75"/>
      <c r="L21" s="2"/>
    </row>
    <row r="22" spans="1:15">
      <c r="A22">
        <v>19</v>
      </c>
      <c r="B22" s="68"/>
      <c r="C22" s="49" t="s">
        <v>47</v>
      </c>
      <c r="D22" s="11" t="s">
        <v>48</v>
      </c>
      <c r="E22" s="2" t="s">
        <v>7</v>
      </c>
      <c r="F22" s="86"/>
      <c r="G22" s="85"/>
      <c r="H22" s="75"/>
      <c r="I22" s="75"/>
      <c r="L22" s="2"/>
    </row>
    <row r="23" spans="1:15">
      <c r="A23">
        <v>20</v>
      </c>
      <c r="B23" s="68"/>
      <c r="C23" s="49" t="s">
        <v>49</v>
      </c>
      <c r="D23" s="11" t="s">
        <v>191</v>
      </c>
      <c r="E23" s="2" t="s">
        <v>7</v>
      </c>
      <c r="F23" s="86"/>
      <c r="G23" s="84"/>
      <c r="H23" s="86"/>
      <c r="I23" s="75"/>
      <c r="L23" s="2"/>
      <c r="N23" s="17"/>
    </row>
    <row r="24" spans="1:15">
      <c r="A24">
        <v>21</v>
      </c>
      <c r="B24" s="68"/>
      <c r="C24" s="49" t="s">
        <v>50</v>
      </c>
      <c r="D24" s="51" t="s">
        <v>51</v>
      </c>
      <c r="E24" s="2" t="s">
        <v>7</v>
      </c>
      <c r="F24" s="86"/>
      <c r="G24" s="84"/>
      <c r="H24" s="87"/>
      <c r="I24" s="75"/>
      <c r="L24" s="2"/>
      <c r="N24" s="3"/>
      <c r="O24" s="2"/>
    </row>
    <row r="25" spans="1:15">
      <c r="A25">
        <v>22</v>
      </c>
      <c r="B25" s="68"/>
      <c r="C25" s="49" t="s">
        <v>40</v>
      </c>
      <c r="D25" s="52" t="s">
        <v>52</v>
      </c>
      <c r="E25" s="2" t="s">
        <v>7</v>
      </c>
      <c r="F25" s="86"/>
      <c r="G25" s="84"/>
      <c r="H25" s="87"/>
      <c r="I25" s="75"/>
      <c r="L25" s="2"/>
      <c r="N25" s="3"/>
    </row>
    <row r="26" spans="1:15">
      <c r="A26">
        <v>23</v>
      </c>
      <c r="B26" s="69" t="s">
        <v>53</v>
      </c>
      <c r="C26" s="53" t="s">
        <v>54</v>
      </c>
      <c r="D26" s="11" t="s">
        <v>194</v>
      </c>
      <c r="E26" s="2" t="s">
        <v>7</v>
      </c>
      <c r="G26" s="3"/>
      <c r="H26" s="87"/>
      <c r="L26" s="2"/>
      <c r="N26" s="3"/>
    </row>
    <row r="27" spans="1:15">
      <c r="A27">
        <v>24</v>
      </c>
      <c r="B27" s="69"/>
      <c r="C27" s="53" t="s">
        <v>55</v>
      </c>
      <c r="D27" s="52">
        <v>6</v>
      </c>
      <c r="E27" s="2" t="s">
        <v>7</v>
      </c>
      <c r="G27" s="3"/>
      <c r="H27" s="87"/>
      <c r="L27" s="2"/>
      <c r="N27" s="3"/>
      <c r="O27" s="2"/>
    </row>
    <row r="28" spans="1:15">
      <c r="A28">
        <v>25</v>
      </c>
      <c r="B28" s="69"/>
      <c r="C28" s="53" t="s">
        <v>56</v>
      </c>
      <c r="D28" s="11" t="s">
        <v>198</v>
      </c>
      <c r="E28" s="2" t="s">
        <v>7</v>
      </c>
      <c r="G28" s="3"/>
      <c r="H28" s="87"/>
      <c r="L28" s="2"/>
      <c r="N28" s="3"/>
      <c r="O28" s="2"/>
    </row>
    <row r="29" spans="1:15">
      <c r="A29">
        <v>26</v>
      </c>
      <c r="B29" s="69"/>
      <c r="C29" s="53" t="s">
        <v>57</v>
      </c>
      <c r="D29" s="11">
        <v>83</v>
      </c>
      <c r="E29" s="2" t="s">
        <v>7</v>
      </c>
      <c r="G29" s="3"/>
      <c r="H29" s="87"/>
      <c r="N29" s="3"/>
      <c r="O29" s="2"/>
    </row>
    <row r="30" spans="1:15">
      <c r="A30">
        <v>27</v>
      </c>
      <c r="B30" s="69"/>
      <c r="C30" s="53" t="s">
        <v>58</v>
      </c>
      <c r="D30" s="89" t="s">
        <v>184</v>
      </c>
      <c r="E30" s="2" t="s">
        <v>7</v>
      </c>
      <c r="G30" s="3"/>
      <c r="H30" s="2"/>
      <c r="N30" s="3"/>
    </row>
    <row r="31" spans="1:15">
      <c r="A31">
        <v>28</v>
      </c>
      <c r="B31" s="69"/>
      <c r="C31" s="53" t="s">
        <v>59</v>
      </c>
      <c r="D31" s="89">
        <v>14</v>
      </c>
      <c r="E31" s="2" t="s">
        <v>7</v>
      </c>
      <c r="G31" s="3"/>
      <c r="H31" s="2"/>
      <c r="N31" s="3"/>
    </row>
    <row r="32" spans="1:15">
      <c r="A32">
        <v>29</v>
      </c>
      <c r="B32" s="69"/>
      <c r="C32" s="53" t="s">
        <v>60</v>
      </c>
      <c r="D32" s="89" t="s">
        <v>107</v>
      </c>
      <c r="E32" s="2" t="s">
        <v>7</v>
      </c>
      <c r="G32" s="3"/>
      <c r="N32" s="3"/>
    </row>
    <row r="33" spans="1:17">
      <c r="A33">
        <v>30</v>
      </c>
      <c r="B33" s="69"/>
      <c r="C33" s="53" t="s">
        <v>61</v>
      </c>
      <c r="D33" s="89">
        <v>2</v>
      </c>
      <c r="E33" s="2" t="s">
        <v>7</v>
      </c>
      <c r="G33" s="3"/>
      <c r="N33" s="3"/>
      <c r="O33" s="5"/>
    </row>
    <row r="34" spans="1:17">
      <c r="A34">
        <v>31</v>
      </c>
      <c r="B34" s="69"/>
      <c r="C34" s="53" t="s">
        <v>62</v>
      </c>
      <c r="D34" s="52" t="s">
        <v>196</v>
      </c>
      <c r="E34" s="2" t="s">
        <v>7</v>
      </c>
      <c r="G34" s="3"/>
      <c r="N34" s="3"/>
      <c r="O34" s="5"/>
    </row>
    <row r="35" spans="1:17">
      <c r="A35">
        <v>32</v>
      </c>
      <c r="B35" s="69"/>
      <c r="C35" s="53" t="s">
        <v>63</v>
      </c>
      <c r="D35" s="52">
        <v>4</v>
      </c>
      <c r="E35" s="2" t="s">
        <v>7</v>
      </c>
      <c r="G35" s="3"/>
      <c r="H35" s="5"/>
      <c r="N35" s="3"/>
    </row>
    <row r="36" spans="1:17">
      <c r="A36">
        <v>33</v>
      </c>
      <c r="B36" s="69"/>
      <c r="C36" s="53" t="s">
        <v>64</v>
      </c>
      <c r="D36" s="50" t="s">
        <v>199</v>
      </c>
      <c r="E36" s="2" t="s">
        <v>7</v>
      </c>
      <c r="G36" s="3"/>
      <c r="H36" s="5"/>
      <c r="N36" s="3"/>
      <c r="O36" s="2"/>
    </row>
    <row r="37" spans="1:17">
      <c r="A37">
        <v>34</v>
      </c>
      <c r="B37" s="69"/>
      <c r="C37" s="53" t="s">
        <v>65</v>
      </c>
      <c r="D37" s="50">
        <v>8</v>
      </c>
      <c r="E37" s="2" t="s">
        <v>7</v>
      </c>
      <c r="G37" s="3"/>
      <c r="N37" s="3"/>
    </row>
    <row r="38" spans="1:17">
      <c r="A38">
        <v>35</v>
      </c>
      <c r="B38" s="69"/>
      <c r="C38" s="53" t="s">
        <v>66</v>
      </c>
      <c r="D38" s="50" t="s">
        <v>200</v>
      </c>
      <c r="E38" s="2" t="s">
        <v>7</v>
      </c>
      <c r="G38" s="3"/>
      <c r="H38" s="2"/>
      <c r="N38" s="3"/>
    </row>
    <row r="39" spans="1:17">
      <c r="A39">
        <v>36</v>
      </c>
      <c r="B39" s="69"/>
      <c r="C39" s="53" t="s">
        <v>67</v>
      </c>
      <c r="D39" s="50">
        <v>20</v>
      </c>
      <c r="E39" s="2" t="s">
        <v>7</v>
      </c>
      <c r="G39" s="3"/>
      <c r="N39" s="3"/>
    </row>
    <row r="40" spans="1:17">
      <c r="A40">
        <v>37</v>
      </c>
      <c r="B40" s="69"/>
      <c r="C40" s="53" t="s">
        <v>68</v>
      </c>
      <c r="D40" s="11" t="s">
        <v>34</v>
      </c>
      <c r="E40" s="2" t="s">
        <v>7</v>
      </c>
      <c r="G40" s="3"/>
      <c r="N40" s="3"/>
    </row>
    <row r="41" spans="1:17">
      <c r="A41">
        <v>38</v>
      </c>
      <c r="B41" s="69"/>
      <c r="C41" s="53" t="s">
        <v>69</v>
      </c>
      <c r="D41" s="11" t="s">
        <v>34</v>
      </c>
      <c r="E41" s="2" t="s">
        <v>7</v>
      </c>
      <c r="G41" s="3"/>
      <c r="N41" s="3"/>
    </row>
    <row r="42" spans="1:17">
      <c r="A42">
        <v>39</v>
      </c>
      <c r="B42" s="69"/>
      <c r="C42" s="53" t="s">
        <v>70</v>
      </c>
      <c r="D42" s="11" t="s">
        <v>34</v>
      </c>
      <c r="E42" s="2" t="s">
        <v>7</v>
      </c>
      <c r="G42" s="3"/>
      <c r="N42" s="3"/>
    </row>
    <row r="43" spans="1:17">
      <c r="A43">
        <v>40</v>
      </c>
      <c r="B43" s="69"/>
      <c r="C43" s="53" t="s">
        <v>71</v>
      </c>
      <c r="D43" s="11" t="s">
        <v>34</v>
      </c>
      <c r="E43" s="2" t="s">
        <v>7</v>
      </c>
      <c r="G43" s="3"/>
      <c r="N43" s="3"/>
      <c r="O43" s="17"/>
      <c r="P43" s="18"/>
      <c r="Q43" s="19"/>
    </row>
    <row r="44" spans="1:17">
      <c r="A44">
        <v>41</v>
      </c>
      <c r="B44" s="69"/>
      <c r="C44" s="53" t="s">
        <v>72</v>
      </c>
      <c r="D44" s="11" t="s">
        <v>34</v>
      </c>
      <c r="E44" s="2" t="s">
        <v>7</v>
      </c>
      <c r="G44" s="3"/>
      <c r="N44" s="3"/>
      <c r="O44" s="3"/>
      <c r="P44" s="3"/>
      <c r="Q44" s="3"/>
    </row>
    <row r="45" spans="1:17">
      <c r="A45">
        <v>42</v>
      </c>
      <c r="B45" s="69"/>
      <c r="C45" s="53" t="s">
        <v>73</v>
      </c>
      <c r="D45" s="11" t="s">
        <v>34</v>
      </c>
      <c r="E45" s="2" t="s">
        <v>7</v>
      </c>
      <c r="G45" s="3"/>
      <c r="H45" s="17"/>
      <c r="I45" s="18"/>
      <c r="O45" s="6"/>
      <c r="Q45" s="5"/>
    </row>
    <row r="46" spans="1:17">
      <c r="A46">
        <v>43</v>
      </c>
      <c r="B46" s="69"/>
      <c r="C46" s="53" t="s">
        <v>74</v>
      </c>
      <c r="D46" s="11" t="s">
        <v>34</v>
      </c>
      <c r="E46" s="2" t="s">
        <v>7</v>
      </c>
      <c r="G46" s="3"/>
      <c r="H46" s="3"/>
      <c r="I46" s="3"/>
      <c r="O46" s="6"/>
      <c r="Q46" s="5"/>
    </row>
    <row r="47" spans="1:17">
      <c r="A47">
        <v>44</v>
      </c>
      <c r="B47" s="69"/>
      <c r="C47" s="53" t="s">
        <v>75</v>
      </c>
      <c r="D47" s="11" t="s">
        <v>34</v>
      </c>
      <c r="E47" s="2" t="s">
        <v>7</v>
      </c>
      <c r="H47" s="41"/>
      <c r="N47" s="4"/>
      <c r="O47" s="6"/>
      <c r="Q47" s="5"/>
    </row>
    <row r="48" spans="1:17">
      <c r="A48">
        <v>45</v>
      </c>
      <c r="B48" s="69"/>
      <c r="C48" s="53" t="s">
        <v>76</v>
      </c>
      <c r="D48" s="11" t="s">
        <v>34</v>
      </c>
      <c r="E48" s="2" t="s">
        <v>7</v>
      </c>
      <c r="H48" s="6"/>
      <c r="N48" s="4"/>
      <c r="O48" s="6"/>
      <c r="Q48" s="5"/>
    </row>
    <row r="49" spans="1:17">
      <c r="A49">
        <v>46</v>
      </c>
      <c r="B49" s="69"/>
      <c r="C49" s="53" t="s">
        <v>77</v>
      </c>
      <c r="D49" s="11" t="s">
        <v>34</v>
      </c>
      <c r="E49" s="2" t="s">
        <v>7</v>
      </c>
      <c r="G49" s="4"/>
      <c r="H49" s="6"/>
      <c r="Q49" s="5"/>
    </row>
    <row r="50" spans="1:17">
      <c r="A50">
        <v>47</v>
      </c>
      <c r="B50" s="69"/>
      <c r="C50" s="49" t="s">
        <v>78</v>
      </c>
      <c r="D50" s="52" t="s">
        <v>52</v>
      </c>
      <c r="E50" s="2" t="s">
        <v>7</v>
      </c>
      <c r="H50" s="42"/>
    </row>
    <row r="51" spans="1:17">
      <c r="A51">
        <v>48</v>
      </c>
      <c r="B51" s="69"/>
      <c r="C51" s="49" t="s">
        <v>79</v>
      </c>
      <c r="D51" s="52" t="s">
        <v>197</v>
      </c>
      <c r="E51" s="2" t="s">
        <v>7</v>
      </c>
      <c r="F51" s="52"/>
      <c r="H51" s="42"/>
    </row>
    <row r="52" spans="1:17">
      <c r="A52">
        <v>49</v>
      </c>
      <c r="B52" s="69"/>
      <c r="C52" s="49" t="s">
        <v>80</v>
      </c>
      <c r="D52" s="34" t="s">
        <v>204</v>
      </c>
      <c r="E52" s="2" t="s">
        <v>7</v>
      </c>
      <c r="H52" s="42"/>
    </row>
    <row r="53" spans="1:17" ht="15" customHeight="1">
      <c r="A53">
        <v>50</v>
      </c>
      <c r="B53" s="70" t="s">
        <v>81</v>
      </c>
      <c r="C53" s="47" t="s">
        <v>82</v>
      </c>
      <c r="D53" s="52" t="s">
        <v>202</v>
      </c>
      <c r="E53" s="2" t="s">
        <v>7</v>
      </c>
      <c r="F53" s="34"/>
    </row>
    <row r="54" spans="1:17">
      <c r="A54">
        <v>51</v>
      </c>
      <c r="B54" s="71"/>
      <c r="C54" s="47" t="s">
        <v>83</v>
      </c>
      <c r="D54" s="52" t="s">
        <v>201</v>
      </c>
      <c r="E54" s="2" t="s">
        <v>7</v>
      </c>
    </row>
    <row r="55" spans="1:17">
      <c r="A55">
        <v>52</v>
      </c>
      <c r="B55" s="71"/>
      <c r="C55" s="47" t="s">
        <v>84</v>
      </c>
      <c r="D55" s="52" t="s">
        <v>52</v>
      </c>
      <c r="E55" s="2" t="s">
        <v>7</v>
      </c>
    </row>
    <row r="56" spans="1:17">
      <c r="A56">
        <v>53</v>
      </c>
      <c r="B56" s="71"/>
      <c r="C56" s="47" t="s">
        <v>85</v>
      </c>
      <c r="D56" s="52" t="s">
        <v>52</v>
      </c>
      <c r="E56" s="2" t="s">
        <v>7</v>
      </c>
    </row>
    <row r="57" spans="1:17">
      <c r="A57">
        <v>54</v>
      </c>
      <c r="B57" s="71"/>
      <c r="C57" s="49" t="s">
        <v>86</v>
      </c>
      <c r="D57" s="52" t="s">
        <v>52</v>
      </c>
      <c r="E57" s="2" t="s">
        <v>7</v>
      </c>
    </row>
    <row r="58" spans="1:17">
      <c r="A58">
        <v>55</v>
      </c>
      <c r="B58" s="71"/>
      <c r="C58" s="47" t="s">
        <v>87</v>
      </c>
      <c r="D58" s="52" t="s">
        <v>88</v>
      </c>
      <c r="E58" s="2" t="s">
        <v>7</v>
      </c>
    </row>
    <row r="59" spans="1:17">
      <c r="A59">
        <v>56</v>
      </c>
      <c r="B59" s="71"/>
      <c r="C59" s="47" t="s">
        <v>89</v>
      </c>
      <c r="D59" s="52" t="s">
        <v>88</v>
      </c>
      <c r="E59" s="2" t="s">
        <v>7</v>
      </c>
    </row>
    <row r="60" spans="1:17">
      <c r="A60">
        <v>57</v>
      </c>
      <c r="B60" s="71"/>
      <c r="C60" s="47" t="s">
        <v>90</v>
      </c>
      <c r="D60" s="50">
        <v>1</v>
      </c>
      <c r="E60" s="2" t="s">
        <v>7</v>
      </c>
    </row>
    <row r="61" spans="1:17" ht="15" customHeight="1">
      <c r="A61">
        <v>58</v>
      </c>
      <c r="B61" s="72" t="s">
        <v>91</v>
      </c>
      <c r="C61" s="47" t="s">
        <v>92</v>
      </c>
      <c r="D61" s="52" t="s">
        <v>88</v>
      </c>
      <c r="E61" s="2" t="s">
        <v>7</v>
      </c>
    </row>
    <row r="62" spans="1:17">
      <c r="A62">
        <v>59</v>
      </c>
      <c r="B62" s="71"/>
      <c r="C62" s="47" t="s">
        <v>93</v>
      </c>
      <c r="D62" s="54" t="s">
        <v>51</v>
      </c>
      <c r="E62" s="2" t="s">
        <v>7</v>
      </c>
    </row>
    <row r="63" spans="1:17">
      <c r="A63">
        <v>60</v>
      </c>
      <c r="B63" s="71"/>
      <c r="C63" s="47" t="s">
        <v>94</v>
      </c>
      <c r="D63" s="52" t="s">
        <v>95</v>
      </c>
      <c r="E63" s="2" t="s">
        <v>7</v>
      </c>
    </row>
    <row r="64" spans="1:17">
      <c r="A64">
        <v>61</v>
      </c>
      <c r="B64" s="71"/>
      <c r="C64" s="47" t="s">
        <v>96</v>
      </c>
      <c r="D64" s="52" t="s">
        <v>97</v>
      </c>
      <c r="E64" s="2" t="s">
        <v>7</v>
      </c>
    </row>
    <row r="65" spans="1:5">
      <c r="A65">
        <v>62</v>
      </c>
      <c r="B65" s="71"/>
      <c r="C65" s="47" t="s">
        <v>98</v>
      </c>
      <c r="D65" s="34"/>
      <c r="E65" s="2" t="s">
        <v>7</v>
      </c>
    </row>
    <row r="66" spans="1:5">
      <c r="A66">
        <v>63</v>
      </c>
      <c r="B66" s="71"/>
      <c r="C66" s="47" t="s">
        <v>99</v>
      </c>
      <c r="D66" s="34"/>
      <c r="E66" s="2" t="s">
        <v>7</v>
      </c>
    </row>
    <row r="67" spans="1:5">
      <c r="A67">
        <v>64</v>
      </c>
      <c r="B67" s="71"/>
      <c r="C67" s="47" t="s">
        <v>100</v>
      </c>
      <c r="D67" s="34"/>
      <c r="E67" s="2" t="s">
        <v>7</v>
      </c>
    </row>
    <row r="68" spans="1:5">
      <c r="A68">
        <v>65</v>
      </c>
      <c r="B68" s="73" t="s">
        <v>101</v>
      </c>
      <c r="C68" s="33" t="s">
        <v>102</v>
      </c>
      <c r="D68" s="34"/>
      <c r="E68" s="2" t="s">
        <v>7</v>
      </c>
    </row>
    <row r="69" spans="1:5">
      <c r="A69">
        <v>66</v>
      </c>
      <c r="B69" s="73"/>
      <c r="C69" s="33" t="s">
        <v>103</v>
      </c>
      <c r="D69" s="34"/>
      <c r="E69" s="2" t="s">
        <v>7</v>
      </c>
    </row>
    <row r="70" spans="1:5">
      <c r="A70">
        <v>67</v>
      </c>
      <c r="B70" s="73"/>
      <c r="C70" s="33" t="s">
        <v>104</v>
      </c>
      <c r="D70" s="34"/>
      <c r="E70" s="2" t="s">
        <v>7</v>
      </c>
    </row>
    <row r="71" spans="1:5">
      <c r="A71">
        <v>68</v>
      </c>
      <c r="B71" s="73"/>
      <c r="C71" s="33" t="s">
        <v>105</v>
      </c>
      <c r="D71" s="34"/>
      <c r="E71" s="2" t="s">
        <v>7</v>
      </c>
    </row>
    <row r="72" spans="1:5">
      <c r="A72">
        <v>69</v>
      </c>
      <c r="B72" s="74"/>
      <c r="C72" s="38" t="s">
        <v>106</v>
      </c>
      <c r="D72" s="40"/>
      <c r="E72" s="2" t="s">
        <v>7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2"/>
  <sheetViews>
    <sheetView zoomScale="55" zoomScaleNormal="55" workbookViewId="0">
      <selection activeCell="B2" sqref="B2"/>
    </sheetView>
  </sheetViews>
  <sheetFormatPr defaultColWidth="11.36328125" defaultRowHeight="14.5"/>
  <cols>
    <col min="1" max="1" width="50.90625" style="21" customWidth="1"/>
    <col min="2" max="2" width="53.08984375" style="21" customWidth="1"/>
    <col min="3" max="3" width="16.36328125" style="21" customWidth="1"/>
    <col min="4" max="4" width="13.36328125" style="21" customWidth="1"/>
    <col min="5" max="5" width="33.26953125" style="21" customWidth="1"/>
    <col min="6" max="6" width="39.08984375" style="21" customWidth="1"/>
    <col min="7" max="7" width="24.90625" style="21" customWidth="1"/>
    <col min="8" max="8" width="17.7265625" style="21" bestFit="1" customWidth="1"/>
    <col min="9" max="9" width="17.7265625" style="21" customWidth="1"/>
    <col min="10" max="10" width="17.7265625" style="21" bestFit="1" customWidth="1"/>
    <col min="11" max="11" width="24.90625" style="21" customWidth="1"/>
    <col min="12" max="12" width="23.26953125" style="21" customWidth="1"/>
    <col min="13" max="13" width="24.90625" style="21" customWidth="1"/>
    <col min="14" max="14" width="29.90625" style="21" customWidth="1"/>
    <col min="15" max="15" width="19.7265625" style="21" customWidth="1"/>
    <col min="16" max="16" width="26.08984375" style="21" customWidth="1"/>
    <col min="17" max="16384" width="11.36328125" style="21"/>
  </cols>
  <sheetData>
    <row r="1" spans="1:14" s="28" customFormat="1">
      <c r="A1" s="20" t="s">
        <v>194</v>
      </c>
      <c r="B1" s="27" t="s">
        <v>198</v>
      </c>
      <c r="C1" s="20" t="s">
        <v>184</v>
      </c>
      <c r="D1" s="27" t="s">
        <v>107</v>
      </c>
      <c r="E1" s="27" t="s">
        <v>196</v>
      </c>
      <c r="F1" s="27" t="s">
        <v>199</v>
      </c>
      <c r="G1" s="27" t="s">
        <v>200</v>
      </c>
      <c r="H1" s="20" t="s">
        <v>32</v>
      </c>
      <c r="I1" s="27" t="s">
        <v>35</v>
      </c>
      <c r="J1" s="27" t="s">
        <v>37</v>
      </c>
      <c r="K1" s="27" t="s">
        <v>203</v>
      </c>
      <c r="L1" s="27" t="s">
        <v>40</v>
      </c>
      <c r="M1" s="27" t="s">
        <v>108</v>
      </c>
      <c r="N1" s="27" t="s">
        <v>109</v>
      </c>
    </row>
    <row r="2" spans="1:14">
      <c r="A2" s="21" t="s">
        <v>195</v>
      </c>
      <c r="B2" s="21" t="s">
        <v>110</v>
      </c>
      <c r="C2" s="21" t="s">
        <v>111</v>
      </c>
      <c r="D2" s="21" t="s">
        <v>112</v>
      </c>
      <c r="E2" s="21" t="s">
        <v>113</v>
      </c>
      <c r="F2" s="21" t="s">
        <v>34</v>
      </c>
      <c r="G2" s="21" t="s">
        <v>114</v>
      </c>
      <c r="H2" s="21">
        <v>13.3264</v>
      </c>
      <c r="I2" s="21" t="s">
        <v>115</v>
      </c>
      <c r="J2" s="21" t="s">
        <v>116</v>
      </c>
      <c r="L2" s="21" t="s">
        <v>118</v>
      </c>
      <c r="M2" s="21" t="s">
        <v>117</v>
      </c>
      <c r="N2" t="s">
        <v>119</v>
      </c>
    </row>
    <row r="3" spans="1:14">
      <c r="A3" s="21" t="s">
        <v>195</v>
      </c>
      <c r="B3" s="21" t="s">
        <v>110</v>
      </c>
      <c r="C3" s="21" t="s">
        <v>111</v>
      </c>
      <c r="D3" s="21" t="s">
        <v>112</v>
      </c>
      <c r="E3" s="21" t="s">
        <v>120</v>
      </c>
      <c r="F3" s="21" t="s">
        <v>34</v>
      </c>
      <c r="G3" s="21" t="s">
        <v>114</v>
      </c>
      <c r="H3" s="21">
        <v>0.81189999999999996</v>
      </c>
      <c r="I3" s="21" t="s">
        <v>115</v>
      </c>
      <c r="J3" s="21" t="s">
        <v>116</v>
      </c>
      <c r="L3" s="21" t="s">
        <v>118</v>
      </c>
      <c r="M3" s="21" t="s">
        <v>117</v>
      </c>
      <c r="N3" t="s">
        <v>119</v>
      </c>
    </row>
    <row r="4" spans="1:14">
      <c r="A4" s="21" t="s">
        <v>195</v>
      </c>
      <c r="B4" s="21" t="s">
        <v>110</v>
      </c>
      <c r="C4" s="21" t="s">
        <v>111</v>
      </c>
      <c r="D4" s="21" t="s">
        <v>112</v>
      </c>
      <c r="E4" s="21" t="s">
        <v>121</v>
      </c>
      <c r="F4" s="21" t="s">
        <v>34</v>
      </c>
      <c r="G4" s="21" t="s">
        <v>114</v>
      </c>
      <c r="H4" s="21">
        <v>8.0747999999999998</v>
      </c>
      <c r="I4" s="21" t="s">
        <v>115</v>
      </c>
      <c r="J4" s="21" t="s">
        <v>116</v>
      </c>
      <c r="L4" s="21" t="s">
        <v>118</v>
      </c>
      <c r="M4" s="21" t="s">
        <v>117</v>
      </c>
      <c r="N4" t="s">
        <v>119</v>
      </c>
    </row>
    <row r="5" spans="1:14">
      <c r="A5" s="21" t="s">
        <v>195</v>
      </c>
      <c r="B5" s="21" t="s">
        <v>110</v>
      </c>
      <c r="C5" s="21" t="s">
        <v>111</v>
      </c>
      <c r="D5" s="21" t="s">
        <v>112</v>
      </c>
      <c r="E5" s="21" t="s">
        <v>122</v>
      </c>
      <c r="F5" s="21" t="s">
        <v>34</v>
      </c>
      <c r="G5" s="21" t="s">
        <v>114</v>
      </c>
      <c r="H5" s="21">
        <v>0.1711</v>
      </c>
      <c r="I5" s="21" t="s">
        <v>115</v>
      </c>
      <c r="J5" s="21" t="s">
        <v>116</v>
      </c>
      <c r="L5" s="21" t="s">
        <v>118</v>
      </c>
      <c r="M5" s="21" t="s">
        <v>117</v>
      </c>
      <c r="N5" t="s">
        <v>119</v>
      </c>
    </row>
    <row r="6" spans="1:14">
      <c r="A6" s="21" t="s">
        <v>195</v>
      </c>
      <c r="B6" s="21" t="s">
        <v>110</v>
      </c>
      <c r="C6" s="21" t="s">
        <v>111</v>
      </c>
      <c r="D6" s="21" t="s">
        <v>112</v>
      </c>
      <c r="E6" s="21" t="s">
        <v>123</v>
      </c>
      <c r="F6" s="21" t="s">
        <v>34</v>
      </c>
      <c r="G6" s="21" t="s">
        <v>114</v>
      </c>
      <c r="H6" s="21">
        <v>0.63629999999999998</v>
      </c>
      <c r="I6" s="21" t="s">
        <v>115</v>
      </c>
      <c r="J6" s="21" t="s">
        <v>116</v>
      </c>
      <c r="L6" s="21" t="s">
        <v>118</v>
      </c>
      <c r="M6" s="21" t="s">
        <v>117</v>
      </c>
      <c r="N6" t="s">
        <v>119</v>
      </c>
    </row>
    <row r="7" spans="1:14">
      <c r="A7" s="21" t="s">
        <v>195</v>
      </c>
      <c r="B7" s="21" t="s">
        <v>110</v>
      </c>
      <c r="C7" s="21" t="s">
        <v>111</v>
      </c>
      <c r="D7" s="21" t="s">
        <v>112</v>
      </c>
      <c r="E7" s="21" t="s">
        <v>124</v>
      </c>
      <c r="F7" s="21" t="s">
        <v>34</v>
      </c>
      <c r="G7" s="21" t="s">
        <v>114</v>
      </c>
      <c r="H7" s="21">
        <v>4.4531000000000001</v>
      </c>
      <c r="I7" s="21" t="s">
        <v>115</v>
      </c>
      <c r="J7" s="21" t="s">
        <v>116</v>
      </c>
      <c r="L7" s="21" t="s">
        <v>118</v>
      </c>
      <c r="M7" s="21" t="s">
        <v>117</v>
      </c>
      <c r="N7" t="s">
        <v>119</v>
      </c>
    </row>
    <row r="8" spans="1:14">
      <c r="A8" s="21" t="s">
        <v>195</v>
      </c>
      <c r="B8" s="21" t="s">
        <v>110</v>
      </c>
      <c r="C8" s="21" t="s">
        <v>111</v>
      </c>
      <c r="D8" s="21" t="s">
        <v>112</v>
      </c>
      <c r="E8" s="21" t="s">
        <v>125</v>
      </c>
      <c r="F8" s="21" t="s">
        <v>34</v>
      </c>
      <c r="G8" s="21" t="s">
        <v>114</v>
      </c>
      <c r="H8" s="21">
        <v>0.47520000000000001</v>
      </c>
      <c r="I8" s="21" t="s">
        <v>115</v>
      </c>
      <c r="J8" s="21" t="s">
        <v>116</v>
      </c>
      <c r="L8" s="21" t="s">
        <v>118</v>
      </c>
      <c r="M8" s="21" t="s">
        <v>117</v>
      </c>
      <c r="N8" t="s">
        <v>119</v>
      </c>
    </row>
    <row r="9" spans="1:14">
      <c r="A9" s="21" t="s">
        <v>195</v>
      </c>
      <c r="B9" s="21" t="s">
        <v>110</v>
      </c>
      <c r="C9" s="21" t="s">
        <v>111</v>
      </c>
      <c r="D9" s="21" t="s">
        <v>112</v>
      </c>
      <c r="E9" s="21" t="s">
        <v>126</v>
      </c>
      <c r="F9" s="21" t="s">
        <v>34</v>
      </c>
      <c r="G9" s="21" t="s">
        <v>114</v>
      </c>
      <c r="H9" s="21">
        <v>0.84009999999999996</v>
      </c>
      <c r="I9" s="21" t="s">
        <v>115</v>
      </c>
      <c r="J9" s="21" t="s">
        <v>116</v>
      </c>
      <c r="L9" s="21" t="s">
        <v>118</v>
      </c>
      <c r="M9" s="21" t="s">
        <v>117</v>
      </c>
      <c r="N9" t="s">
        <v>119</v>
      </c>
    </row>
    <row r="10" spans="1:14">
      <c r="A10" s="21" t="s">
        <v>195</v>
      </c>
      <c r="B10" s="21" t="s">
        <v>110</v>
      </c>
      <c r="C10" s="21" t="s">
        <v>111</v>
      </c>
      <c r="D10" s="21" t="s">
        <v>112</v>
      </c>
      <c r="E10" s="21" t="s">
        <v>127</v>
      </c>
      <c r="F10" s="21" t="s">
        <v>34</v>
      </c>
      <c r="G10" s="21" t="s">
        <v>114</v>
      </c>
      <c r="H10" s="21">
        <v>2.0095999999999998</v>
      </c>
      <c r="I10" s="21" t="s">
        <v>115</v>
      </c>
      <c r="J10" s="21" t="s">
        <v>116</v>
      </c>
      <c r="L10" s="21" t="s">
        <v>118</v>
      </c>
      <c r="M10" s="21" t="s">
        <v>117</v>
      </c>
      <c r="N10" t="s">
        <v>119</v>
      </c>
    </row>
    <row r="11" spans="1:14">
      <c r="A11" s="21" t="s">
        <v>195</v>
      </c>
      <c r="B11" s="21" t="s">
        <v>110</v>
      </c>
      <c r="C11" s="21" t="s">
        <v>111</v>
      </c>
      <c r="D11" s="21" t="s">
        <v>112</v>
      </c>
      <c r="E11" s="21" t="s">
        <v>128</v>
      </c>
      <c r="F11" s="21" t="s">
        <v>34</v>
      </c>
      <c r="G11" s="21" t="s">
        <v>114</v>
      </c>
      <c r="H11" s="21">
        <v>4.0000000000000002E-4</v>
      </c>
      <c r="I11" s="21" t="s">
        <v>115</v>
      </c>
      <c r="J11" s="21" t="s">
        <v>116</v>
      </c>
      <c r="L11" s="21" t="s">
        <v>118</v>
      </c>
      <c r="M11" s="21" t="s">
        <v>117</v>
      </c>
      <c r="N11" t="s">
        <v>119</v>
      </c>
    </row>
    <row r="12" spans="1:14">
      <c r="A12" s="21" t="s">
        <v>195</v>
      </c>
      <c r="B12" s="21" t="s">
        <v>110</v>
      </c>
      <c r="C12" s="21" t="s">
        <v>111</v>
      </c>
      <c r="D12" s="21" t="s">
        <v>112</v>
      </c>
      <c r="E12" s="21" t="s">
        <v>129</v>
      </c>
      <c r="F12" s="21" t="s">
        <v>34</v>
      </c>
      <c r="G12" s="21" t="s">
        <v>114</v>
      </c>
      <c r="H12" s="21">
        <v>7.0400000000000004E-2</v>
      </c>
      <c r="I12" s="21" t="s">
        <v>115</v>
      </c>
      <c r="J12" s="21" t="s">
        <v>116</v>
      </c>
      <c r="L12" s="21" t="s">
        <v>118</v>
      </c>
      <c r="M12" s="21" t="s">
        <v>117</v>
      </c>
      <c r="N12" t="s">
        <v>119</v>
      </c>
    </row>
    <row r="13" spans="1:14">
      <c r="A13" s="21" t="s">
        <v>195</v>
      </c>
      <c r="B13" s="21" t="s">
        <v>110</v>
      </c>
      <c r="C13" s="21" t="s">
        <v>111</v>
      </c>
      <c r="D13" s="21" t="s">
        <v>112</v>
      </c>
      <c r="E13" s="21" t="s">
        <v>130</v>
      </c>
      <c r="F13" s="21" t="s">
        <v>34</v>
      </c>
      <c r="G13" s="21" t="s">
        <v>114</v>
      </c>
      <c r="H13" s="21">
        <v>8.9099999999999999E-2</v>
      </c>
      <c r="I13" s="21" t="s">
        <v>115</v>
      </c>
      <c r="J13" s="21" t="s">
        <v>116</v>
      </c>
      <c r="L13" s="21" t="s">
        <v>118</v>
      </c>
      <c r="M13" s="21" t="s">
        <v>117</v>
      </c>
      <c r="N13" t="s">
        <v>119</v>
      </c>
    </row>
    <row r="14" spans="1:14">
      <c r="A14" s="21" t="s">
        <v>195</v>
      </c>
      <c r="B14" s="21" t="s">
        <v>110</v>
      </c>
      <c r="C14" s="21" t="s">
        <v>111</v>
      </c>
      <c r="D14" s="21" t="s">
        <v>112</v>
      </c>
      <c r="E14" s="21" t="s">
        <v>131</v>
      </c>
      <c r="F14" s="21" t="s">
        <v>34</v>
      </c>
      <c r="G14" s="21" t="s">
        <v>114</v>
      </c>
      <c r="H14" s="21">
        <v>9.5999999999999992E-3</v>
      </c>
      <c r="I14" s="21" t="s">
        <v>115</v>
      </c>
      <c r="J14" s="21" t="s">
        <v>116</v>
      </c>
      <c r="L14" s="21" t="s">
        <v>118</v>
      </c>
      <c r="M14" s="21" t="s">
        <v>117</v>
      </c>
      <c r="N14" t="s">
        <v>119</v>
      </c>
    </row>
    <row r="15" spans="1:14">
      <c r="A15" s="21" t="s">
        <v>195</v>
      </c>
      <c r="B15" s="21" t="s">
        <v>110</v>
      </c>
      <c r="C15" s="21" t="s">
        <v>111</v>
      </c>
      <c r="D15" s="21" t="s">
        <v>112</v>
      </c>
      <c r="E15" s="21" t="s">
        <v>132</v>
      </c>
      <c r="F15" s="21" t="s">
        <v>34</v>
      </c>
      <c r="G15" s="21" t="s">
        <v>114</v>
      </c>
      <c r="H15" s="21">
        <v>4.2200000000000001E-2</v>
      </c>
      <c r="I15" s="21" t="s">
        <v>115</v>
      </c>
      <c r="J15" s="21" t="s">
        <v>116</v>
      </c>
      <c r="L15" s="21" t="s">
        <v>118</v>
      </c>
      <c r="M15" s="21" t="s">
        <v>117</v>
      </c>
      <c r="N15" t="s">
        <v>119</v>
      </c>
    </row>
    <row r="16" spans="1:14">
      <c r="A16" s="21" t="s">
        <v>195</v>
      </c>
      <c r="B16" s="21" t="s">
        <v>110</v>
      </c>
      <c r="C16" s="21" t="s">
        <v>111</v>
      </c>
      <c r="D16" s="21" t="s">
        <v>112</v>
      </c>
      <c r="E16" s="21" t="s">
        <v>133</v>
      </c>
      <c r="F16" s="21" t="s">
        <v>34</v>
      </c>
      <c r="G16" s="21" t="s">
        <v>114</v>
      </c>
      <c r="H16" s="21">
        <v>0.13980000000000001</v>
      </c>
      <c r="I16" s="21" t="s">
        <v>115</v>
      </c>
      <c r="J16" s="21" t="s">
        <v>116</v>
      </c>
      <c r="L16" s="21" t="s">
        <v>118</v>
      </c>
      <c r="M16" s="21" t="s">
        <v>117</v>
      </c>
      <c r="N16" t="s">
        <v>119</v>
      </c>
    </row>
    <row r="17" spans="1:14">
      <c r="A17" s="21" t="s">
        <v>195</v>
      </c>
      <c r="B17" s="21" t="s">
        <v>134</v>
      </c>
      <c r="C17" s="21" t="s">
        <v>111</v>
      </c>
      <c r="D17" s="21" t="s">
        <v>112</v>
      </c>
      <c r="E17" s="21" t="s">
        <v>113</v>
      </c>
      <c r="F17" s="21" t="s">
        <v>34</v>
      </c>
      <c r="G17" s="21" t="s">
        <v>114</v>
      </c>
      <c r="H17" s="21">
        <v>16.911300000000001</v>
      </c>
      <c r="I17" s="21" t="s">
        <v>115</v>
      </c>
      <c r="J17" s="21" t="s">
        <v>116</v>
      </c>
      <c r="L17" s="21" t="s">
        <v>118</v>
      </c>
      <c r="M17" s="21" t="s">
        <v>117</v>
      </c>
      <c r="N17" t="s">
        <v>119</v>
      </c>
    </row>
    <row r="18" spans="1:14">
      <c r="A18" s="21" t="s">
        <v>195</v>
      </c>
      <c r="B18" s="21" t="s">
        <v>134</v>
      </c>
      <c r="C18" s="21" t="s">
        <v>111</v>
      </c>
      <c r="D18" s="21" t="s">
        <v>112</v>
      </c>
      <c r="E18" s="21" t="s">
        <v>120</v>
      </c>
      <c r="F18" s="21" t="s">
        <v>34</v>
      </c>
      <c r="G18" s="21" t="s">
        <v>114</v>
      </c>
      <c r="H18" s="21">
        <v>8.9999999999999998E-4</v>
      </c>
      <c r="I18" s="21" t="s">
        <v>115</v>
      </c>
      <c r="J18" s="21" t="s">
        <v>116</v>
      </c>
      <c r="L18" s="21" t="s">
        <v>118</v>
      </c>
      <c r="M18" s="21" t="s">
        <v>117</v>
      </c>
      <c r="N18" t="s">
        <v>119</v>
      </c>
    </row>
    <row r="19" spans="1:14">
      <c r="A19" s="21" t="s">
        <v>195</v>
      </c>
      <c r="B19" s="21" t="s">
        <v>134</v>
      </c>
      <c r="C19" s="21" t="s">
        <v>111</v>
      </c>
      <c r="D19" s="21" t="s">
        <v>112</v>
      </c>
      <c r="E19" s="21" t="s">
        <v>121</v>
      </c>
      <c r="F19" s="21" t="s">
        <v>34</v>
      </c>
      <c r="G19" s="21" t="s">
        <v>114</v>
      </c>
      <c r="H19" s="21">
        <v>0</v>
      </c>
      <c r="I19" s="21" t="s">
        <v>115</v>
      </c>
      <c r="J19" s="21" t="s">
        <v>116</v>
      </c>
      <c r="L19" s="21" t="s">
        <v>118</v>
      </c>
      <c r="M19" s="21" t="s">
        <v>117</v>
      </c>
      <c r="N19" t="s">
        <v>119</v>
      </c>
    </row>
    <row r="20" spans="1:14">
      <c r="A20" s="21" t="s">
        <v>195</v>
      </c>
      <c r="B20" s="21" t="s">
        <v>134</v>
      </c>
      <c r="C20" s="21" t="s">
        <v>111</v>
      </c>
      <c r="D20" s="21" t="s">
        <v>112</v>
      </c>
      <c r="E20" s="21" t="s">
        <v>122</v>
      </c>
      <c r="F20" s="21" t="s">
        <v>34</v>
      </c>
      <c r="G20" s="21" t="s">
        <v>114</v>
      </c>
      <c r="H20" s="21">
        <v>2.9999999999999997E-4</v>
      </c>
      <c r="I20" s="21" t="s">
        <v>115</v>
      </c>
      <c r="J20" s="21" t="s">
        <v>116</v>
      </c>
      <c r="L20" s="21" t="s">
        <v>118</v>
      </c>
      <c r="M20" s="21" t="s">
        <v>117</v>
      </c>
      <c r="N20" t="s">
        <v>119</v>
      </c>
    </row>
    <row r="21" spans="1:14">
      <c r="A21" s="21" t="s">
        <v>195</v>
      </c>
      <c r="B21" s="21" t="s">
        <v>134</v>
      </c>
      <c r="C21" s="21" t="s">
        <v>111</v>
      </c>
      <c r="D21" s="21" t="s">
        <v>112</v>
      </c>
      <c r="E21" s="21" t="s">
        <v>123</v>
      </c>
      <c r="F21" s="21" t="s">
        <v>34</v>
      </c>
      <c r="G21" s="21" t="s">
        <v>114</v>
      </c>
      <c r="H21" s="21">
        <v>2.0000000000000001E-4</v>
      </c>
      <c r="I21" s="21" t="s">
        <v>115</v>
      </c>
      <c r="J21" s="21" t="s">
        <v>116</v>
      </c>
      <c r="L21" s="21" t="s">
        <v>118</v>
      </c>
      <c r="M21" s="21" t="s">
        <v>117</v>
      </c>
      <c r="N21" t="s">
        <v>119</v>
      </c>
    </row>
    <row r="22" spans="1:14">
      <c r="A22" s="21" t="s">
        <v>195</v>
      </c>
      <c r="B22" s="21" t="s">
        <v>134</v>
      </c>
      <c r="C22" s="21" t="s">
        <v>111</v>
      </c>
      <c r="D22" s="21" t="s">
        <v>112</v>
      </c>
      <c r="E22" s="21" t="s">
        <v>124</v>
      </c>
      <c r="F22" s="21" t="s">
        <v>34</v>
      </c>
      <c r="G22" s="21" t="s">
        <v>114</v>
      </c>
      <c r="H22" s="21">
        <v>1.2999999999999999E-3</v>
      </c>
      <c r="I22" s="21" t="s">
        <v>115</v>
      </c>
      <c r="J22" s="21" t="s">
        <v>116</v>
      </c>
      <c r="L22" s="21" t="s">
        <v>118</v>
      </c>
      <c r="M22" s="21" t="s">
        <v>117</v>
      </c>
      <c r="N22" t="s">
        <v>119</v>
      </c>
    </row>
    <row r="23" spans="1:14">
      <c r="A23" s="21" t="s">
        <v>195</v>
      </c>
      <c r="B23" s="21" t="s">
        <v>134</v>
      </c>
      <c r="C23" s="21" t="s">
        <v>111</v>
      </c>
      <c r="D23" s="21" t="s">
        <v>112</v>
      </c>
      <c r="E23" s="21" t="s">
        <v>125</v>
      </c>
      <c r="F23" s="21" t="s">
        <v>34</v>
      </c>
      <c r="G23" s="21" t="s">
        <v>114</v>
      </c>
      <c r="H23" s="21">
        <v>1.8E-3</v>
      </c>
      <c r="I23" s="21" t="s">
        <v>115</v>
      </c>
      <c r="J23" s="21" t="s">
        <v>116</v>
      </c>
      <c r="L23" s="21" t="s">
        <v>118</v>
      </c>
      <c r="M23" s="21" t="s">
        <v>117</v>
      </c>
      <c r="N23" t="s">
        <v>119</v>
      </c>
    </row>
    <row r="24" spans="1:14">
      <c r="A24" s="21" t="s">
        <v>195</v>
      </c>
      <c r="B24" s="21" t="s">
        <v>134</v>
      </c>
      <c r="C24" s="21" t="s">
        <v>111</v>
      </c>
      <c r="D24" s="21" t="s">
        <v>112</v>
      </c>
      <c r="E24" s="21" t="s">
        <v>126</v>
      </c>
      <c r="F24" s="21" t="s">
        <v>34</v>
      </c>
      <c r="G24" s="21" t="s">
        <v>114</v>
      </c>
      <c r="H24" s="21">
        <v>0</v>
      </c>
      <c r="I24" s="21" t="s">
        <v>115</v>
      </c>
      <c r="J24" s="21" t="s">
        <v>116</v>
      </c>
      <c r="L24" s="21" t="s">
        <v>118</v>
      </c>
      <c r="M24" s="21" t="s">
        <v>117</v>
      </c>
      <c r="N24" t="s">
        <v>119</v>
      </c>
    </row>
    <row r="25" spans="1:14">
      <c r="A25" s="21" t="s">
        <v>195</v>
      </c>
      <c r="B25" s="21" t="s">
        <v>134</v>
      </c>
      <c r="C25" s="21" t="s">
        <v>111</v>
      </c>
      <c r="D25" s="21" t="s">
        <v>112</v>
      </c>
      <c r="E25" s="21" t="s">
        <v>127</v>
      </c>
      <c r="F25" s="21" t="s">
        <v>34</v>
      </c>
      <c r="G25" s="21" t="s">
        <v>114</v>
      </c>
      <c r="H25" s="21">
        <v>0</v>
      </c>
      <c r="I25" s="21" t="s">
        <v>115</v>
      </c>
      <c r="J25" s="21" t="s">
        <v>116</v>
      </c>
      <c r="L25" s="21" t="s">
        <v>118</v>
      </c>
      <c r="M25" s="21" t="s">
        <v>117</v>
      </c>
      <c r="N25" t="s">
        <v>119</v>
      </c>
    </row>
    <row r="26" spans="1:14">
      <c r="A26" s="21" t="s">
        <v>195</v>
      </c>
      <c r="B26" s="21" t="s">
        <v>134</v>
      </c>
      <c r="C26" s="21" t="s">
        <v>111</v>
      </c>
      <c r="D26" s="21" t="s">
        <v>112</v>
      </c>
      <c r="E26" s="21" t="s">
        <v>128</v>
      </c>
      <c r="F26" s="21" t="s">
        <v>34</v>
      </c>
      <c r="G26" s="21" t="s">
        <v>114</v>
      </c>
      <c r="H26" s="21">
        <v>0</v>
      </c>
      <c r="I26" s="21" t="s">
        <v>115</v>
      </c>
      <c r="J26" s="21" t="s">
        <v>116</v>
      </c>
      <c r="L26" s="21" t="s">
        <v>118</v>
      </c>
      <c r="M26" s="21" t="s">
        <v>117</v>
      </c>
      <c r="N26" t="s">
        <v>119</v>
      </c>
    </row>
    <row r="27" spans="1:14">
      <c r="A27" s="21" t="s">
        <v>195</v>
      </c>
      <c r="B27" s="21" t="s">
        <v>134</v>
      </c>
      <c r="C27" s="21" t="s">
        <v>111</v>
      </c>
      <c r="D27" s="21" t="s">
        <v>112</v>
      </c>
      <c r="E27" s="21" t="s">
        <v>129</v>
      </c>
      <c r="F27" s="21" t="s">
        <v>34</v>
      </c>
      <c r="G27" s="21" t="s">
        <v>114</v>
      </c>
      <c r="H27" s="21">
        <v>1E-4</v>
      </c>
      <c r="I27" s="21" t="s">
        <v>115</v>
      </c>
      <c r="J27" s="21" t="s">
        <v>116</v>
      </c>
      <c r="L27" s="21" t="s">
        <v>118</v>
      </c>
      <c r="M27" s="21" t="s">
        <v>117</v>
      </c>
      <c r="N27" t="s">
        <v>119</v>
      </c>
    </row>
    <row r="28" spans="1:14">
      <c r="A28" s="21" t="s">
        <v>195</v>
      </c>
      <c r="B28" s="21" t="s">
        <v>134</v>
      </c>
      <c r="C28" s="21" t="s">
        <v>111</v>
      </c>
      <c r="D28" s="21" t="s">
        <v>112</v>
      </c>
      <c r="E28" s="21" t="s">
        <v>130</v>
      </c>
      <c r="F28" s="21" t="s">
        <v>34</v>
      </c>
      <c r="G28" s="21" t="s">
        <v>114</v>
      </c>
      <c r="H28" s="21">
        <v>0</v>
      </c>
      <c r="I28" s="21" t="s">
        <v>115</v>
      </c>
      <c r="J28" s="21" t="s">
        <v>116</v>
      </c>
      <c r="L28" s="21" t="s">
        <v>118</v>
      </c>
      <c r="M28" s="21" t="s">
        <v>117</v>
      </c>
      <c r="N28" t="s">
        <v>119</v>
      </c>
    </row>
    <row r="29" spans="1:14">
      <c r="A29" s="21" t="s">
        <v>195</v>
      </c>
      <c r="B29" s="21" t="s">
        <v>134</v>
      </c>
      <c r="C29" s="21" t="s">
        <v>111</v>
      </c>
      <c r="D29" s="21" t="s">
        <v>112</v>
      </c>
      <c r="E29" s="21" t="s">
        <v>131</v>
      </c>
      <c r="F29" s="21" t="s">
        <v>34</v>
      </c>
      <c r="G29" s="21" t="s">
        <v>114</v>
      </c>
      <c r="H29" s="21">
        <v>2.0999999999999999E-3</v>
      </c>
      <c r="I29" s="21" t="s">
        <v>115</v>
      </c>
      <c r="J29" s="21" t="s">
        <v>116</v>
      </c>
      <c r="L29" s="21" t="s">
        <v>118</v>
      </c>
      <c r="M29" s="21" t="s">
        <v>117</v>
      </c>
      <c r="N29" t="s">
        <v>119</v>
      </c>
    </row>
    <row r="30" spans="1:14">
      <c r="A30" s="21" t="s">
        <v>195</v>
      </c>
      <c r="B30" s="21" t="s">
        <v>134</v>
      </c>
      <c r="C30" s="21" t="s">
        <v>111</v>
      </c>
      <c r="D30" s="21" t="s">
        <v>112</v>
      </c>
      <c r="E30" s="21" t="s">
        <v>132</v>
      </c>
      <c r="F30" s="21" t="s">
        <v>34</v>
      </c>
      <c r="G30" s="21" t="s">
        <v>114</v>
      </c>
      <c r="H30" s="21">
        <v>2.0000000000000001E-4</v>
      </c>
      <c r="I30" s="21" t="s">
        <v>115</v>
      </c>
      <c r="J30" s="21" t="s">
        <v>116</v>
      </c>
      <c r="L30" s="21" t="s">
        <v>118</v>
      </c>
      <c r="M30" s="21" t="s">
        <v>117</v>
      </c>
      <c r="N30" t="s">
        <v>119</v>
      </c>
    </row>
    <row r="31" spans="1:14">
      <c r="A31" s="21" t="s">
        <v>195</v>
      </c>
      <c r="B31" s="21" t="s">
        <v>134</v>
      </c>
      <c r="C31" s="21" t="s">
        <v>111</v>
      </c>
      <c r="D31" s="21" t="s">
        <v>112</v>
      </c>
      <c r="E31" s="21" t="s">
        <v>133</v>
      </c>
      <c r="F31" s="21" t="s">
        <v>34</v>
      </c>
      <c r="G31" s="21" t="s">
        <v>114</v>
      </c>
      <c r="H31" s="21">
        <v>0</v>
      </c>
      <c r="I31" s="21" t="s">
        <v>115</v>
      </c>
      <c r="J31" s="21" t="s">
        <v>116</v>
      </c>
      <c r="L31" s="21" t="s">
        <v>118</v>
      </c>
      <c r="M31" s="21" t="s">
        <v>117</v>
      </c>
      <c r="N31" t="s">
        <v>119</v>
      </c>
    </row>
    <row r="32" spans="1:14">
      <c r="A32" s="21" t="s">
        <v>195</v>
      </c>
      <c r="B32" s="21" t="s">
        <v>135</v>
      </c>
      <c r="C32" s="21" t="s">
        <v>111</v>
      </c>
      <c r="D32" s="21" t="s">
        <v>112</v>
      </c>
      <c r="E32" s="21" t="s">
        <v>113</v>
      </c>
      <c r="F32" s="21" t="s">
        <v>34</v>
      </c>
      <c r="G32" s="21" t="s">
        <v>114</v>
      </c>
      <c r="H32" s="21">
        <v>4.0430000000000001</v>
      </c>
      <c r="I32" s="21" t="s">
        <v>115</v>
      </c>
      <c r="J32" s="21" t="s">
        <v>116</v>
      </c>
      <c r="L32" s="21" t="s">
        <v>118</v>
      </c>
      <c r="M32" s="21" t="s">
        <v>117</v>
      </c>
      <c r="N32" t="s">
        <v>119</v>
      </c>
    </row>
    <row r="33" spans="1:14">
      <c r="A33" s="21" t="s">
        <v>195</v>
      </c>
      <c r="B33" s="21" t="s">
        <v>135</v>
      </c>
      <c r="C33" s="21" t="s">
        <v>111</v>
      </c>
      <c r="D33" s="21" t="s">
        <v>112</v>
      </c>
      <c r="E33" s="21" t="s">
        <v>120</v>
      </c>
      <c r="F33" s="21" t="s">
        <v>34</v>
      </c>
      <c r="G33" s="21" t="s">
        <v>114</v>
      </c>
      <c r="H33" s="21">
        <v>1.2282</v>
      </c>
      <c r="I33" s="21" t="s">
        <v>115</v>
      </c>
      <c r="J33" s="21" t="s">
        <v>116</v>
      </c>
      <c r="L33" s="21" t="s">
        <v>118</v>
      </c>
      <c r="M33" s="21" t="s">
        <v>117</v>
      </c>
      <c r="N33" t="s">
        <v>119</v>
      </c>
    </row>
    <row r="34" spans="1:14">
      <c r="A34" s="21" t="s">
        <v>195</v>
      </c>
      <c r="B34" s="21" t="s">
        <v>135</v>
      </c>
      <c r="C34" s="21" t="s">
        <v>111</v>
      </c>
      <c r="D34" s="21" t="s">
        <v>112</v>
      </c>
      <c r="E34" s="21" t="s">
        <v>121</v>
      </c>
      <c r="F34" s="21" t="s">
        <v>34</v>
      </c>
      <c r="G34" s="21" t="s">
        <v>114</v>
      </c>
      <c r="H34" s="21">
        <v>0</v>
      </c>
      <c r="I34" s="21" t="s">
        <v>115</v>
      </c>
      <c r="J34" s="21" t="s">
        <v>116</v>
      </c>
      <c r="L34" s="21" t="s">
        <v>118</v>
      </c>
      <c r="M34" s="21" t="s">
        <v>117</v>
      </c>
      <c r="N34" t="s">
        <v>119</v>
      </c>
    </row>
    <row r="35" spans="1:14">
      <c r="A35" s="21" t="s">
        <v>195</v>
      </c>
      <c r="B35" s="21" t="s">
        <v>135</v>
      </c>
      <c r="C35" s="21" t="s">
        <v>111</v>
      </c>
      <c r="D35" s="21" t="s">
        <v>112</v>
      </c>
      <c r="E35" s="21" t="s">
        <v>122</v>
      </c>
      <c r="F35" s="21" t="s">
        <v>34</v>
      </c>
      <c r="G35" s="21" t="s">
        <v>114</v>
      </c>
      <c r="H35" s="21">
        <v>0</v>
      </c>
      <c r="I35" s="21" t="s">
        <v>115</v>
      </c>
      <c r="J35" s="21" t="s">
        <v>116</v>
      </c>
      <c r="L35" s="21" t="s">
        <v>118</v>
      </c>
      <c r="M35" s="21" t="s">
        <v>117</v>
      </c>
      <c r="N35" t="s">
        <v>119</v>
      </c>
    </row>
    <row r="36" spans="1:14">
      <c r="A36" s="21" t="s">
        <v>195</v>
      </c>
      <c r="B36" s="21" t="s">
        <v>135</v>
      </c>
      <c r="C36" s="21" t="s">
        <v>111</v>
      </c>
      <c r="D36" s="21" t="s">
        <v>112</v>
      </c>
      <c r="E36" s="21" t="s">
        <v>123</v>
      </c>
      <c r="F36" s="21" t="s">
        <v>34</v>
      </c>
      <c r="G36" s="21" t="s">
        <v>114</v>
      </c>
      <c r="H36" s="21">
        <v>3.44E-2</v>
      </c>
      <c r="I36" s="21" t="s">
        <v>115</v>
      </c>
      <c r="J36" s="21" t="s">
        <v>116</v>
      </c>
      <c r="L36" s="21" t="s">
        <v>118</v>
      </c>
      <c r="M36" s="21" t="s">
        <v>117</v>
      </c>
      <c r="N36" t="s">
        <v>119</v>
      </c>
    </row>
    <row r="37" spans="1:14">
      <c r="A37" s="21" t="s">
        <v>195</v>
      </c>
      <c r="B37" s="21" t="s">
        <v>135</v>
      </c>
      <c r="C37" s="21" t="s">
        <v>111</v>
      </c>
      <c r="D37" s="21" t="s">
        <v>112</v>
      </c>
      <c r="E37" s="21" t="s">
        <v>124</v>
      </c>
      <c r="F37" s="21" t="s">
        <v>34</v>
      </c>
      <c r="G37" s="21" t="s">
        <v>114</v>
      </c>
      <c r="H37" s="21">
        <v>4.3935000000000004</v>
      </c>
      <c r="I37" s="21" t="s">
        <v>115</v>
      </c>
      <c r="J37" s="21" t="s">
        <v>116</v>
      </c>
      <c r="L37" s="21" t="s">
        <v>118</v>
      </c>
      <c r="M37" s="21" t="s">
        <v>117</v>
      </c>
      <c r="N37" t="s">
        <v>119</v>
      </c>
    </row>
    <row r="38" spans="1:14">
      <c r="A38" s="21" t="s">
        <v>195</v>
      </c>
      <c r="B38" s="21" t="s">
        <v>135</v>
      </c>
      <c r="C38" s="21" t="s">
        <v>111</v>
      </c>
      <c r="D38" s="21" t="s">
        <v>112</v>
      </c>
      <c r="E38" s="21" t="s">
        <v>125</v>
      </c>
      <c r="F38" s="21" t="s">
        <v>34</v>
      </c>
      <c r="G38" s="21" t="s">
        <v>114</v>
      </c>
      <c r="H38" s="21">
        <v>1.0445</v>
      </c>
      <c r="I38" s="21" t="s">
        <v>115</v>
      </c>
      <c r="J38" s="21" t="s">
        <v>116</v>
      </c>
      <c r="L38" s="21" t="s">
        <v>118</v>
      </c>
      <c r="M38" s="21" t="s">
        <v>117</v>
      </c>
      <c r="N38" t="s">
        <v>119</v>
      </c>
    </row>
    <row r="39" spans="1:14">
      <c r="A39" s="21" t="s">
        <v>195</v>
      </c>
      <c r="B39" s="21" t="s">
        <v>135</v>
      </c>
      <c r="C39" s="21" t="s">
        <v>111</v>
      </c>
      <c r="D39" s="21" t="s">
        <v>112</v>
      </c>
      <c r="E39" s="21" t="s">
        <v>126</v>
      </c>
      <c r="F39" s="21" t="s">
        <v>34</v>
      </c>
      <c r="G39" s="21" t="s">
        <v>114</v>
      </c>
      <c r="H39" s="21">
        <v>0</v>
      </c>
      <c r="I39" s="21" t="s">
        <v>115</v>
      </c>
      <c r="J39" s="21" t="s">
        <v>116</v>
      </c>
      <c r="L39" s="21" t="s">
        <v>118</v>
      </c>
      <c r="M39" s="21" t="s">
        <v>117</v>
      </c>
      <c r="N39" t="s">
        <v>119</v>
      </c>
    </row>
    <row r="40" spans="1:14">
      <c r="A40" s="21" t="s">
        <v>195</v>
      </c>
      <c r="B40" s="21" t="s">
        <v>135</v>
      </c>
      <c r="C40" s="21" t="s">
        <v>111</v>
      </c>
      <c r="D40" s="21" t="s">
        <v>112</v>
      </c>
      <c r="E40" s="21" t="s">
        <v>127</v>
      </c>
      <c r="F40" s="21" t="s">
        <v>34</v>
      </c>
      <c r="G40" s="21" t="s">
        <v>114</v>
      </c>
      <c r="H40" s="21">
        <v>0</v>
      </c>
      <c r="I40" s="21" t="s">
        <v>115</v>
      </c>
      <c r="J40" s="21" t="s">
        <v>116</v>
      </c>
      <c r="L40" s="21" t="s">
        <v>118</v>
      </c>
      <c r="M40" s="21" t="s">
        <v>117</v>
      </c>
      <c r="N40" t="s">
        <v>119</v>
      </c>
    </row>
    <row r="41" spans="1:14">
      <c r="A41" s="21" t="s">
        <v>195</v>
      </c>
      <c r="B41" s="21" t="s">
        <v>135</v>
      </c>
      <c r="C41" s="21" t="s">
        <v>111</v>
      </c>
      <c r="D41" s="21" t="s">
        <v>112</v>
      </c>
      <c r="E41" s="21" t="s">
        <v>128</v>
      </c>
      <c r="F41" s="21" t="s">
        <v>34</v>
      </c>
      <c r="G41" s="21" t="s">
        <v>114</v>
      </c>
      <c r="H41" s="21">
        <v>1E-4</v>
      </c>
      <c r="I41" s="21" t="s">
        <v>115</v>
      </c>
      <c r="J41" s="21" t="s">
        <v>116</v>
      </c>
      <c r="L41" s="21" t="s">
        <v>118</v>
      </c>
      <c r="M41" s="21" t="s">
        <v>117</v>
      </c>
      <c r="N41" t="s">
        <v>119</v>
      </c>
    </row>
    <row r="42" spans="1:14">
      <c r="A42" s="21" t="s">
        <v>195</v>
      </c>
      <c r="B42" s="21" t="s">
        <v>135</v>
      </c>
      <c r="C42" s="21" t="s">
        <v>111</v>
      </c>
      <c r="D42" s="21" t="s">
        <v>112</v>
      </c>
      <c r="E42" s="21" t="s">
        <v>129</v>
      </c>
      <c r="F42" s="21" t="s">
        <v>34</v>
      </c>
      <c r="G42" s="21" t="s">
        <v>114</v>
      </c>
      <c r="H42" s="21">
        <v>8.7599999999999997E-2</v>
      </c>
      <c r="I42" s="21" t="s">
        <v>115</v>
      </c>
      <c r="J42" s="21" t="s">
        <v>116</v>
      </c>
      <c r="L42" s="21" t="s">
        <v>118</v>
      </c>
      <c r="M42" s="21" t="s">
        <v>117</v>
      </c>
      <c r="N42" t="s">
        <v>119</v>
      </c>
    </row>
    <row r="43" spans="1:14">
      <c r="A43" s="21" t="s">
        <v>195</v>
      </c>
      <c r="B43" s="21" t="s">
        <v>135</v>
      </c>
      <c r="C43" s="21" t="s">
        <v>111</v>
      </c>
      <c r="D43" s="21" t="s">
        <v>112</v>
      </c>
      <c r="E43" s="21" t="s">
        <v>130</v>
      </c>
      <c r="F43" s="21" t="s">
        <v>34</v>
      </c>
      <c r="G43" s="21" t="s">
        <v>114</v>
      </c>
      <c r="H43" s="21">
        <v>0.27750000000000002</v>
      </c>
      <c r="I43" s="21" t="s">
        <v>115</v>
      </c>
      <c r="J43" s="21" t="s">
        <v>116</v>
      </c>
      <c r="L43" s="21" t="s">
        <v>118</v>
      </c>
      <c r="M43" s="21" t="s">
        <v>117</v>
      </c>
      <c r="N43" t="s">
        <v>119</v>
      </c>
    </row>
    <row r="44" spans="1:14">
      <c r="A44" s="21" t="s">
        <v>195</v>
      </c>
      <c r="B44" s="21" t="s">
        <v>135</v>
      </c>
      <c r="C44" s="21" t="s">
        <v>111</v>
      </c>
      <c r="D44" s="21" t="s">
        <v>112</v>
      </c>
      <c r="E44" s="21" t="s">
        <v>131</v>
      </c>
      <c r="F44" s="21" t="s">
        <v>34</v>
      </c>
      <c r="G44" s="21" t="s">
        <v>114</v>
      </c>
      <c r="H44" s="21">
        <v>0.31259999999999999</v>
      </c>
      <c r="I44" s="21" t="s">
        <v>115</v>
      </c>
      <c r="J44" s="21" t="s">
        <v>116</v>
      </c>
      <c r="L44" s="21" t="s">
        <v>118</v>
      </c>
      <c r="M44" s="21" t="s">
        <v>117</v>
      </c>
      <c r="N44" t="s">
        <v>119</v>
      </c>
    </row>
    <row r="45" spans="1:14">
      <c r="A45" s="21" t="s">
        <v>195</v>
      </c>
      <c r="B45" s="21" t="s">
        <v>135</v>
      </c>
      <c r="C45" s="21" t="s">
        <v>111</v>
      </c>
      <c r="D45" s="21" t="s">
        <v>112</v>
      </c>
      <c r="E45" s="21" t="s">
        <v>132</v>
      </c>
      <c r="F45" s="21" t="s">
        <v>34</v>
      </c>
      <c r="G45" s="21" t="s">
        <v>114</v>
      </c>
      <c r="H45" s="21">
        <v>0.52790000000000004</v>
      </c>
      <c r="I45" s="21" t="s">
        <v>115</v>
      </c>
      <c r="J45" s="21" t="s">
        <v>116</v>
      </c>
      <c r="L45" s="21" t="s">
        <v>118</v>
      </c>
      <c r="M45" s="21" t="s">
        <v>117</v>
      </c>
      <c r="N45" t="s">
        <v>119</v>
      </c>
    </row>
    <row r="46" spans="1:14">
      <c r="A46" s="21" t="s">
        <v>195</v>
      </c>
      <c r="B46" s="21" t="s">
        <v>135</v>
      </c>
      <c r="C46" s="21" t="s">
        <v>111</v>
      </c>
      <c r="D46" s="21" t="s">
        <v>112</v>
      </c>
      <c r="E46" s="21" t="s">
        <v>133</v>
      </c>
      <c r="F46" s="21" t="s">
        <v>34</v>
      </c>
      <c r="G46" s="21" t="s">
        <v>114</v>
      </c>
      <c r="H46" s="21">
        <v>3.1199999999999999E-2</v>
      </c>
      <c r="I46" s="21" t="s">
        <v>115</v>
      </c>
      <c r="J46" s="21" t="s">
        <v>116</v>
      </c>
      <c r="L46" s="21" t="s">
        <v>118</v>
      </c>
      <c r="M46" s="21" t="s">
        <v>117</v>
      </c>
      <c r="N46" t="s">
        <v>119</v>
      </c>
    </row>
    <row r="47" spans="1:14">
      <c r="A47" s="21" t="s">
        <v>195</v>
      </c>
      <c r="B47" s="21" t="s">
        <v>136</v>
      </c>
      <c r="C47" s="21" t="s">
        <v>111</v>
      </c>
      <c r="D47" s="21" t="s">
        <v>112</v>
      </c>
      <c r="E47" s="21" t="s">
        <v>113</v>
      </c>
      <c r="F47" s="21" t="s">
        <v>34</v>
      </c>
      <c r="G47" s="21" t="s">
        <v>114</v>
      </c>
      <c r="H47" s="21">
        <v>1.3499000000000001</v>
      </c>
      <c r="I47" s="21" t="s">
        <v>115</v>
      </c>
      <c r="J47" s="21" t="s">
        <v>116</v>
      </c>
      <c r="L47" s="21" t="s">
        <v>118</v>
      </c>
      <c r="M47" s="21" t="s">
        <v>117</v>
      </c>
      <c r="N47" t="s">
        <v>119</v>
      </c>
    </row>
    <row r="48" spans="1:14">
      <c r="A48" s="21" t="s">
        <v>195</v>
      </c>
      <c r="B48" s="21" t="s">
        <v>136</v>
      </c>
      <c r="C48" s="21" t="s">
        <v>111</v>
      </c>
      <c r="D48" s="21" t="s">
        <v>112</v>
      </c>
      <c r="E48" s="21" t="s">
        <v>120</v>
      </c>
      <c r="F48" s="21" t="s">
        <v>34</v>
      </c>
      <c r="G48" s="21" t="s">
        <v>114</v>
      </c>
      <c r="H48" s="21">
        <v>0.39200000000000002</v>
      </c>
      <c r="I48" s="21" t="s">
        <v>115</v>
      </c>
      <c r="J48" s="21" t="s">
        <v>116</v>
      </c>
      <c r="L48" s="21" t="s">
        <v>118</v>
      </c>
      <c r="M48" s="21" t="s">
        <v>117</v>
      </c>
      <c r="N48" t="s">
        <v>119</v>
      </c>
    </row>
    <row r="49" spans="1:14">
      <c r="A49" s="21" t="s">
        <v>195</v>
      </c>
      <c r="B49" s="21" t="s">
        <v>136</v>
      </c>
      <c r="C49" s="21" t="s">
        <v>111</v>
      </c>
      <c r="D49" s="21" t="s">
        <v>112</v>
      </c>
      <c r="E49" s="21" t="s">
        <v>121</v>
      </c>
      <c r="F49" s="21" t="s">
        <v>34</v>
      </c>
      <c r="G49" s="21" t="s">
        <v>114</v>
      </c>
      <c r="H49" s="21">
        <v>15.472799999999999</v>
      </c>
      <c r="I49" s="21" t="s">
        <v>115</v>
      </c>
      <c r="J49" s="21" t="s">
        <v>116</v>
      </c>
      <c r="L49" s="21" t="s">
        <v>118</v>
      </c>
      <c r="M49" s="21" t="s">
        <v>117</v>
      </c>
      <c r="N49" t="s">
        <v>119</v>
      </c>
    </row>
    <row r="50" spans="1:14">
      <c r="A50" s="21" t="s">
        <v>195</v>
      </c>
      <c r="B50" s="21" t="s">
        <v>136</v>
      </c>
      <c r="C50" s="21" t="s">
        <v>111</v>
      </c>
      <c r="D50" s="21" t="s">
        <v>112</v>
      </c>
      <c r="E50" s="21" t="s">
        <v>122</v>
      </c>
      <c r="F50" s="21" t="s">
        <v>34</v>
      </c>
      <c r="G50" s="21" t="s">
        <v>114</v>
      </c>
      <c r="H50" s="21">
        <v>0</v>
      </c>
      <c r="I50" s="21" t="s">
        <v>115</v>
      </c>
      <c r="J50" s="21" t="s">
        <v>116</v>
      </c>
      <c r="L50" s="21" t="s">
        <v>118</v>
      </c>
      <c r="M50" s="21" t="s">
        <v>117</v>
      </c>
      <c r="N50" t="s">
        <v>119</v>
      </c>
    </row>
    <row r="51" spans="1:14">
      <c r="A51" s="21" t="s">
        <v>195</v>
      </c>
      <c r="B51" s="21" t="s">
        <v>136</v>
      </c>
      <c r="C51" s="21" t="s">
        <v>111</v>
      </c>
      <c r="D51" s="21" t="s">
        <v>112</v>
      </c>
      <c r="E51" s="21" t="s">
        <v>123</v>
      </c>
      <c r="F51" s="21" t="s">
        <v>34</v>
      </c>
      <c r="G51" s="21" t="s">
        <v>114</v>
      </c>
      <c r="H51" s="21">
        <v>0.2482</v>
      </c>
      <c r="I51" s="21" t="s">
        <v>115</v>
      </c>
      <c r="J51" s="21" t="s">
        <v>116</v>
      </c>
      <c r="L51" s="21" t="s">
        <v>118</v>
      </c>
      <c r="M51" s="21" t="s">
        <v>117</v>
      </c>
      <c r="N51" t="s">
        <v>119</v>
      </c>
    </row>
    <row r="52" spans="1:14">
      <c r="A52" s="21" t="s">
        <v>195</v>
      </c>
      <c r="B52" s="21" t="s">
        <v>136</v>
      </c>
      <c r="C52" s="21" t="s">
        <v>111</v>
      </c>
      <c r="D52" s="21" t="s">
        <v>112</v>
      </c>
      <c r="E52" s="21" t="s">
        <v>124</v>
      </c>
      <c r="F52" s="21" t="s">
        <v>34</v>
      </c>
      <c r="G52" s="21" t="s">
        <v>114</v>
      </c>
      <c r="H52" s="21">
        <v>9.0700000000000003E-2</v>
      </c>
      <c r="I52" s="21" t="s">
        <v>115</v>
      </c>
      <c r="J52" s="21" t="s">
        <v>116</v>
      </c>
      <c r="L52" s="21" t="s">
        <v>118</v>
      </c>
      <c r="M52" s="21" t="s">
        <v>117</v>
      </c>
      <c r="N52" t="s">
        <v>119</v>
      </c>
    </row>
    <row r="53" spans="1:14">
      <c r="A53" s="21" t="s">
        <v>195</v>
      </c>
      <c r="B53" s="21" t="s">
        <v>136</v>
      </c>
      <c r="C53" s="21" t="s">
        <v>111</v>
      </c>
      <c r="D53" s="21" t="s">
        <v>112</v>
      </c>
      <c r="E53" s="21" t="s">
        <v>125</v>
      </c>
      <c r="F53" s="21" t="s">
        <v>34</v>
      </c>
      <c r="G53" s="21" t="s">
        <v>114</v>
      </c>
      <c r="H53" s="21">
        <v>0.1244</v>
      </c>
      <c r="I53" s="21" t="s">
        <v>115</v>
      </c>
      <c r="J53" s="21" t="s">
        <v>116</v>
      </c>
      <c r="L53" s="21" t="s">
        <v>118</v>
      </c>
      <c r="M53" s="21" t="s">
        <v>117</v>
      </c>
      <c r="N53" t="s">
        <v>119</v>
      </c>
    </row>
    <row r="54" spans="1:14">
      <c r="A54" s="21" t="s">
        <v>195</v>
      </c>
      <c r="B54" s="21" t="s">
        <v>136</v>
      </c>
      <c r="C54" s="21" t="s">
        <v>111</v>
      </c>
      <c r="D54" s="21" t="s">
        <v>112</v>
      </c>
      <c r="E54" s="21" t="s">
        <v>126</v>
      </c>
      <c r="F54" s="21" t="s">
        <v>34</v>
      </c>
      <c r="G54" s="21" t="s">
        <v>114</v>
      </c>
      <c r="H54" s="21">
        <v>0</v>
      </c>
      <c r="I54" s="21" t="s">
        <v>115</v>
      </c>
      <c r="J54" s="21" t="s">
        <v>116</v>
      </c>
      <c r="L54" s="21" t="s">
        <v>118</v>
      </c>
      <c r="M54" s="21" t="s">
        <v>117</v>
      </c>
      <c r="N54" t="s">
        <v>119</v>
      </c>
    </row>
    <row r="55" spans="1:14">
      <c r="A55" s="21" t="s">
        <v>195</v>
      </c>
      <c r="B55" s="21" t="s">
        <v>136</v>
      </c>
      <c r="C55" s="21" t="s">
        <v>111</v>
      </c>
      <c r="D55" s="21" t="s">
        <v>112</v>
      </c>
      <c r="E55" s="21" t="s">
        <v>127</v>
      </c>
      <c r="F55" s="21" t="s">
        <v>34</v>
      </c>
      <c r="G55" s="21" t="s">
        <v>114</v>
      </c>
      <c r="H55" s="21">
        <v>0</v>
      </c>
      <c r="I55" s="21" t="s">
        <v>115</v>
      </c>
      <c r="J55" s="21" t="s">
        <v>116</v>
      </c>
      <c r="L55" s="21" t="s">
        <v>118</v>
      </c>
      <c r="M55" s="21" t="s">
        <v>117</v>
      </c>
      <c r="N55" t="s">
        <v>119</v>
      </c>
    </row>
    <row r="56" spans="1:14">
      <c r="A56" s="21" t="s">
        <v>195</v>
      </c>
      <c r="B56" s="21" t="s">
        <v>136</v>
      </c>
      <c r="C56" s="21" t="s">
        <v>111</v>
      </c>
      <c r="D56" s="21" t="s">
        <v>112</v>
      </c>
      <c r="E56" s="21" t="s">
        <v>128</v>
      </c>
      <c r="F56" s="21" t="s">
        <v>34</v>
      </c>
      <c r="G56" s="21" t="s">
        <v>114</v>
      </c>
      <c r="H56" s="21">
        <v>0</v>
      </c>
      <c r="I56" s="21" t="s">
        <v>115</v>
      </c>
      <c r="J56" s="21" t="s">
        <v>116</v>
      </c>
      <c r="L56" s="21" t="s">
        <v>118</v>
      </c>
      <c r="M56" s="21" t="s">
        <v>117</v>
      </c>
      <c r="N56" t="s">
        <v>119</v>
      </c>
    </row>
    <row r="57" spans="1:14">
      <c r="A57" s="21" t="s">
        <v>195</v>
      </c>
      <c r="B57" s="21" t="s">
        <v>136</v>
      </c>
      <c r="C57" s="21" t="s">
        <v>111</v>
      </c>
      <c r="D57" s="21" t="s">
        <v>112</v>
      </c>
      <c r="E57" s="21" t="s">
        <v>129</v>
      </c>
      <c r="F57" s="21" t="s">
        <v>34</v>
      </c>
      <c r="G57" s="21" t="s">
        <v>114</v>
      </c>
      <c r="H57" s="21">
        <v>0</v>
      </c>
      <c r="I57" s="21" t="s">
        <v>115</v>
      </c>
      <c r="J57" s="21" t="s">
        <v>116</v>
      </c>
      <c r="L57" s="21" t="s">
        <v>118</v>
      </c>
      <c r="M57" s="21" t="s">
        <v>117</v>
      </c>
      <c r="N57" t="s">
        <v>119</v>
      </c>
    </row>
    <row r="58" spans="1:14">
      <c r="A58" s="21" t="s">
        <v>195</v>
      </c>
      <c r="B58" s="21" t="s">
        <v>136</v>
      </c>
      <c r="C58" s="21" t="s">
        <v>111</v>
      </c>
      <c r="D58" s="21" t="s">
        <v>112</v>
      </c>
      <c r="E58" s="21" t="s">
        <v>130</v>
      </c>
      <c r="F58" s="21" t="s">
        <v>34</v>
      </c>
      <c r="G58" s="21" t="s">
        <v>114</v>
      </c>
      <c r="H58" s="21">
        <v>5.9999999999999995E-4</v>
      </c>
      <c r="I58" s="21" t="s">
        <v>115</v>
      </c>
      <c r="J58" s="21" t="s">
        <v>116</v>
      </c>
      <c r="L58" s="21" t="s">
        <v>118</v>
      </c>
      <c r="M58" s="21" t="s">
        <v>117</v>
      </c>
      <c r="N58" t="s">
        <v>119</v>
      </c>
    </row>
    <row r="59" spans="1:14">
      <c r="A59" s="21" t="s">
        <v>195</v>
      </c>
      <c r="B59" s="21" t="s">
        <v>136</v>
      </c>
      <c r="C59" s="21" t="s">
        <v>111</v>
      </c>
      <c r="D59" s="21" t="s">
        <v>112</v>
      </c>
      <c r="E59" s="21" t="s">
        <v>131</v>
      </c>
      <c r="F59" s="21" t="s">
        <v>34</v>
      </c>
      <c r="G59" s="21" t="s">
        <v>114</v>
      </c>
      <c r="H59" s="21">
        <v>0</v>
      </c>
      <c r="I59" s="21" t="s">
        <v>115</v>
      </c>
      <c r="J59" s="21" t="s">
        <v>116</v>
      </c>
      <c r="L59" s="21" t="s">
        <v>118</v>
      </c>
      <c r="M59" s="21" t="s">
        <v>117</v>
      </c>
      <c r="N59" t="s">
        <v>119</v>
      </c>
    </row>
    <row r="60" spans="1:14">
      <c r="A60" s="21" t="s">
        <v>195</v>
      </c>
      <c r="B60" s="21" t="s">
        <v>136</v>
      </c>
      <c r="C60" s="21" t="s">
        <v>111</v>
      </c>
      <c r="D60" s="21" t="s">
        <v>112</v>
      </c>
      <c r="E60" s="21" t="s">
        <v>132</v>
      </c>
      <c r="F60" s="21" t="s">
        <v>34</v>
      </c>
      <c r="G60" s="21" t="s">
        <v>114</v>
      </c>
      <c r="H60" s="21">
        <v>0</v>
      </c>
      <c r="I60" s="21" t="s">
        <v>115</v>
      </c>
      <c r="J60" s="21" t="s">
        <v>116</v>
      </c>
      <c r="L60" s="21" t="s">
        <v>118</v>
      </c>
      <c r="M60" s="21" t="s">
        <v>117</v>
      </c>
      <c r="N60" t="s">
        <v>119</v>
      </c>
    </row>
    <row r="61" spans="1:14">
      <c r="A61" s="21" t="s">
        <v>195</v>
      </c>
      <c r="B61" s="21" t="s">
        <v>136</v>
      </c>
      <c r="C61" s="21" t="s">
        <v>111</v>
      </c>
      <c r="D61" s="21" t="s">
        <v>112</v>
      </c>
      <c r="E61" s="21" t="s">
        <v>133</v>
      </c>
      <c r="F61" s="21" t="s">
        <v>34</v>
      </c>
      <c r="G61" s="21" t="s">
        <v>114</v>
      </c>
      <c r="H61" s="21">
        <v>0</v>
      </c>
      <c r="I61" s="21" t="s">
        <v>115</v>
      </c>
      <c r="J61" s="21" t="s">
        <v>116</v>
      </c>
      <c r="L61" s="21" t="s">
        <v>118</v>
      </c>
      <c r="M61" s="21" t="s">
        <v>117</v>
      </c>
      <c r="N61" t="s">
        <v>119</v>
      </c>
    </row>
    <row r="62" spans="1:14">
      <c r="A62" s="21" t="s">
        <v>195</v>
      </c>
      <c r="B62" s="21" t="s">
        <v>137</v>
      </c>
      <c r="C62" s="21" t="s">
        <v>111</v>
      </c>
      <c r="D62" s="21" t="s">
        <v>112</v>
      </c>
      <c r="E62" s="21" t="s">
        <v>113</v>
      </c>
      <c r="F62" s="21" t="s">
        <v>34</v>
      </c>
      <c r="G62" s="21" t="s">
        <v>114</v>
      </c>
      <c r="H62" s="21">
        <v>8.3508999999999993</v>
      </c>
      <c r="I62" s="21" t="s">
        <v>115</v>
      </c>
      <c r="J62" s="21" t="s">
        <v>116</v>
      </c>
      <c r="L62" s="21" t="s">
        <v>118</v>
      </c>
      <c r="M62" s="21" t="s">
        <v>117</v>
      </c>
      <c r="N62" t="s">
        <v>119</v>
      </c>
    </row>
    <row r="63" spans="1:14">
      <c r="A63" s="21" t="s">
        <v>195</v>
      </c>
      <c r="B63" s="21" t="s">
        <v>137</v>
      </c>
      <c r="C63" s="21" t="s">
        <v>111</v>
      </c>
      <c r="D63" s="21" t="s">
        <v>112</v>
      </c>
      <c r="E63" s="21" t="s">
        <v>120</v>
      </c>
      <c r="F63" s="21" t="s">
        <v>34</v>
      </c>
      <c r="G63" s="21" t="s">
        <v>114</v>
      </c>
      <c r="H63" s="21">
        <v>0.3392</v>
      </c>
      <c r="I63" s="21" t="s">
        <v>115</v>
      </c>
      <c r="J63" s="21" t="s">
        <v>116</v>
      </c>
      <c r="L63" s="21" t="s">
        <v>118</v>
      </c>
      <c r="M63" s="21" t="s">
        <v>117</v>
      </c>
      <c r="N63" t="s">
        <v>119</v>
      </c>
    </row>
    <row r="64" spans="1:14">
      <c r="A64" s="21" t="s">
        <v>195</v>
      </c>
      <c r="B64" s="21" t="s">
        <v>137</v>
      </c>
      <c r="C64" s="21" t="s">
        <v>111</v>
      </c>
      <c r="D64" s="21" t="s">
        <v>112</v>
      </c>
      <c r="E64" s="21" t="s">
        <v>121</v>
      </c>
      <c r="F64" s="21" t="s">
        <v>34</v>
      </c>
      <c r="G64" s="21" t="s">
        <v>114</v>
      </c>
      <c r="H64" s="21">
        <v>40.783099999999997</v>
      </c>
      <c r="I64" s="21" t="s">
        <v>115</v>
      </c>
      <c r="J64" s="21" t="s">
        <v>116</v>
      </c>
      <c r="L64" s="21" t="s">
        <v>118</v>
      </c>
      <c r="M64" s="21" t="s">
        <v>117</v>
      </c>
      <c r="N64" t="s">
        <v>119</v>
      </c>
    </row>
    <row r="65" spans="1:14">
      <c r="A65" s="21" t="s">
        <v>195</v>
      </c>
      <c r="B65" s="21" t="s">
        <v>137</v>
      </c>
      <c r="C65" s="21" t="s">
        <v>111</v>
      </c>
      <c r="D65" s="21" t="s">
        <v>112</v>
      </c>
      <c r="E65" s="21" t="s">
        <v>122</v>
      </c>
      <c r="F65" s="21" t="s">
        <v>34</v>
      </c>
      <c r="G65" s="21" t="s">
        <v>114</v>
      </c>
      <c r="H65" s="21">
        <v>0.40079999999999999</v>
      </c>
      <c r="I65" s="21" t="s">
        <v>115</v>
      </c>
      <c r="J65" s="21" t="s">
        <v>116</v>
      </c>
      <c r="L65" s="21" t="s">
        <v>118</v>
      </c>
      <c r="M65" s="21" t="s">
        <v>117</v>
      </c>
      <c r="N65" t="s">
        <v>119</v>
      </c>
    </row>
    <row r="66" spans="1:14">
      <c r="A66" s="21" t="s">
        <v>195</v>
      </c>
      <c r="B66" s="21" t="s">
        <v>137</v>
      </c>
      <c r="C66" s="21" t="s">
        <v>111</v>
      </c>
      <c r="D66" s="21" t="s">
        <v>112</v>
      </c>
      <c r="E66" s="21" t="s">
        <v>123</v>
      </c>
      <c r="F66" s="21" t="s">
        <v>34</v>
      </c>
      <c r="G66" s="21" t="s">
        <v>114</v>
      </c>
      <c r="H66" s="21">
        <v>0.53580000000000005</v>
      </c>
      <c r="I66" s="21" t="s">
        <v>115</v>
      </c>
      <c r="J66" s="21" t="s">
        <v>116</v>
      </c>
      <c r="L66" s="21" t="s">
        <v>118</v>
      </c>
      <c r="M66" s="21" t="s">
        <v>117</v>
      </c>
      <c r="N66" t="s">
        <v>119</v>
      </c>
    </row>
    <row r="67" spans="1:14">
      <c r="A67" s="21" t="s">
        <v>195</v>
      </c>
      <c r="B67" s="21" t="s">
        <v>137</v>
      </c>
      <c r="C67" s="21" t="s">
        <v>111</v>
      </c>
      <c r="D67" s="21" t="s">
        <v>112</v>
      </c>
      <c r="E67" s="21" t="s">
        <v>124</v>
      </c>
      <c r="F67" s="21" t="s">
        <v>34</v>
      </c>
      <c r="G67" s="21" t="s">
        <v>114</v>
      </c>
      <c r="H67" s="21">
        <v>10.2415</v>
      </c>
      <c r="I67" s="21" t="s">
        <v>115</v>
      </c>
      <c r="J67" s="21" t="s">
        <v>116</v>
      </c>
      <c r="L67" s="21" t="s">
        <v>118</v>
      </c>
      <c r="M67" s="21" t="s">
        <v>117</v>
      </c>
      <c r="N67" t="s">
        <v>119</v>
      </c>
    </row>
    <row r="68" spans="1:14">
      <c r="A68" s="21" t="s">
        <v>195</v>
      </c>
      <c r="B68" s="21" t="s">
        <v>137</v>
      </c>
      <c r="C68" s="21" t="s">
        <v>111</v>
      </c>
      <c r="D68" s="21" t="s">
        <v>112</v>
      </c>
      <c r="E68" s="21" t="s">
        <v>125</v>
      </c>
      <c r="F68" s="21" t="s">
        <v>34</v>
      </c>
      <c r="G68" s="21" t="s">
        <v>114</v>
      </c>
      <c r="H68" s="21">
        <v>3.0695000000000001</v>
      </c>
      <c r="I68" s="21" t="s">
        <v>115</v>
      </c>
      <c r="J68" s="21" t="s">
        <v>116</v>
      </c>
      <c r="L68" s="21" t="s">
        <v>118</v>
      </c>
      <c r="M68" s="21" t="s">
        <v>117</v>
      </c>
      <c r="N68" t="s">
        <v>119</v>
      </c>
    </row>
    <row r="69" spans="1:14">
      <c r="A69" s="21" t="s">
        <v>195</v>
      </c>
      <c r="B69" s="21" t="s">
        <v>137</v>
      </c>
      <c r="C69" s="21" t="s">
        <v>111</v>
      </c>
      <c r="D69" s="21" t="s">
        <v>112</v>
      </c>
      <c r="E69" s="21" t="s">
        <v>126</v>
      </c>
      <c r="F69" s="21" t="s">
        <v>34</v>
      </c>
      <c r="G69" s="21" t="s">
        <v>114</v>
      </c>
      <c r="H69" s="21">
        <v>0</v>
      </c>
      <c r="I69" s="21" t="s">
        <v>115</v>
      </c>
      <c r="J69" s="21" t="s">
        <v>116</v>
      </c>
      <c r="L69" s="21" t="s">
        <v>118</v>
      </c>
      <c r="M69" s="21" t="s">
        <v>117</v>
      </c>
      <c r="N69" t="s">
        <v>119</v>
      </c>
    </row>
    <row r="70" spans="1:14">
      <c r="A70" s="21" t="s">
        <v>195</v>
      </c>
      <c r="B70" s="21" t="s">
        <v>137</v>
      </c>
      <c r="C70" s="21" t="s">
        <v>111</v>
      </c>
      <c r="D70" s="21" t="s">
        <v>112</v>
      </c>
      <c r="E70" s="21" t="s">
        <v>127</v>
      </c>
      <c r="F70" s="21" t="s">
        <v>34</v>
      </c>
      <c r="G70" s="21" t="s">
        <v>114</v>
      </c>
      <c r="H70" s="21">
        <v>0</v>
      </c>
      <c r="I70" s="21" t="s">
        <v>115</v>
      </c>
      <c r="J70" s="21" t="s">
        <v>116</v>
      </c>
      <c r="L70" s="21" t="s">
        <v>118</v>
      </c>
      <c r="M70" s="21" t="s">
        <v>117</v>
      </c>
      <c r="N70" t="s">
        <v>119</v>
      </c>
    </row>
    <row r="71" spans="1:14">
      <c r="A71" s="21" t="s">
        <v>195</v>
      </c>
      <c r="B71" s="21" t="s">
        <v>137</v>
      </c>
      <c r="C71" s="21" t="s">
        <v>111</v>
      </c>
      <c r="D71" s="21" t="s">
        <v>112</v>
      </c>
      <c r="E71" s="21" t="s">
        <v>128</v>
      </c>
      <c r="F71" s="21" t="s">
        <v>34</v>
      </c>
      <c r="G71" s="21" t="s">
        <v>114</v>
      </c>
      <c r="H71" s="21">
        <v>0</v>
      </c>
      <c r="I71" s="21" t="s">
        <v>115</v>
      </c>
      <c r="J71" s="21" t="s">
        <v>116</v>
      </c>
      <c r="L71" s="21" t="s">
        <v>118</v>
      </c>
      <c r="M71" s="21" t="s">
        <v>117</v>
      </c>
      <c r="N71" t="s">
        <v>119</v>
      </c>
    </row>
    <row r="72" spans="1:14">
      <c r="A72" s="21" t="s">
        <v>195</v>
      </c>
      <c r="B72" s="21" t="s">
        <v>137</v>
      </c>
      <c r="C72" s="21" t="s">
        <v>111</v>
      </c>
      <c r="D72" s="21" t="s">
        <v>112</v>
      </c>
      <c r="E72" s="21" t="s">
        <v>129</v>
      </c>
      <c r="F72" s="21" t="s">
        <v>34</v>
      </c>
      <c r="G72" s="21" t="s">
        <v>114</v>
      </c>
      <c r="H72" s="21">
        <v>0.1502</v>
      </c>
      <c r="I72" s="21" t="s">
        <v>115</v>
      </c>
      <c r="J72" s="21" t="s">
        <v>116</v>
      </c>
      <c r="L72" s="21" t="s">
        <v>118</v>
      </c>
      <c r="M72" s="21" t="s">
        <v>117</v>
      </c>
      <c r="N72" t="s">
        <v>119</v>
      </c>
    </row>
    <row r="73" spans="1:14">
      <c r="A73" s="21" t="s">
        <v>195</v>
      </c>
      <c r="B73" s="21" t="s">
        <v>137</v>
      </c>
      <c r="C73" s="21" t="s">
        <v>111</v>
      </c>
      <c r="D73" s="21" t="s">
        <v>112</v>
      </c>
      <c r="E73" s="21" t="s">
        <v>130</v>
      </c>
      <c r="F73" s="21" t="s">
        <v>34</v>
      </c>
      <c r="G73" s="21" t="s">
        <v>114</v>
      </c>
      <c r="H73" s="21">
        <v>7.3700000000000002E-2</v>
      </c>
      <c r="I73" s="21" t="s">
        <v>115</v>
      </c>
      <c r="J73" s="21" t="s">
        <v>116</v>
      </c>
      <c r="L73" s="21" t="s">
        <v>118</v>
      </c>
      <c r="M73" s="21" t="s">
        <v>117</v>
      </c>
      <c r="N73" t="s">
        <v>119</v>
      </c>
    </row>
    <row r="74" spans="1:14">
      <c r="A74" s="21" t="s">
        <v>195</v>
      </c>
      <c r="B74" s="21" t="s">
        <v>137</v>
      </c>
      <c r="C74" s="21" t="s">
        <v>111</v>
      </c>
      <c r="D74" s="21" t="s">
        <v>112</v>
      </c>
      <c r="E74" s="21" t="s">
        <v>131</v>
      </c>
      <c r="F74" s="21" t="s">
        <v>34</v>
      </c>
      <c r="G74" s="21" t="s">
        <v>114</v>
      </c>
      <c r="H74" s="21">
        <v>1.9E-3</v>
      </c>
      <c r="I74" s="21" t="s">
        <v>115</v>
      </c>
      <c r="J74" s="21" t="s">
        <v>116</v>
      </c>
      <c r="L74" s="21" t="s">
        <v>118</v>
      </c>
      <c r="M74" s="21" t="s">
        <v>117</v>
      </c>
      <c r="N74" t="s">
        <v>119</v>
      </c>
    </row>
    <row r="75" spans="1:14">
      <c r="A75" s="21" t="s">
        <v>195</v>
      </c>
      <c r="B75" s="21" t="s">
        <v>137</v>
      </c>
      <c r="C75" s="21" t="s">
        <v>111</v>
      </c>
      <c r="D75" s="21" t="s">
        <v>112</v>
      </c>
      <c r="E75" s="21" t="s">
        <v>132</v>
      </c>
      <c r="F75" s="21" t="s">
        <v>34</v>
      </c>
      <c r="G75" s="21" t="s">
        <v>114</v>
      </c>
      <c r="H75" s="21">
        <v>1.8800000000000001E-2</v>
      </c>
      <c r="I75" s="21" t="s">
        <v>115</v>
      </c>
      <c r="J75" s="21" t="s">
        <v>116</v>
      </c>
      <c r="L75" s="21" t="s">
        <v>118</v>
      </c>
      <c r="M75" s="21" t="s">
        <v>117</v>
      </c>
      <c r="N75" t="s">
        <v>119</v>
      </c>
    </row>
    <row r="76" spans="1:14">
      <c r="A76" s="21" t="s">
        <v>195</v>
      </c>
      <c r="B76" s="21" t="s">
        <v>137</v>
      </c>
      <c r="C76" s="21" t="s">
        <v>111</v>
      </c>
      <c r="D76" s="21" t="s">
        <v>112</v>
      </c>
      <c r="E76" s="21" t="s">
        <v>133</v>
      </c>
      <c r="F76" s="21" t="s">
        <v>34</v>
      </c>
      <c r="G76" s="21" t="s">
        <v>114</v>
      </c>
      <c r="H76" s="21">
        <v>2.3999999999999998E-3</v>
      </c>
      <c r="I76" s="21" t="s">
        <v>115</v>
      </c>
      <c r="J76" s="21" t="s">
        <v>116</v>
      </c>
      <c r="L76" s="21" t="s">
        <v>118</v>
      </c>
      <c r="M76" s="21" t="s">
        <v>117</v>
      </c>
      <c r="N76" t="s">
        <v>119</v>
      </c>
    </row>
    <row r="77" spans="1:14">
      <c r="A77" s="21" t="s">
        <v>195</v>
      </c>
      <c r="B77" s="21" t="s">
        <v>138</v>
      </c>
      <c r="C77" s="21">
        <v>2020</v>
      </c>
      <c r="D77" s="21" t="s">
        <v>139</v>
      </c>
      <c r="E77" s="21" t="s">
        <v>113</v>
      </c>
      <c r="F77" s="21" t="s">
        <v>34</v>
      </c>
      <c r="G77" s="21" t="s">
        <v>140</v>
      </c>
      <c r="H77" s="21">
        <v>35.33</v>
      </c>
      <c r="I77" s="21" t="s">
        <v>141</v>
      </c>
      <c r="J77" s="21" t="s">
        <v>142</v>
      </c>
      <c r="N77" t="s">
        <v>119</v>
      </c>
    </row>
    <row r="78" spans="1:14">
      <c r="A78" s="21" t="s">
        <v>195</v>
      </c>
      <c r="B78" s="21" t="s">
        <v>138</v>
      </c>
      <c r="C78" s="21">
        <v>2020</v>
      </c>
      <c r="D78" s="21" t="s">
        <v>139</v>
      </c>
      <c r="E78" s="21" t="s">
        <v>121</v>
      </c>
      <c r="F78" s="21" t="s">
        <v>34</v>
      </c>
      <c r="G78" s="21" t="s">
        <v>140</v>
      </c>
      <c r="H78" s="21">
        <v>25.26</v>
      </c>
      <c r="I78" s="21" t="s">
        <v>141</v>
      </c>
      <c r="J78" s="21" t="s">
        <v>142</v>
      </c>
      <c r="N78" t="s">
        <v>119</v>
      </c>
    </row>
    <row r="79" spans="1:14">
      <c r="A79" s="21" t="s">
        <v>195</v>
      </c>
      <c r="B79" s="21" t="s">
        <v>138</v>
      </c>
      <c r="C79" s="21">
        <v>2020</v>
      </c>
      <c r="D79" s="21" t="s">
        <v>139</v>
      </c>
      <c r="E79" s="21" t="s">
        <v>124</v>
      </c>
      <c r="F79" s="21" t="s">
        <v>34</v>
      </c>
      <c r="G79" s="21" t="s">
        <v>140</v>
      </c>
      <c r="H79" s="21">
        <v>13.63</v>
      </c>
      <c r="I79" s="21" t="s">
        <v>141</v>
      </c>
      <c r="J79" s="21" t="s">
        <v>142</v>
      </c>
      <c r="N79" t="s">
        <v>119</v>
      </c>
    </row>
    <row r="80" spans="1:14">
      <c r="A80" s="21" t="s">
        <v>195</v>
      </c>
      <c r="B80" s="21" t="s">
        <v>138</v>
      </c>
      <c r="C80" s="21">
        <v>2020</v>
      </c>
      <c r="D80" s="21" t="s">
        <v>139</v>
      </c>
      <c r="E80" s="21" t="s">
        <v>120</v>
      </c>
      <c r="F80" s="21" t="s">
        <v>34</v>
      </c>
      <c r="G80" s="21" t="s">
        <v>140</v>
      </c>
      <c r="H80" s="21">
        <v>13.6</v>
      </c>
      <c r="I80" s="21" t="s">
        <v>141</v>
      </c>
      <c r="J80" s="21" t="s">
        <v>142</v>
      </c>
      <c r="N80" t="s">
        <v>119</v>
      </c>
    </row>
    <row r="81" spans="1:14">
      <c r="A81" s="21" t="s">
        <v>195</v>
      </c>
      <c r="B81" s="21" t="s">
        <v>138</v>
      </c>
      <c r="C81" s="21">
        <v>2020</v>
      </c>
      <c r="D81" s="21" t="s">
        <v>139</v>
      </c>
      <c r="E81" s="21" t="s">
        <v>125</v>
      </c>
      <c r="F81" s="21" t="s">
        <v>34</v>
      </c>
      <c r="G81" s="21" t="s">
        <v>140</v>
      </c>
      <c r="H81" s="21">
        <v>4.58</v>
      </c>
      <c r="I81" s="21" t="s">
        <v>141</v>
      </c>
      <c r="J81" s="21" t="s">
        <v>142</v>
      </c>
      <c r="N81" t="s">
        <v>119</v>
      </c>
    </row>
    <row r="82" spans="1:14">
      <c r="A82" s="21" t="s">
        <v>195</v>
      </c>
      <c r="B82" s="21" t="s">
        <v>138</v>
      </c>
      <c r="C82" s="21">
        <v>2020</v>
      </c>
      <c r="D82" s="21" t="s">
        <v>139</v>
      </c>
      <c r="E82" s="21" t="s">
        <v>133</v>
      </c>
      <c r="F82" s="21" t="s">
        <v>34</v>
      </c>
      <c r="G82" s="21" t="s">
        <v>140</v>
      </c>
      <c r="H82" s="21">
        <v>7.6</v>
      </c>
      <c r="I82" s="21" t="s">
        <v>141</v>
      </c>
      <c r="J82" s="21" t="s">
        <v>142</v>
      </c>
      <c r="N82" t="s">
        <v>119</v>
      </c>
    </row>
  </sheetData>
  <phoneticPr fontId="6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zoomScale="40" zoomScaleNormal="40" workbookViewId="0">
      <selection activeCell="G1" sqref="G1"/>
    </sheetView>
  </sheetViews>
  <sheetFormatPr defaultColWidth="9" defaultRowHeight="14.5"/>
  <cols>
    <col min="1" max="1" width="33.90625" customWidth="1"/>
    <col min="2" max="2" width="46.26953125" customWidth="1"/>
    <col min="3" max="3" width="36" customWidth="1"/>
    <col min="4" max="4" width="27.26953125" customWidth="1"/>
    <col min="5" max="5" width="20.26953125" customWidth="1"/>
    <col min="6" max="6" width="37.26953125" customWidth="1"/>
    <col min="7" max="7" width="22" customWidth="1"/>
  </cols>
  <sheetData>
    <row r="1" spans="1:7" ht="43.5">
      <c r="A1" s="55" t="s">
        <v>143</v>
      </c>
      <c r="B1" s="56" t="s">
        <v>144</v>
      </c>
      <c r="C1" s="56" t="s">
        <v>145</v>
      </c>
      <c r="D1" s="57" t="s">
        <v>146</v>
      </c>
      <c r="E1" s="57" t="s">
        <v>147</v>
      </c>
      <c r="F1" s="57" t="s">
        <v>148</v>
      </c>
      <c r="G1" s="56" t="s">
        <v>149</v>
      </c>
    </row>
    <row r="2" spans="1:7">
      <c r="A2" s="21" t="s">
        <v>150</v>
      </c>
      <c r="B2" s="21" t="s">
        <v>151</v>
      </c>
      <c r="C2" s="21" t="s">
        <v>152</v>
      </c>
      <c r="D2" s="58">
        <v>45273</v>
      </c>
      <c r="E2" s="21" t="s">
        <v>153</v>
      </c>
      <c r="F2" s="21" t="s">
        <v>154</v>
      </c>
      <c r="G2" s="21">
        <v>2</v>
      </c>
    </row>
    <row r="3" spans="1:7">
      <c r="A3" s="58"/>
      <c r="B3" s="21"/>
      <c r="C3" s="21"/>
      <c r="D3" s="21"/>
      <c r="E3" s="21"/>
      <c r="F3" s="59" t="s">
        <v>155</v>
      </c>
      <c r="G3" s="21"/>
    </row>
    <row r="4" spans="1:7">
      <c r="A4" s="21"/>
      <c r="B4" s="21"/>
      <c r="C4" s="21"/>
      <c r="D4" s="58"/>
      <c r="E4" s="21"/>
      <c r="F4" s="21" t="s">
        <v>156</v>
      </c>
      <c r="G4" s="21"/>
    </row>
    <row r="5" spans="1:7">
      <c r="A5" s="21"/>
      <c r="B5" s="21"/>
      <c r="C5" s="21"/>
      <c r="D5" s="21"/>
      <c r="E5" s="21"/>
      <c r="F5" s="59" t="s">
        <v>157</v>
      </c>
      <c r="G5" s="21"/>
    </row>
    <row r="6" spans="1:7">
      <c r="A6" s="21"/>
      <c r="B6" s="21"/>
      <c r="C6" s="21"/>
      <c r="D6" s="21"/>
      <c r="E6" s="21"/>
      <c r="F6" s="21" t="s">
        <v>156</v>
      </c>
      <c r="G6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5"/>
  <sheetViews>
    <sheetView zoomScale="40" zoomScaleNormal="40" workbookViewId="0">
      <selection activeCell="D16" sqref="D16"/>
    </sheetView>
  </sheetViews>
  <sheetFormatPr defaultColWidth="9" defaultRowHeight="14.5"/>
  <cols>
    <col min="2" max="2" width="33.36328125" customWidth="1"/>
    <col min="3" max="3" width="15.26953125" customWidth="1"/>
    <col min="4" max="13" width="14.36328125" customWidth="1"/>
  </cols>
  <sheetData>
    <row r="1" spans="2:14" s="29" customFormat="1" ht="87">
      <c r="B1" s="23" t="s">
        <v>158</v>
      </c>
      <c r="C1" s="24" t="s">
        <v>159</v>
      </c>
      <c r="D1" s="24" t="s">
        <v>160</v>
      </c>
      <c r="E1" s="23" t="s">
        <v>161</v>
      </c>
      <c r="F1" s="23" t="s">
        <v>162</v>
      </c>
      <c r="G1" s="23" t="s">
        <v>163</v>
      </c>
      <c r="H1" s="23" t="s">
        <v>164</v>
      </c>
      <c r="I1" s="23" t="s">
        <v>165</v>
      </c>
      <c r="J1" s="23" t="s">
        <v>166</v>
      </c>
      <c r="K1" s="23" t="s">
        <v>167</v>
      </c>
      <c r="L1" s="23" t="s">
        <v>168</v>
      </c>
      <c r="M1" s="23" t="s">
        <v>169</v>
      </c>
      <c r="N1" s="23" t="s">
        <v>170</v>
      </c>
    </row>
    <row r="2" spans="2:14">
      <c r="B2" s="3"/>
      <c r="C2" s="25">
        <v>1</v>
      </c>
      <c r="D2" s="17" t="s">
        <v>171</v>
      </c>
      <c r="E2" s="3" t="s">
        <v>172</v>
      </c>
      <c r="F2" s="3" t="s">
        <v>173</v>
      </c>
      <c r="G2" s="3">
        <v>2023</v>
      </c>
      <c r="H2" s="3" t="s">
        <v>174</v>
      </c>
      <c r="I2" s="3"/>
      <c r="J2" s="3"/>
      <c r="K2" s="60" t="s">
        <v>175</v>
      </c>
      <c r="L2" s="3"/>
      <c r="M2" s="3"/>
      <c r="N2" s="3"/>
    </row>
    <row r="3" spans="2:14">
      <c r="B3" s="3" t="s">
        <v>176</v>
      </c>
      <c r="C3" s="25">
        <v>2</v>
      </c>
      <c r="D3" s="17"/>
    </row>
    <row r="4" spans="2:14">
      <c r="B4" s="3" t="s">
        <v>176</v>
      </c>
      <c r="C4" s="25">
        <v>3</v>
      </c>
      <c r="N4" s="26"/>
    </row>
    <row r="5" spans="2:14">
      <c r="B5" s="3" t="s">
        <v>176</v>
      </c>
      <c r="C5" s="25">
        <v>4</v>
      </c>
    </row>
  </sheetData>
  <hyperlinks>
    <hyperlink ref="K2" r:id="rId1" xr:uid="{5AD0067B-52FA-40C5-8BBB-27A5030A12B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topLeftCell="A16" workbookViewId="0">
      <selection activeCell="E24" sqref="E24"/>
    </sheetView>
  </sheetViews>
  <sheetFormatPr defaultColWidth="9" defaultRowHeight="14.5"/>
  <cols>
    <col min="1" max="1" width="52.08984375" customWidth="1"/>
  </cols>
  <sheetData>
    <row r="1" spans="1:4">
      <c r="A1" t="s">
        <v>177</v>
      </c>
    </row>
    <row r="14" spans="1:4">
      <c r="D14" s="60" t="s">
        <v>178</v>
      </c>
    </row>
    <row r="29" spans="4:4">
      <c r="D29" s="60" t="s">
        <v>178</v>
      </c>
    </row>
  </sheetData>
  <hyperlinks>
    <hyperlink ref="D14" r:id="rId1" xr:uid="{5AD4D718-A517-41C9-AE5C-A3BB57AE4F67}"/>
    <hyperlink ref="D29" r:id="rId2" xr:uid="{B7166F71-D952-475B-BD63-9ACAC8A61256}"/>
  </hyperlink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Create a new document." ma:contentTypeScope="" ma:versionID="6e57bef4e3819ccdd8813cbe9d7acaa9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85ed3f06e57eab6a8d792fd944bd36a6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Props1.xml><?xml version="1.0" encoding="utf-8"?>
<ds:datastoreItem xmlns:ds="http://schemas.openxmlformats.org/officeDocument/2006/customXml" ds:itemID="{F61216CE-D2BE-4577-B5AF-17FFFE167C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D0AE4A-14A3-4C37-A68E-F4F36B65AD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D2BE7D-3641-4851-838B-89D1D90ED51A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13a16aaa-9018-407a-8466-41d10d62627a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7147d87b-5111-4e0d-b608-cd334cb6dab4"/>
    <ds:schemaRef ds:uri="http://www.w3.org/XML/1998/namespace"/>
    <ds:schemaRef ds:uri="http://purl.org/dc/terms/"/>
    <ds:schemaRef ds:uri="0592d07a-1af2-4331-8b44-ea7e2815515f"/>
    <ds:schemaRef ds:uri="a4e2c5e2-cb1f-48cf-889d-fca67caa39a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Data</vt:lpstr>
      <vt:lpstr>log</vt:lpstr>
      <vt:lpstr>ref</vt:lpstr>
      <vt:lpstr>raw_data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2025-02-13T16:08:11Z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