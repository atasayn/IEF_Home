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filterPrivacy="1" defaultThemeVersion="124226"/>
  <xr:revisionPtr revIDLastSave="0" documentId="13_ncr:1_{F031A613-515E-F34C-B0D2-B1A4A6191716}" xr6:coauthVersionLast="47" xr6:coauthVersionMax="47" xr10:uidLastSave="{00000000-0000-0000-0000-000000000000}"/>
  <bookViews>
    <workbookView xWindow="14460" yWindow="500" windowWidth="23880" windowHeight="22320" xr2:uid="{00000000-000D-0000-FFFF-FFFF00000000}"/>
  </bookViews>
  <sheets>
    <sheet name="Cover" sheetId="12" r:id="rId1"/>
    <sheet name="Data" sheetId="2" r:id="rId2"/>
    <sheet name="log" sheetId="10" r:id="rId3"/>
    <sheet name="___" sheetId="11" r:id="rId4"/>
    <sheet name="Raw_Data" sheetId="5" r:id="rId5"/>
    <sheet name="Cover_1" sheetId="1" r:id="rId6"/>
    <sheet name="Light Commercial Vehicles" sheetId="7" state="hidden" r:id="rId7"/>
    <sheet name="Medium &amp; Heavy Commercial vehic" sheetId="8" state="hidden" r:id="rId8"/>
    <sheet name="Buses" sheetId="9" state="hidden" r:id="rId9"/>
    <sheet name="Other_Raw_Data" sheetId="4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5" l="1"/>
  <c r="J49" i="5"/>
  <c r="J50" i="5"/>
  <c r="J51" i="5"/>
  <c r="J52" i="5"/>
  <c r="J53" i="5"/>
  <c r="J54" i="5"/>
  <c r="J55" i="5"/>
  <c r="Q55" i="5" s="1"/>
  <c r="J48" i="5"/>
  <c r="I55" i="5"/>
  <c r="I49" i="5"/>
  <c r="P49" i="5" s="1"/>
  <c r="I50" i="5"/>
  <c r="P50" i="5" s="1"/>
  <c r="I51" i="5"/>
  <c r="P51" i="5" s="1"/>
  <c r="I52" i="5"/>
  <c r="P52" i="5" s="1"/>
  <c r="I53" i="5"/>
  <c r="P53" i="5" s="1"/>
  <c r="I54" i="5"/>
  <c r="P54" i="5" s="1"/>
  <c r="I48" i="5"/>
  <c r="H49" i="5"/>
  <c r="H50" i="5"/>
  <c r="H51" i="5"/>
  <c r="H52" i="5"/>
  <c r="H53" i="5"/>
  <c r="H54" i="5"/>
  <c r="O54" i="5" s="1"/>
  <c r="H55" i="5"/>
  <c r="O55" i="5" s="1"/>
  <c r="H48" i="5"/>
  <c r="J40" i="5"/>
  <c r="J41" i="5"/>
  <c r="J42" i="5"/>
  <c r="J43" i="5"/>
  <c r="Q43" i="5" s="1"/>
  <c r="J44" i="5"/>
  <c r="Q44" i="5" s="1"/>
  <c r="J45" i="5"/>
  <c r="Q45" i="5" s="1"/>
  <c r="J46" i="5"/>
  <c r="Q46" i="5" s="1"/>
  <c r="J39" i="5"/>
  <c r="I46" i="5"/>
  <c r="I40" i="5"/>
  <c r="P40" i="5" s="1"/>
  <c r="I41" i="5"/>
  <c r="P41" i="5" s="1"/>
  <c r="I42" i="5"/>
  <c r="I43" i="5"/>
  <c r="P43" i="5" s="1"/>
  <c r="I44" i="5"/>
  <c r="P44" i="5" s="1"/>
  <c r="I45" i="5"/>
  <c r="P45" i="5" s="1"/>
  <c r="I39" i="5"/>
  <c r="H40" i="5"/>
  <c r="H41" i="5"/>
  <c r="O41" i="5" s="1"/>
  <c r="H42" i="5"/>
  <c r="O42" i="5" s="1"/>
  <c r="H43" i="5"/>
  <c r="O43" i="5" s="1"/>
  <c r="H44" i="5"/>
  <c r="O44" i="5" s="1"/>
  <c r="H45" i="5"/>
  <c r="O45" i="5" s="1"/>
  <c r="H46" i="5"/>
  <c r="O46" i="5" s="1"/>
  <c r="H39" i="5"/>
  <c r="O39" i="5" s="1"/>
  <c r="H12" i="5"/>
  <c r="P16" i="5"/>
  <c r="P14" i="5"/>
  <c r="P13" i="5"/>
  <c r="P12" i="5"/>
  <c r="Q13" i="5"/>
  <c r="Q14" i="5"/>
  <c r="H13" i="5"/>
  <c r="H14" i="5"/>
  <c r="H15" i="5"/>
  <c r="H16" i="5"/>
  <c r="O16" i="5" s="1"/>
  <c r="H17" i="5"/>
  <c r="O17" i="5" s="1"/>
  <c r="H18" i="5"/>
  <c r="O18" i="5" s="1"/>
  <c r="H19" i="5"/>
  <c r="O19" i="5" s="1"/>
  <c r="J4" i="5"/>
  <c r="Q4" i="5" s="1"/>
  <c r="J5" i="5"/>
  <c r="J6" i="5"/>
  <c r="J7" i="5"/>
  <c r="J8" i="5"/>
  <c r="Q8" i="5" s="1"/>
  <c r="J9" i="5"/>
  <c r="Q9" i="5" s="1"/>
  <c r="J10" i="5"/>
  <c r="Q10" i="5" s="1"/>
  <c r="J3" i="5"/>
  <c r="Q3" i="5" s="1"/>
  <c r="I4" i="5"/>
  <c r="P4" i="5" s="1"/>
  <c r="I5" i="5"/>
  <c r="I6" i="5"/>
  <c r="I7" i="5"/>
  <c r="I8" i="5"/>
  <c r="I9" i="5"/>
  <c r="I10" i="5"/>
  <c r="P10" i="5" s="1"/>
  <c r="I3" i="5"/>
  <c r="P3" i="5" s="1"/>
  <c r="H4" i="5"/>
  <c r="O4" i="5" s="1"/>
  <c r="H5" i="5"/>
  <c r="H6" i="5"/>
  <c r="H7" i="5"/>
  <c r="H8" i="5"/>
  <c r="O8" i="5" s="1"/>
  <c r="H9" i="5"/>
  <c r="O9" i="5" s="1"/>
  <c r="H10" i="5"/>
  <c r="O10" i="5" s="1"/>
  <c r="H3" i="5"/>
  <c r="O3" i="5" s="1"/>
  <c r="Q12" i="5"/>
  <c r="P15" i="5"/>
  <c r="Q15" i="5"/>
  <c r="Q16" i="5"/>
  <c r="P17" i="5"/>
  <c r="Q17" i="5"/>
  <c r="P18" i="5"/>
  <c r="Q18" i="5"/>
  <c r="P19" i="5"/>
  <c r="Q19" i="5"/>
  <c r="Q7" i="5"/>
  <c r="P7" i="5"/>
  <c r="P8" i="5"/>
  <c r="O7" i="5"/>
  <c r="R7" i="5" s="1"/>
  <c r="E31" i="4"/>
  <c r="Q49" i="5"/>
  <c r="Q50" i="5"/>
  <c r="Q51" i="5"/>
  <c r="Q52" i="5"/>
  <c r="Q53" i="5"/>
  <c r="Q54" i="5"/>
  <c r="Q48" i="5"/>
  <c r="P55" i="5"/>
  <c r="P48" i="5"/>
  <c r="O49" i="5"/>
  <c r="O50" i="5"/>
  <c r="O51" i="5"/>
  <c r="O52" i="5"/>
  <c r="O53" i="5"/>
  <c r="O48" i="5"/>
  <c r="G49" i="5"/>
  <c r="G50" i="5"/>
  <c r="G51" i="5"/>
  <c r="G52" i="5"/>
  <c r="G53" i="5"/>
  <c r="G54" i="5"/>
  <c r="G55" i="5"/>
  <c r="G48" i="5"/>
  <c r="P39" i="5"/>
  <c r="Q40" i="5"/>
  <c r="Q41" i="5"/>
  <c r="Q42" i="5"/>
  <c r="Q39" i="5"/>
  <c r="P42" i="5"/>
  <c r="P46" i="5"/>
  <c r="O40" i="5"/>
  <c r="G40" i="5"/>
  <c r="G41" i="5"/>
  <c r="G42" i="5"/>
  <c r="G43" i="5"/>
  <c r="G44" i="5"/>
  <c r="G45" i="5"/>
  <c r="G46" i="5"/>
  <c r="G39" i="5"/>
  <c r="J31" i="5"/>
  <c r="Q31" i="5" s="1"/>
  <c r="J32" i="5"/>
  <c r="Q32" i="5" s="1"/>
  <c r="J33" i="5"/>
  <c r="Q33" i="5" s="1"/>
  <c r="J34" i="5"/>
  <c r="Q34" i="5" s="1"/>
  <c r="J35" i="5"/>
  <c r="Q35" i="5" s="1"/>
  <c r="J36" i="5"/>
  <c r="Q36" i="5" s="1"/>
  <c r="J37" i="5"/>
  <c r="Q37" i="5" s="1"/>
  <c r="J30" i="5"/>
  <c r="Q30" i="5" s="1"/>
  <c r="H30" i="5"/>
  <c r="O30" i="5" s="1"/>
  <c r="I30" i="5"/>
  <c r="P30" i="5" s="1"/>
  <c r="I31" i="5"/>
  <c r="P31" i="5" s="1"/>
  <c r="I32" i="5"/>
  <c r="P32" i="5" s="1"/>
  <c r="I33" i="5"/>
  <c r="P33" i="5" s="1"/>
  <c r="I34" i="5"/>
  <c r="P34" i="5" s="1"/>
  <c r="I35" i="5"/>
  <c r="P35" i="5" s="1"/>
  <c r="I36" i="5"/>
  <c r="P36" i="5" s="1"/>
  <c r="I37" i="5"/>
  <c r="P37" i="5" s="1"/>
  <c r="H31" i="5"/>
  <c r="O31" i="5" s="1"/>
  <c r="R31" i="5" s="1" a="1"/>
  <c r="R31" i="5" s="1"/>
  <c r="H32" i="5"/>
  <c r="O32" i="5" s="1"/>
  <c r="R32" i="5" s="1" a="1"/>
  <c r="R32" i="5" s="1"/>
  <c r="H33" i="5"/>
  <c r="O33" i="5" s="1"/>
  <c r="R33" i="5" s="1" a="1"/>
  <c r="R33" i="5" s="1"/>
  <c r="H34" i="5"/>
  <c r="O34" i="5" s="1"/>
  <c r="H35" i="5"/>
  <c r="O35" i="5" s="1"/>
  <c r="H36" i="5"/>
  <c r="O36" i="5" s="1"/>
  <c r="R36" i="5" s="1" a="1"/>
  <c r="R36" i="5" s="1"/>
  <c r="H37" i="5"/>
  <c r="O37" i="5" s="1"/>
  <c r="G31" i="5"/>
  <c r="G32" i="5"/>
  <c r="G33" i="5"/>
  <c r="G34" i="5"/>
  <c r="G35" i="5"/>
  <c r="G36" i="5"/>
  <c r="G37" i="5"/>
  <c r="G30" i="5"/>
  <c r="J22" i="5"/>
  <c r="Q22" i="5" s="1"/>
  <c r="J23" i="5"/>
  <c r="Q23" i="5" s="1"/>
  <c r="J24" i="5"/>
  <c r="Q24" i="5" s="1"/>
  <c r="J25" i="5"/>
  <c r="Q25" i="5" s="1"/>
  <c r="J26" i="5"/>
  <c r="Q26" i="5" s="1"/>
  <c r="J27" i="5"/>
  <c r="Q27" i="5" s="1"/>
  <c r="J28" i="5"/>
  <c r="Q28" i="5" s="1"/>
  <c r="J21" i="5"/>
  <c r="Q21" i="5" s="1"/>
  <c r="I22" i="5"/>
  <c r="P22" i="5" s="1"/>
  <c r="I23" i="5"/>
  <c r="P23" i="5" s="1"/>
  <c r="I24" i="5"/>
  <c r="P24" i="5" s="1"/>
  <c r="I25" i="5"/>
  <c r="P25" i="5" s="1"/>
  <c r="I26" i="5"/>
  <c r="P26" i="5" s="1"/>
  <c r="I27" i="5"/>
  <c r="P27" i="5" s="1"/>
  <c r="I28" i="5"/>
  <c r="P28" i="5" s="1"/>
  <c r="I21" i="5"/>
  <c r="P21" i="5" s="1"/>
  <c r="H22" i="5"/>
  <c r="O22" i="5" s="1"/>
  <c r="H23" i="5"/>
  <c r="O23" i="5" s="1"/>
  <c r="R23" i="5" s="1"/>
  <c r="H24" i="5"/>
  <c r="O24" i="5" s="1"/>
  <c r="R24" i="5" s="1"/>
  <c r="H25" i="5"/>
  <c r="O25" i="5" s="1"/>
  <c r="R25" i="5" s="1"/>
  <c r="H26" i="5"/>
  <c r="O26" i="5" s="1"/>
  <c r="R26" i="5" s="1"/>
  <c r="H27" i="5"/>
  <c r="O27" i="5" s="1"/>
  <c r="H28" i="5"/>
  <c r="O28" i="5" s="1"/>
  <c r="R28" i="5" s="1"/>
  <c r="H21" i="5"/>
  <c r="O21" i="5" s="1"/>
  <c r="R21" i="5" s="1"/>
  <c r="G22" i="5"/>
  <c r="G23" i="5"/>
  <c r="G24" i="5"/>
  <c r="G25" i="5"/>
  <c r="G26" i="5"/>
  <c r="G27" i="5"/>
  <c r="G28" i="5"/>
  <c r="G21" i="5"/>
  <c r="O13" i="5"/>
  <c r="O14" i="5"/>
  <c r="O15" i="5"/>
  <c r="O12" i="5"/>
  <c r="Q5" i="5"/>
  <c r="Q6" i="5"/>
  <c r="P5" i="5"/>
  <c r="P6" i="5"/>
  <c r="P9" i="5"/>
  <c r="O5" i="5"/>
  <c r="O6" i="5"/>
  <c r="G4" i="5"/>
  <c r="G5" i="5"/>
  <c r="G6" i="5"/>
  <c r="G7" i="5"/>
  <c r="G8" i="5"/>
  <c r="G9" i="5"/>
  <c r="G10" i="5"/>
  <c r="G3" i="5"/>
  <c r="R27" i="5" l="1"/>
  <c r="R34" i="5" a="1"/>
  <c r="R34" i="5" s="1"/>
  <c r="R48" i="5"/>
  <c r="R22" i="5"/>
  <c r="R55" i="5"/>
  <c r="R53" i="5"/>
  <c r="R49" i="5"/>
  <c r="R54" i="5"/>
  <c r="R52" i="5"/>
  <c r="R51" i="5"/>
  <c r="R50" i="5"/>
  <c r="R40" i="5"/>
  <c r="R46" i="5"/>
  <c r="R45" i="5"/>
  <c r="R44" i="5"/>
  <c r="R43" i="5"/>
  <c r="R41" i="5"/>
  <c r="R37" i="5" a="1"/>
  <c r="R37" i="5" s="1"/>
  <c r="R35" i="5" a="1"/>
  <c r="R35" i="5" s="1"/>
  <c r="R42" i="5"/>
  <c r="R39" i="5"/>
  <c r="R30" i="5" a="1"/>
  <c r="R30" i="5" s="1"/>
  <c r="R16" i="5"/>
  <c r="R12" i="5"/>
  <c r="R17" i="5"/>
  <c r="R19" i="5"/>
  <c r="R15" i="5"/>
  <c r="R13" i="5"/>
  <c r="R18" i="5"/>
  <c r="R14" i="5"/>
  <c r="R9" i="5"/>
  <c r="R8" i="5"/>
  <c r="R6" i="5"/>
  <c r="R3" i="5"/>
  <c r="R4" i="5"/>
  <c r="R10" i="5"/>
  <c r="R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<sst xmlns="http://schemas.openxmlformats.org/spreadsheetml/2006/main" count="2342" uniqueCount="650">
  <si>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</si>
  <si>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</si>
  <si>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</si>
  <si>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</si>
  <si>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</si>
  <si>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</si>
  <si>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</si>
  <si>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3_EI_Other_Vehicles</t>
  </si>
  <si>
    <t># Name of dataset, short and descriptive</t>
  </si>
  <si>
    <t>Dataset_Description</t>
  </si>
  <si>
    <t>Specific energy consumption of vehicles other than passenger vehicles</t>
  </si>
  <si>
    <t># Description of dataset</t>
  </si>
  <si>
    <t>Dataset_Unit</t>
  </si>
  <si>
    <t>LIST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</si>
  <si>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</si>
  <si>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</si>
  <si>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</si>
  <si>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</si>
  <si>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</si>
  <si>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</si>
  <si>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Use phase</t>
  </si>
  <si>
    <t># Points to processes and flows in a general system definition, optional</t>
  </si>
  <si>
    <t>Dataset_ID</t>
  </si>
  <si>
    <t># ID of dataset, optional, establish link to IEDI</t>
  </si>
  <si>
    <t>Dataset_UUID</t>
  </si>
  <si>
    <t>0219ee2a-7c17-40bd-b200-78ae5c08ccc4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</si>
  <si>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</si>
  <si>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</si>
  <si>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</si>
  <si>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</si>
  <si>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</si>
  <si>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</si>
  <si>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Pauliuk, Ilham Checkrad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</si>
  <si>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</si>
  <si>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</si>
  <si>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</si>
  <si>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</si>
  <si>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</si>
  <si>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none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</si>
  <si>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</si>
  <si>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</si>
  <si>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</si>
  <si>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</si>
  <si>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</si>
  <si>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Aspects_classifications</t>
  </si>
  <si>
    <t>Aspects_Meaning</t>
  </si>
  <si>
    <t>DATA</t>
  </si>
  <si>
    <t>DATA_Info</t>
  </si>
  <si>
    <t>energy_carrier</t>
  </si>
  <si>
    <t>energy carrier consumed</t>
  </si>
  <si>
    <t>value</t>
  </si>
  <si>
    <t xml:space="preserve"># Aspects: Specify aspects in order of appearance in data table. </t>
  </si>
  <si>
    <t>commodity</t>
  </si>
  <si>
    <t>vehicle type</t>
  </si>
  <si>
    <t>unit nominator</t>
  </si>
  <si>
    <t>MJ</t>
  </si>
  <si>
    <t># Aspects_Meaning: Describe meaning of each aspect</t>
  </si>
  <si>
    <t>region</t>
  </si>
  <si>
    <t>region of use</t>
  </si>
  <si>
    <t>unit denominator</t>
  </si>
  <si>
    <t>km</t>
  </si>
  <si>
    <t># DATA: Specify the different quantification layers given: Value, Error, etc, or different scenarios. Must be identical to column names in sheet "Values_Master"</t>
  </si>
  <si>
    <t>age-cohort</t>
  </si>
  <si>
    <t>age-cohort of manufacturing of vehicle</t>
  </si>
  <si>
    <t>stats_array string</t>
  </si>
  <si>
    <t>String describing uncertainty distribution (http://stats-arrays.readthedocs.io/en/latest/)</t>
  </si>
  <si>
    <t># DATA_Info: Describe each data layer</t>
  </si>
  <si>
    <t>comment</t>
  </si>
  <si>
    <t>Comment on data proxy choice</t>
  </si>
  <si>
    <t>source</t>
  </si>
  <si>
    <t>Link to data source</t>
  </si>
  <si>
    <t>Bicycle</t>
  </si>
  <si>
    <t>UK</t>
  </si>
  <si>
    <t>https://web.archive.org/web/20070223045755/http://www.brianmac.demon.co.uk/energyexp.htm</t>
  </si>
  <si>
    <t>diesel</t>
  </si>
  <si>
    <t>bus</t>
  </si>
  <si>
    <t>Latvia</t>
  </si>
  <si>
    <t>Case study of one week collecting data of passenger bus produced and used in Latvia; value found in conclusion; Vahicle details found in Material&amp;methods</t>
  </si>
  <si>
    <t>https://www.tf.lbtu.lv/conference/proceedings2015/Papers/060_Graurs.pdf</t>
  </si>
  <si>
    <t>bus 2000</t>
  </si>
  <si>
    <t>Germany</t>
  </si>
  <si>
    <t xml:space="preserve">The real data of Szeged public transport of diffrent vehicle type; Values found in 3 rd Slide </t>
  </si>
  <si>
    <t>http://www.trolley-project.eu/fileadmin/user_upload/download/University/TROLLEY_Toth_SZKT_sustainable_mobility_Szeged.pdf</t>
  </si>
  <si>
    <t>Bus 2000</t>
  </si>
  <si>
    <t>12 m bus</t>
  </si>
  <si>
    <t>Articulated Bus</t>
  </si>
  <si>
    <t>compressed natural gas</t>
  </si>
  <si>
    <t>electricity</t>
  </si>
  <si>
    <t>Tram</t>
  </si>
  <si>
    <t>13;2.9;10.8;none</t>
  </si>
  <si>
    <t>Trolley</t>
  </si>
  <si>
    <t>13;5.4;13.7;none</t>
  </si>
  <si>
    <t>regional Train</t>
  </si>
  <si>
    <t>Spain</t>
  </si>
  <si>
    <t>Calculations based on real data from trains used in Spain; Value found in first table</t>
  </si>
  <si>
    <t>https://www.revistadyna.com/Documentos/pdfs%5C2005%5C200505jun%5C891DYNAINDEX.pdf</t>
  </si>
  <si>
    <t>Intercity Train</t>
  </si>
  <si>
    <t>intercity  Express Train</t>
  </si>
  <si>
    <t>standard bus</t>
  </si>
  <si>
    <t>https://www.researchgate.net/publication/270488339_Refereed_Papers_Energy_Consumption_of_Passenger_Land_Transport_Modes#fullTextFileContent</t>
  </si>
  <si>
    <t>Meduim long train</t>
  </si>
  <si>
    <t>Europe</t>
  </si>
  <si>
    <t>Data from real used train; Value founf in table 1</t>
  </si>
  <si>
    <t>Doudble vehicle bus</t>
  </si>
  <si>
    <t>Trolley bus used in Germany; Value founf in table 1 Page 17</t>
  </si>
  <si>
    <t>http://www.trolley-project.eu/fileadmin/user_upload/download/TROLLEY_WP4_Report_on_feasability_study_on_network_extension_in_Eberswalde__in_German.pdf</t>
  </si>
  <si>
    <t>Trolley bus used in Germany; Value founf in table 1 Page 18</t>
  </si>
  <si>
    <t>Solobus</t>
  </si>
  <si>
    <t>Trolley bus used in Germany; Value founf in table 1 Page 19</t>
  </si>
  <si>
    <t>USA</t>
  </si>
  <si>
    <t>Vehicle details stated in table 1; Value found in  Energy consumption and charging activities paragraph</t>
  </si>
  <si>
    <t>https://www.sciencedirect.com/science/article/pii/S0360544217301081?casa_token=e0nEbmWBAKIAAAAA:sQ6r8cY3vjKDIrsXvVrodetgtfOmA2Zgaf7j91KFkJDScy9TI-PD2nhXLy1jNAhcQMpakX8KzAHg</t>
  </si>
  <si>
    <t>bus 12 m</t>
  </si>
  <si>
    <t>China</t>
  </si>
  <si>
    <t>13;6.12;14.76;none</t>
  </si>
  <si>
    <t>Bus manufactured in 2017; Value found in abstract</t>
  </si>
  <si>
    <t>https://www.sciencedirect.com/science/article/pii/S0959652617323089?casa_token=d8SVsSwFCysAAAAA:vCStrXOnpnNsBsn51Vl_c_056WfP4c5x7J_J2xxPhD0iTkW2i3vmFVGJzYHK9RVdDHo1xmjK05oz#bib38</t>
  </si>
  <si>
    <t>bus 10m</t>
  </si>
  <si>
    <t>13;4.32;10.44;none</t>
  </si>
  <si>
    <t>https://www.sciencedirect.com/science/article/pii/S0959652617323089?casa_token=d8SVsSwFCysAAAAA:vCStrXOnpnNsBsn51Vl_c_056WfP4c5x7J_J2xxPhD0iTkW2i3vmFVGJzYHK9RVdDHo1xmjK05oz#bib39</t>
  </si>
  <si>
    <t>bus 12 m, DHEB diesel hybrid electric</t>
  </si>
  <si>
    <t>Canada</t>
  </si>
  <si>
    <t xml:space="preserve">Data taken from diffrent research studies sources; Value found in Table 7 </t>
  </si>
  <si>
    <t>https://pdf.sciencedirectassets.com/271969/1-s2.0-S1364032116X00068/1-s2.0-S1364032116301290/main.pdf?X-Amz-Security-Token=IQoJb3JpZ2luX2VjEAUaCXVzLWVhc3QtMSJHMEUCIQD%2FyUHAGBAagdUqFKp7lMFkMtMc354g7yfFaM%2Bt7FSB5QIgLfemskxABswpWAcm6pDiHv1t%2Blc%2Bcv48xgLOaZJlTTgqsgUILRAFGgwwNTkwMDM1NDY4NjUiDHRWcijE7GPPJaVVTyqPBTfurWBNVrWHKFjL1V%2FPxeQv%2B6zxLSc5biGbKM7jg6ZrEQFnA8xhHmGiNN9Ijeo3qaD2EQM7OOCLVHcyCeRs3tfoQD7ZO%2BCpF9VnitWhrj7DHxLaIwjwhdexhNytGCh1mfIKIzUE3k%2FgwR6eQBeEceZmqG1lHQDwxKYYijpTbTi2CeOJRLuxMXs%2FQ6b%2Bgzy5UgQWwHfuQk7ryT3w2u7svpqWeDvKzDJGh8qQ3Xy9gaGVIvsyBussGS%2FMAq8yqcpD0zHftlY5anEUVg9Ze3226GBg%2F2RRJBngFpEc6iHqnGBNrXS26b1DPNw9rIahERAgmVQ5nS21aSbmRBuWzLgVgLPvESb5cvbfr9nZLN7tLY1%2FdqotChLIub1LCrZgDqkL%2Bl%2FyBDBIWpEcXtgvldr0mB6uWDse17Dnss8xhw8g8GcBAs8h08SAQO%2FE2ZHJMe%2BfneEeKVkJhrpDCpmnHs7drI0kJFP9pFA%2FAcRcdA6PKNKVUzlgBg8q865Dlc3Gt3vpqhLxVo4VK6U7jC%2Fc0yO6umDAXy2ZgHI1l9Zn1RuQinimpzgTnUV7HMOYy2%2BuCmC%2F7dsReDAzAYF6FmzbRjFyTPqUQKwOzKVAC5Vl%2Br21w2aDOJdHMF8hF8eaElnKWMbLXrfb9ZD%2Bx7O6FMoaRGMZlUCfeU%2BFqjoO%2BOduzsZU9OAr1GvRynASVTEOTmHjzHjOEZT8V2yS7Js7lfMAmNHtBKfVSabCuqzKErr9tPYB4pg6xO9AI%2Fw7LwqVIQv7QWXENZEcXOqFTVoy37YT9jo1AV1Oqrkd09Go9K%2FChoWrILflX4DESVAJSEOSBKoGL7BVGps0LOACNOPuJyZ7bZLOC5iIpTbC6%2Fhm3Iym5Fh9Dngw36qlsAY6sQEks%2F%2FMkKeWvfcKI%2FtGZmJTA6%2FtLgsNvdAg0M3l5c1ESw1ep8dkGo7oIuorA8TvH0CJqug00Rn2IJjmX3RrReWnFIl2pKLMP0OYb2xXiG8owBRlietrkUmqLuDib%2BU2TjNp4l%2BFHDc1ctX9qPVJfMJ3%2FfOe%2FYCFzyZtb%2B3Bpw3liYvdBnKMzQKQjbbtqf3X0GZMCEePRF0qgQOt9jogjRK%2F6I4s3KKZ3lWfub7Wtp%2F3A2c%3D&amp;X-Amz-Algorithm=AWS4-HMAC-SHA256&amp;X-Amz-Date=20240331T134246Z&amp;X-Amz-SignedHeaders=host&amp;X-Amz-Expires=300&amp;X-Amz-Credential=ASIAQ3PHCVTYRCMRNJMA%2F20240331%2Fus-east-1%2Fs3%2Faws4_request&amp;X-Amz-Signature=d1d13746302ab3b7c9b1adac6b33a3ae396e77db3968eb26ab63b0d9878e0d08&amp;hash=78be8f039133951f340d36fa86a60e5e6971fac60e57f172cc4c8011d7ec81a2&amp;host=68042c943591013ac2b2430a89b270f6af2c76d8dfd086a07176afe7c76c2c61&amp;pii=S1364032116301290&amp;tid=spdf-15dc2a4b-2b32-414d-a8d0-e47a1708aeac&amp;sid=c984c09d89be944ccc096f66828501eaae64gxrqb&amp;type=client&amp;tsoh=d3d3LnNjaWVuY2VkaXJlY3QuY29t&amp;ua=17075f590355005605595b&amp;rr=86d0c3b988a8c720&amp;cc=ma</t>
  </si>
  <si>
    <t>bus 12 m, ICE</t>
  </si>
  <si>
    <t>Data taken from diffrent research studies sources; Value found in Table 8</t>
  </si>
  <si>
    <t>hydrogen</t>
  </si>
  <si>
    <t>bus 12 m, FCEB Fuel Cell Electric</t>
  </si>
  <si>
    <t>Data taken from diffrent research studies sources; Value found in Table 9</t>
  </si>
  <si>
    <t>bus 12 m, battery electric</t>
  </si>
  <si>
    <t>Data taken from diffrent research studies sources; Value found in Table 10</t>
  </si>
  <si>
    <t>Lithuania</t>
  </si>
  <si>
    <t>Real data from vehicles ; more that in supporting document 1; Value found in Table 2</t>
  </si>
  <si>
    <t>https://www.sciencedirect.com/science/article/pii/S0301479712000138</t>
  </si>
  <si>
    <t>Real data from vehicles ; more that in supporting document 1; Value found in Table 3</t>
  </si>
  <si>
    <t>OECD Pacific</t>
  </si>
  <si>
    <t>12-m-long diesel-powered transit bus with two doors and capacity of approximately 80passengers</t>
  </si>
  <si>
    <t xml:space="preserve">https://onlinelibrary.wiley.com/doi/10.1111/jiec.12391. </t>
  </si>
  <si>
    <t>https://onlinelibrary.wiley.com/doi/10.1111/jiec.12392</t>
  </si>
  <si>
    <t>India</t>
  </si>
  <si>
    <t>https://onlinelibrary.wiley.com/doi/10.1111/jiec.12393</t>
  </si>
  <si>
    <t>EIT</t>
  </si>
  <si>
    <t>https://onlinelibrary.wiley.com/doi/10.1111/jiec.12394</t>
  </si>
  <si>
    <t>Africa &amp; Middle East</t>
  </si>
  <si>
    <t>https://onlinelibrary.wiley.com/doi/10.1111/jiec.12395</t>
  </si>
  <si>
    <t>Latin America</t>
  </si>
  <si>
    <t>https://onlinelibrary.wiley.com/doi/10.1111/jiec.12396</t>
  </si>
  <si>
    <t>OECD Europe</t>
  </si>
  <si>
    <t>https://onlinelibrary.wiley.com/doi/10.1111/jiec.12397</t>
  </si>
  <si>
    <t>OECD North America</t>
  </si>
  <si>
    <t>https://onlinelibrary.wiley.com/doi/10.1111/jiec.12398</t>
  </si>
  <si>
    <t>https://onlinelibrary.wiley.com/doi/10.1111/jiec.12399</t>
  </si>
  <si>
    <t>https://onlinelibrary.wiley.com/doi/10.1111/jiec.12400</t>
  </si>
  <si>
    <t>https://onlinelibrary.wiley.com/doi/10.1111/jiec.12401</t>
  </si>
  <si>
    <t>https://onlinelibrary.wiley.com/doi/10.1111/jiec.12402</t>
  </si>
  <si>
    <t>https://onlinelibrary.wiley.com/doi/10.1111/jiec.12403</t>
  </si>
  <si>
    <t>https://onlinelibrary.wiley.com/doi/10.1111/jiec.12404</t>
  </si>
  <si>
    <t>https://onlinelibrary.wiley.com/doi/10.1111/jiec.12405</t>
  </si>
  <si>
    <t>https://onlinelibrary.wiley.com/doi/10.1111/jiec.12406</t>
  </si>
  <si>
    <t>https://onlinelibrary.wiley.com/doi/10.1111/jiec.12407</t>
  </si>
  <si>
    <t>https://onlinelibrary.wiley.com/doi/10.1111/jiec.12408</t>
  </si>
  <si>
    <t>https://onlinelibrary.wiley.com/doi/10.1111/jiec.12409</t>
  </si>
  <si>
    <t>https://onlinelibrary.wiley.com/doi/10.1111/jiec.12410</t>
  </si>
  <si>
    <t>https://onlinelibrary.wiley.com/doi/10.1111/jiec.12411</t>
  </si>
  <si>
    <t>https://onlinelibrary.wiley.com/doi/10.1111/jiec.12412</t>
  </si>
  <si>
    <t>https://onlinelibrary.wiley.com/doi/10.1111/jiec.12413</t>
  </si>
  <si>
    <t>https://onlinelibrary.wiley.com/doi/10.1111/jiec.12414</t>
  </si>
  <si>
    <t>Passenger Rail</t>
  </si>
  <si>
    <t>2010-2030-2050</t>
  </si>
  <si>
    <t>340-seat diesel-powered train. Reference locomotive: General Electric ES44AC(AMTRAK)</t>
  </si>
  <si>
    <t>https://onlinelibrary.wiley.com/doi/10.1111/jiec.12415</t>
  </si>
  <si>
    <t>https://onlinelibrary.wiley.com/doi/10.1111/jiec.12416</t>
  </si>
  <si>
    <t>https://onlinelibrary.wiley.com/doi/10.1111/jiec.12417</t>
  </si>
  <si>
    <t>https://onlinelibrary.wiley.com/doi/10.1111/jiec.12418</t>
  </si>
  <si>
    <t>https://onlinelibrary.wiley.com/doi/10.1111/jiec.12419</t>
  </si>
  <si>
    <t>https://onlinelibrary.wiley.com/doi/10.1111/jiec.12420</t>
  </si>
  <si>
    <t>https://onlinelibrary.wiley.com/doi/10.1111/jiec.12421</t>
  </si>
  <si>
    <t>https://onlinelibrary.wiley.com/doi/10.1111/jiec.12422</t>
  </si>
  <si>
    <t>340-passenger electric-powered multiple unit train. Reference locomotive: Talgo 250</t>
  </si>
  <si>
    <t>https://onlinelibrary.wiley.com/doi/10.1111/jiec.12423</t>
  </si>
  <si>
    <t>340-passenger electric-powered multiple unit train. Reference locomotive: Talgo 251</t>
  </si>
  <si>
    <t>https://onlinelibrary.wiley.com/doi/10.1111/jiec.12424</t>
  </si>
  <si>
    <t>340-passenger electric-powered multiple unit train. Reference locomotive: Talgo 252</t>
  </si>
  <si>
    <t>https://onlinelibrary.wiley.com/doi/10.1111/jiec.12425</t>
  </si>
  <si>
    <t>340-passenger electric-powered multiple unit train. Reference locomotive: Talgo 253</t>
  </si>
  <si>
    <t>https://onlinelibrary.wiley.com/doi/10.1111/jiec.12426</t>
  </si>
  <si>
    <t>340-passenger electric-powered multiple unit train. Reference locomotive: Talgo 254</t>
  </si>
  <si>
    <t>https://onlinelibrary.wiley.com/doi/10.1111/jiec.12427</t>
  </si>
  <si>
    <t>340-passenger electric-powered multiple unit train. Reference locomotive: Talgo 255</t>
  </si>
  <si>
    <t>https://onlinelibrary.wiley.com/doi/10.1111/jiec.12428</t>
  </si>
  <si>
    <t>340-passenger electric-powered multiple unit train. Reference locomotive: Talgo 256</t>
  </si>
  <si>
    <t>https://onlinelibrary.wiley.com/doi/10.1111/jiec.12429</t>
  </si>
  <si>
    <t>340-passenger electric-powered multiple unit train. Reference locomotive: Talgo 257</t>
  </si>
  <si>
    <t>https://onlinelibrary.wiley.com/doi/10.1111/jiec.12430</t>
  </si>
  <si>
    <t>340-passenger electric-powered multiple unit train. Reference locomotive: Talgo 258</t>
  </si>
  <si>
    <t>https://onlinelibrary.wiley.com/doi/10.1111/jiec.12431</t>
  </si>
  <si>
    <t>340-passenger electric-powered multiple unit train. Reference locomotive: Talgo 259</t>
  </si>
  <si>
    <t>https://onlinelibrary.wiley.com/doi/10.1111/jiec.12432</t>
  </si>
  <si>
    <t>340-passenger electric-powered multiple unit train. Reference locomotive: Talgo 260</t>
  </si>
  <si>
    <t>https://onlinelibrary.wiley.com/doi/10.1111/jiec.12433</t>
  </si>
  <si>
    <t>340-passenger electric-powered multiple unit train. Reference locomotive: Talgo 261</t>
  </si>
  <si>
    <t>https://onlinelibrary.wiley.com/doi/10.1111/jiec.12434</t>
  </si>
  <si>
    <t>340-passenger electric-powered multiple unit train. Reference locomotive: Talgo 262</t>
  </si>
  <si>
    <t>https://onlinelibrary.wiley.com/doi/10.1111/jiec.12435</t>
  </si>
  <si>
    <t>340-passenger electric-powered multiple unit train. Reference locomotive: Talgo 263</t>
  </si>
  <si>
    <t>https://onlinelibrary.wiley.com/doi/10.1111/jiec.12436</t>
  </si>
  <si>
    <t>340-passenger electric-powered multiple unit train. Reference locomotive: Talgo 264</t>
  </si>
  <si>
    <t>https://onlinelibrary.wiley.com/doi/10.1111/jiec.12437</t>
  </si>
  <si>
    <t>340-passenger electric-powered multiple unit train. Reference locomotive: Talgo 265</t>
  </si>
  <si>
    <t>https://onlinelibrary.wiley.com/doi/10.1111/jiec.12438</t>
  </si>
  <si>
    <t>340-passenger electric-powered multiple unit train. Reference locomotive: Talgo 266</t>
  </si>
  <si>
    <t>https://onlinelibrary.wiley.com/doi/10.1111/jiec.12439</t>
  </si>
  <si>
    <t>340-passenger electric-powered multiple unit train. Reference locomotive: Talgo 267</t>
  </si>
  <si>
    <t>https://onlinelibrary.wiley.com/doi/10.1111/jiec.12440</t>
  </si>
  <si>
    <t>340-passenger electric-powered multiple unit train. Reference locomotive: Talgo 268</t>
  </si>
  <si>
    <t>https://onlinelibrary.wiley.com/doi/10.1111/jiec.12441</t>
  </si>
  <si>
    <t>340-passenger electric-powered multiple unit train. Reference locomotive: Talgo 269</t>
  </si>
  <si>
    <t>https://onlinelibrary.wiley.com/doi/10.1111/jiec.12442</t>
  </si>
  <si>
    <t>340-passenger electric-powered multiple unit train. Reference locomotive: Talgo 270</t>
  </si>
  <si>
    <t>https://onlinelibrary.wiley.com/doi/10.1111/jiec.12443</t>
  </si>
  <si>
    <t>340-passenger electric-powered multiple unit train. Reference locomotive: Talgo 271</t>
  </si>
  <si>
    <t>https://onlinelibrary.wiley.com/doi/10.1111/jiec.12444</t>
  </si>
  <si>
    <t>340-passenger electric-powered multiple unit train. Reference locomotive: Talgo 272</t>
  </si>
  <si>
    <t>https://onlinelibrary.wiley.com/doi/10.1111/jiec.12445</t>
  </si>
  <si>
    <t>https://onlinelibrary.wiley.com/doi/10.1111/jiec.12446</t>
  </si>
  <si>
    <t xml:space="preserve">High speed Train </t>
  </si>
  <si>
    <t>670-seat electric-powered train. Reference vehicle: Deutsche Bahn ICE</t>
  </si>
  <si>
    <t>https://onlinelibrary.wiley.com/doi/10.1111/jiec.12447</t>
  </si>
  <si>
    <t>https://onlinelibrary.wiley.com/doi/10.1111/jiec.12448</t>
  </si>
  <si>
    <t>https://onlinelibrary.wiley.com/doi/10.1111/jiec.12449</t>
  </si>
  <si>
    <t>https://onlinelibrary.wiley.com/doi/10.1111/jiec.12450</t>
  </si>
  <si>
    <t>https://onlinelibrary.wiley.com/doi/10.1111/jiec.12451</t>
  </si>
  <si>
    <t>https://onlinelibrary.wiley.com/doi/10.1111/jiec.12452</t>
  </si>
  <si>
    <t>https://onlinelibrary.wiley.com/doi/10.1111/jiec.12453</t>
  </si>
  <si>
    <t>https://onlinelibrary.wiley.com/doi/10.1111/jiec.12454</t>
  </si>
  <si>
    <t>https://onlinelibrary.wiley.com/doi/10.1111/jiec.12455</t>
  </si>
  <si>
    <t>https://onlinelibrary.wiley.com/doi/10.1111/jiec.12456</t>
  </si>
  <si>
    <t>https://onlinelibrary.wiley.com/doi/10.1111/jiec.12457</t>
  </si>
  <si>
    <t>https://onlinelibrary.wiley.com/doi/10.1111/jiec.12458</t>
  </si>
  <si>
    <t>https://onlinelibrary.wiley.com/doi/10.1111/jiec.12459</t>
  </si>
  <si>
    <t>https://onlinelibrary.wiley.com/doi/10.1111/jiec.12460</t>
  </si>
  <si>
    <t>https://onlinelibrary.wiley.com/doi/10.1111/jiec.12461</t>
  </si>
  <si>
    <t>https://onlinelibrary.wiley.com/doi/10.1111/jiec.12462</t>
  </si>
  <si>
    <t>https://onlinelibrary.wiley.com/doi/10.1111/jiec.12463</t>
  </si>
  <si>
    <t>https://onlinelibrary.wiley.com/doi/10.1111/jiec.12464</t>
  </si>
  <si>
    <t>https://onlinelibrary.wiley.com/doi/10.1111/jiec.12465</t>
  </si>
  <si>
    <t>https://onlinelibrary.wiley.com/doi/10.1111/jiec.12466</t>
  </si>
  <si>
    <t>https://onlinelibrary.wiley.com/doi/10.1111/jiec.12467</t>
  </si>
  <si>
    <t>https://onlinelibrary.wiley.com/doi/10.1111/jiec.12468</t>
  </si>
  <si>
    <t>https://onlinelibrary.wiley.com/doi/10.1111/jiec.12469</t>
  </si>
  <si>
    <t>https://onlinelibrary.wiley.com/doi/10.1111/jiec.12470</t>
  </si>
  <si>
    <t>Medium Duty Truck</t>
  </si>
  <si>
    <t>5.2-metric-ton1capacity truck. Reference vehicle: class-6 truck under U.S.classification.</t>
  </si>
  <si>
    <t>https://onlinelibrary.wiley.com/doi/10.1111/jiec.12471</t>
  </si>
  <si>
    <t>https://onlinelibrary.wiley.com/doi/10.1111/jiec.12472</t>
  </si>
  <si>
    <t>https://onlinelibrary.wiley.com/doi/10.1111/jiec.12473</t>
  </si>
  <si>
    <t>https://onlinelibrary.wiley.com/doi/10.1111/jiec.12474</t>
  </si>
  <si>
    <t>https://onlinelibrary.wiley.com/doi/10.1111/jiec.12475</t>
  </si>
  <si>
    <t>https://onlinelibrary.wiley.com/doi/10.1111/jiec.12476</t>
  </si>
  <si>
    <t>https://onlinelibrary.wiley.com/doi/10.1111/jiec.12477</t>
  </si>
  <si>
    <t>https://onlinelibrary.wiley.com/doi/10.1111/jiec.12478</t>
  </si>
  <si>
    <t>https://onlinelibrary.wiley.com/doi/10.1111/jiec.12479</t>
  </si>
  <si>
    <t>https://onlinelibrary.wiley.com/doi/10.1111/jiec.12480</t>
  </si>
  <si>
    <t>https://onlinelibrary.wiley.com/doi/10.1111/jiec.12481</t>
  </si>
  <si>
    <t>https://onlinelibrary.wiley.com/doi/10.1111/jiec.12482</t>
  </si>
  <si>
    <t>https://onlinelibrary.wiley.com/doi/10.1111/jiec.12483</t>
  </si>
  <si>
    <t>https://onlinelibrary.wiley.com/doi/10.1111/jiec.12484</t>
  </si>
  <si>
    <t>https://onlinelibrary.wiley.com/doi/10.1111/jiec.12485</t>
  </si>
  <si>
    <t>https://onlinelibrary.wiley.com/doi/10.1111/jiec.12486</t>
  </si>
  <si>
    <t>https://onlinelibrary.wiley.com/doi/10.1111/jiec.12487</t>
  </si>
  <si>
    <t>https://onlinelibrary.wiley.com/doi/10.1111/jiec.12488</t>
  </si>
  <si>
    <t>https://onlinelibrary.wiley.com/doi/10.1111/jiec.12489</t>
  </si>
  <si>
    <t>https://onlinelibrary.wiley.com/doi/10.1111/jiec.12490</t>
  </si>
  <si>
    <t>https://onlinelibrary.wiley.com/doi/10.1111/jiec.12491</t>
  </si>
  <si>
    <t>https://onlinelibrary.wiley.com/doi/10.1111/jiec.12492</t>
  </si>
  <si>
    <t>https://onlinelibrary.wiley.com/doi/10.1111/jiec.12493</t>
  </si>
  <si>
    <t>https://onlinelibrary.wiley.com/doi/10.1111/jiec.12494</t>
  </si>
  <si>
    <t>Freight Rail</t>
  </si>
  <si>
    <t>Diesel-powered locomotive with eight wagons</t>
  </si>
  <si>
    <t>https://onlinelibrary.wiley.com/doi/10.1111/jiec.12495</t>
  </si>
  <si>
    <t>https://onlinelibrary.wiley.com/doi/10.1111/jiec.12496</t>
  </si>
  <si>
    <t>https://onlinelibrary.wiley.com/doi/10.1111/jiec.12497</t>
  </si>
  <si>
    <t>https://onlinelibrary.wiley.com/doi/10.1111/jiec.12498</t>
  </si>
  <si>
    <t>https://onlinelibrary.wiley.com/doi/10.1111/jiec.12499</t>
  </si>
  <si>
    <t>https://onlinelibrary.wiley.com/doi/10.1111/jiec.12500</t>
  </si>
  <si>
    <t>https://onlinelibrary.wiley.com/doi/10.1111/jiec.12501</t>
  </si>
  <si>
    <t>https://onlinelibrary.wiley.com/doi/10.1111/jiec.12502</t>
  </si>
  <si>
    <t>https://onlinelibrary.wiley.com/doi/10.1111/jiec.12503</t>
  </si>
  <si>
    <t>https://onlinelibrary.wiley.com/doi/10.1111/jiec.12504</t>
  </si>
  <si>
    <t>https://onlinelibrary.wiley.com/doi/10.1111/jiec.12505</t>
  </si>
  <si>
    <t>https://onlinelibrary.wiley.com/doi/10.1111/jiec.12506</t>
  </si>
  <si>
    <t>https://onlinelibrary.wiley.com/doi/10.1111/jiec.12507</t>
  </si>
  <si>
    <t>https://onlinelibrary.wiley.com/doi/10.1111/jiec.12508</t>
  </si>
  <si>
    <t>https://onlinelibrary.wiley.com/doi/10.1111/jiec.12509</t>
  </si>
  <si>
    <t>https://onlinelibrary.wiley.com/doi/10.1111/jiec.12510</t>
  </si>
  <si>
    <t>https://onlinelibrary.wiley.com/doi/10.1111/jiec.12511</t>
  </si>
  <si>
    <t>https://onlinelibrary.wiley.com/doi/10.1111/jiec.12512</t>
  </si>
  <si>
    <t>https://onlinelibrary.wiley.com/doi/10.1111/jiec.12513</t>
  </si>
  <si>
    <t>https://onlinelibrary.wiley.com/doi/10.1111/jiec.12514</t>
  </si>
  <si>
    <t>https://onlinelibrary.wiley.com/doi/10.1111/jiec.12515</t>
  </si>
  <si>
    <t>https://onlinelibrary.wiley.com/doi/10.1111/jiec.12516</t>
  </si>
  <si>
    <t>https://onlinelibrary.wiley.com/doi/10.1111/jiec.12517</t>
  </si>
  <si>
    <t>https://onlinelibrary.wiley.com/doi/10.1111/jiec.12518</t>
  </si>
  <si>
    <t>Tram single car</t>
  </si>
  <si>
    <t>Poland</t>
  </si>
  <si>
    <t>13;8.82;14.90;none</t>
  </si>
  <si>
    <t xml:space="preserve">Car type 105Na After modernasation; Produced since 2005; Data found under Some observations on tram car energy
consumption calculations </t>
  </si>
  <si>
    <t>https://www.matec-conferences.org/articles/matecconf/pdf/2018/39/matecconf_met2018_02006.pdf</t>
  </si>
  <si>
    <t>tram double car</t>
  </si>
  <si>
    <t>Light Tram</t>
  </si>
  <si>
    <t>Belgium</t>
  </si>
  <si>
    <t>Real Data from the light tram ; Data from Table 11 Page 19</t>
  </si>
  <si>
    <t>https://energie.wallonie.be/servlet/Repository/spw-dgo4-energie-bilanenergetiquewallonie2016-transports-avril2018.pdf?ID=61554</t>
  </si>
  <si>
    <t>https://energie.wallonie.be/servlet/Repository/spw-dgo4-energie-bilanenergetiquewallonie2016-transports-avril2018.pdf?ID=61555</t>
  </si>
  <si>
    <t>https://energie.wallonie.be/servlet/Repository/spw-dgo4-energie-bilanenergetiquewallonie2016-transports-avril2018.pdf?ID=61556</t>
  </si>
  <si>
    <t>light truck</t>
  </si>
  <si>
    <t>https://energie.wallonie.be/servlet/Repository/spw-dgo4-energie-bilanenergetiquewallonie2016-transports-avril2018.pdf?ID=61557</t>
  </si>
  <si>
    <t>Truck</t>
  </si>
  <si>
    <t>https://energie.wallonie.be/servlet/Repository/spw-dgo4-energie-bilanenergetiquewallonie2016-transports-avril2018.pdf?ID=61558</t>
  </si>
  <si>
    <t>https://energie.wallonie.be/servlet/Repository/spw-dgo4-energie-bilanenergetiquewallonie2016-transports-avril2018.pdf?ID=61559</t>
  </si>
  <si>
    <t>Bus-12m</t>
  </si>
  <si>
    <t>Data was estimated is a research paper. GREET model; Data taken from table B.1</t>
  </si>
  <si>
    <t>https://ars.els-cdn.com/content/image/1-s2.0-S0301421509007149-mmc1.pdf</t>
  </si>
  <si>
    <t>gasoline</t>
  </si>
  <si>
    <t>Refer to table 1 in reference for more details; Value taken from table 9</t>
  </si>
  <si>
    <t>https://pdf.sciencedirectassets.com/271098/1-s2.0-S0196890413X00081/1-s2.0-S0196890413002835/main.pdf?X-Amz-Security-Token=IQoJb3JpZ2luX2VjEM7%2F%2F%2F%2F%2F%2F%2F%2F%2F%2FwEaCXVzLWVhc3QtMSJIMEYCIQD%2BmW1WXEViRbBDX9pXl667oR411COzx7VoMwQtQy9gsAIhAPa%2FoQsDBTXFjLRMe%2BQqvL3NaoTQ3ssDM1VjMOPPwqylKrwFCPf%2F%2F%2F%2F%2F%2F%2F%2F%2F%2FwEQBRoMMDU5MDAzNTQ2ODY1IgyQP9znTPKi%2BvP0Oh0qkAVZ7iXAqwV9I0%2B8cOPC%2FHoOi%2FjAbFfEQrTXzEGgCZp%2FZaGxu5fUgttnnI4mUCIo4ik4RHoN8ogB0aq36SlAItByoS0%2BpMLpgkItDRYiatrMdW4d1X46GoPBFQHjK4i5SFkRloUz3qS0vBRvFmYJSE%2F3lr3V5fI00lDzeJ83C3o0XZTyHT4AZlWCL3vZdCeJHIgH7PidAxPECLUXQfcmcqOiaRJFz6IeByMkEnHiSvmrE7HKVvuH6wXPoOjBI96NTFp1ZkaFWs23GHeg34obqNjASZiZwmTJF3VhIZU4yFq1PAb1UXmbm2tWkr%2FzQ9GoE9yy1guudcJRVvizhMvPrI1IVYoZxJlYC5e35ipdppO9skhZcLTQOMQFPDGmuJdm6AUg%2B6cgMdeOXPJlJCe%2B%2BmUd8YMYPzzJb7gsGgFjSIacR0AvPRwCoFi%2BOfuhzJRadLUotfXMLl7eZvwBujPwXweyE0mQ6MuC4s%2F7gikhLZ7LOmpqRXXYVxYrSv0CC5wx37UtNhyw4oJqketpFP2TAmZv94iZOzTU8F2bxGv2AB1fpUsvDd4eyhxS1PX9Gwk9T1iqnbdYDhTsanPA2wOYK%2BVwXheBza4ah735KQo0J4uu1ERk4U1noE5eXBr0gXurHXAGfFAoNi2LzJcwaM97AWJsFhbrygTOq3u0eL%2BOEcef5jA2OVAR9pQZhyg7snRFs0wwJvVHXr%2B83V45yJGoid%2Fv00pQG640wAM4rh6Fcuem2Mdm25X16LvAlNYpX6eTSJF6CbVgUCatcV1SStf1bC9a9CJLxZIDYv7Ur7alxVv3GiBEEko8VDOsCM3bj2kgg29ID05XVITAvqQLjhhwG1wLVqhW5LOD35hogeDa%2Fqlx7jCPzdGwBjqwAZ%2BsRU3y2kpjxurOfH%2B6nFKB1OPnaNsEzG1qsWGpbfYxIZpv2zvQ28VSjFbQODBAmKA77RBhjRaqVcaTQwSLJ35Jxa4Jv2ayeNfLqkfAoH3gGEVYOPMoDrIxbD6xdGxQeL4eOew3mM2sFUJKfsLt7n4krjtbNZKPo8XgZrh%2FZ%2B0%2FX05Yzq23hMOZnOG7UmLyC6L8dCfeMI8X41U5IcDEzYyXtFWc5m4Ukp%2Fa1OsKQOt5&amp;X-Amz-Algorithm=AWS4-HMAC-SHA256&amp;X-Amz-Date=20240408T222043Z&amp;X-Amz-SignedHeaders=host&amp;X-Amz-Expires=300&amp;X-Amz-Credential=ASIAQ3PHCVTY4PXVKVGK%2F20240408%2Fus-east-1%2Fs3%2Faws4_request&amp;X-Amz-Signature=ca292cb751639130920fd4d7a131950c860c2f1604f18884f23c02408cc243a7&amp;hash=cf9318ab8947c92a88e99167857dd040fc3c1a9265744df2a6da29860d57b502&amp;host=68042c943591013ac2b2430a89b270f6af2c76d8dfd086a07176afe7c76c2c61&amp;pii=S0196890413002835&amp;tid=spdf-56ab37a5-2769-4fdf-9611-79c32c69a97e&amp;sid=7219790a15272341351af242db83c3c584eagxrqb&amp;type=client&amp;tsoh=d3d3LnNjaWVuY2VkaXJlY3QuY29t&amp;ua=0b07585650540e5b5357&amp;rr=8715a5732dd17111&amp;cc=ma</t>
  </si>
  <si>
    <t>Madrid</t>
  </si>
  <si>
    <t>Motorcycle</t>
  </si>
  <si>
    <t>Thailand</t>
  </si>
  <si>
    <t xml:space="preserve">Real data The selected electric motorcycle was the Toyotron, Dragon-G. Production year 2015; Value found in table 5 </t>
  </si>
  <si>
    <t>https://www.sciencedirect.com/science/article/pii/S2210670718318031#:~:text=The%20energy%20consumption%20of%20the,energy%20than%20the%20gasoline%20motorcycle.</t>
  </si>
  <si>
    <t>ODP_Short_name</t>
  </si>
  <si>
    <t>Date of ODP sign-off</t>
  </si>
  <si>
    <t>Version number before ODP</t>
  </si>
  <si>
    <t>Version number after ODP</t>
  </si>
  <si>
    <t>old UUID</t>
  </si>
  <si>
    <t>new UUID and reference color</t>
  </si>
  <si>
    <t>Who</t>
  </si>
  <si>
    <t>What - detailed description</t>
  </si>
  <si>
    <t>ODP type</t>
  </si>
  <si>
    <t>List items of ref sheet used</t>
  </si>
  <si>
    <t>Ref3</t>
  </si>
  <si>
    <t>Ref4</t>
  </si>
  <si>
    <t>Ref5</t>
  </si>
  <si>
    <t>Create dataset</t>
  </si>
  <si>
    <t>032d7a5a-cd0f-45ff-ac79-ad03692b8b2f</t>
  </si>
  <si>
    <t>sp</t>
  </si>
  <si>
    <t>datafile created</t>
  </si>
  <si>
    <t>Add othervehicle's energy use data</t>
  </si>
  <si>
    <t>ilhamcheckrad</t>
  </si>
  <si>
    <t>See the Data and Raw_Data sheet for details and references</t>
  </si>
  <si>
    <t>Unit conversion</t>
  </si>
  <si>
    <t>Passenger Vehicle</t>
  </si>
  <si>
    <t>MJ/pkm</t>
  </si>
  <si>
    <t>Freight Vehicle</t>
  </si>
  <si>
    <t>MJ/tkm</t>
  </si>
  <si>
    <t>Pkm</t>
  </si>
  <si>
    <t>vkm*Occupancy</t>
  </si>
  <si>
    <t>tkm</t>
  </si>
  <si>
    <t>vkm*load</t>
  </si>
  <si>
    <t>1 kwh = 3,6 MJ</t>
  </si>
  <si>
    <t>Diesel 1l=34.6 MJ</t>
  </si>
  <si>
    <t>Value Colored with Green are taken directly from source</t>
  </si>
  <si>
    <t>Value Colored with orange are calculated in the raw_data sheet</t>
  </si>
  <si>
    <t>Region</t>
  </si>
  <si>
    <t>Average</t>
  </si>
  <si>
    <t>Fuel Efficiency Estimates l/100km</t>
  </si>
  <si>
    <t>MJ/vkm</t>
  </si>
  <si>
    <t>Passenger Estimate</t>
  </si>
  <si>
    <t>Diesel</t>
  </si>
  <si>
    <t>Passenger Bus</t>
  </si>
  <si>
    <t>l/100km</t>
  </si>
  <si>
    <t>Electric</t>
  </si>
  <si>
    <t>High-Speed Passenger Rail</t>
  </si>
  <si>
    <t>Load Estimates (tonnes)</t>
  </si>
  <si>
    <t>Light Commercial Vehicles</t>
  </si>
  <si>
    <t>Source: https://www.acea.auto/files/ACEA-report-vehicles-in-use-europe-2023.pdf</t>
  </si>
  <si>
    <r>
      <rPr>
        <b/>
        <sz val="8.5"/>
        <rFont val="Roboto Bk"/>
      </rPr>
      <t>Petrol        Diesel</t>
    </r>
  </si>
  <si>
    <r>
      <rPr>
        <b/>
        <sz val="8.5"/>
        <rFont val="Roboto Bk"/>
      </rPr>
      <t>Battery electric</t>
    </r>
  </si>
  <si>
    <r>
      <rPr>
        <b/>
        <sz val="8.5"/>
        <rFont val="Roboto Bk"/>
      </rPr>
      <t>Plug-in hybrid</t>
    </r>
  </si>
  <si>
    <r>
      <rPr>
        <b/>
        <sz val="8.5"/>
        <rFont val="Roboto Bk"/>
      </rPr>
      <t>Hybrid electric</t>
    </r>
  </si>
  <si>
    <r>
      <rPr>
        <b/>
        <sz val="8.5"/>
        <rFont val="Roboto Bk"/>
      </rPr>
      <t xml:space="preserve">Natural
</t>
    </r>
    <r>
      <rPr>
        <b/>
        <sz val="8.5"/>
        <rFont val="Roboto Bk"/>
      </rPr>
      <t>gas</t>
    </r>
  </si>
  <si>
    <r>
      <rPr>
        <b/>
        <sz val="8.5"/>
        <rFont val="Roboto Bk"/>
      </rPr>
      <t>LPG</t>
    </r>
  </si>
  <si>
    <r>
      <rPr>
        <b/>
        <sz val="8.5"/>
        <rFont val="Roboto Bk"/>
      </rPr>
      <t>Other</t>
    </r>
  </si>
  <si>
    <r>
      <rPr>
        <b/>
        <sz val="8.5"/>
        <rFont val="Roboto Bk"/>
      </rPr>
      <t>Unknown</t>
    </r>
  </si>
  <si>
    <r>
      <rPr>
        <b/>
        <sz val="8.5"/>
        <rFont val="Roboto Bk"/>
      </rPr>
      <t>Austria</t>
    </r>
  </si>
  <si>
    <r>
      <rPr>
        <sz val="8.5"/>
        <color rgb="FF575756"/>
        <rFont val="Roboto Lt"/>
      </rPr>
      <t>4.3%         94.3%</t>
    </r>
  </si>
  <si>
    <r>
      <rPr>
        <b/>
        <sz val="8.5"/>
        <rFont val="Roboto Bk"/>
      </rPr>
      <t>Belgium</t>
    </r>
  </si>
  <si>
    <r>
      <rPr>
        <sz val="8.5"/>
        <color rgb="FF575756"/>
        <rFont val="Roboto Lt"/>
      </rPr>
      <t>6.3%         90.9%</t>
    </r>
  </si>
  <si>
    <r>
      <rPr>
        <b/>
        <sz val="8.5"/>
        <rFont val="Roboto Bk"/>
      </rPr>
      <t>Croatia</t>
    </r>
  </si>
  <si>
    <r>
      <rPr>
        <sz val="8.5"/>
        <color rgb="FF575756"/>
        <rFont val="Roboto Lt"/>
      </rPr>
      <t>3.0%         96.0%</t>
    </r>
  </si>
  <si>
    <r>
      <rPr>
        <b/>
        <sz val="8.5"/>
        <rFont val="Roboto Bk"/>
      </rPr>
      <t>Cyprus</t>
    </r>
  </si>
  <si>
    <r>
      <rPr>
        <sz val="8.5"/>
        <color rgb="FF575756"/>
        <rFont val="Roboto Lt"/>
      </rPr>
      <t>5.1%         94.8%</t>
    </r>
  </si>
  <si>
    <r>
      <rPr>
        <b/>
        <sz val="8.5"/>
        <rFont val="Roboto Bk"/>
      </rPr>
      <t>Czech Republic</t>
    </r>
  </si>
  <si>
    <r>
      <rPr>
        <sz val="8.5"/>
        <color rgb="FF575756"/>
        <rFont val="Roboto Lt"/>
      </rPr>
      <t>16.0%         80.3%</t>
    </r>
  </si>
  <si>
    <r>
      <rPr>
        <b/>
        <sz val="8.5"/>
        <rFont val="Roboto Bk"/>
      </rPr>
      <t>Denmark</t>
    </r>
  </si>
  <si>
    <r>
      <rPr>
        <sz val="8.5"/>
        <color rgb="FF575756"/>
        <rFont val="Roboto Lt"/>
      </rPr>
      <t>9.3%         89.1%</t>
    </r>
  </si>
  <si>
    <r>
      <rPr>
        <b/>
        <sz val="8.5"/>
        <rFont val="Roboto Bk"/>
      </rPr>
      <t>Estonia</t>
    </r>
  </si>
  <si>
    <r>
      <rPr>
        <sz val="8.5"/>
        <color rgb="FF575756"/>
        <rFont val="Roboto Lt"/>
      </rPr>
      <t>14.3%         85.2%</t>
    </r>
  </si>
  <si>
    <r>
      <rPr>
        <b/>
        <sz val="8.5"/>
        <rFont val="Roboto Bk"/>
      </rPr>
      <t>Finland</t>
    </r>
  </si>
  <si>
    <r>
      <rPr>
        <sz val="8.5"/>
        <color rgb="FF575756"/>
        <rFont val="Roboto Lt"/>
      </rPr>
      <t>2.7%         96.7%</t>
    </r>
  </si>
  <si>
    <r>
      <rPr>
        <b/>
        <sz val="8.5"/>
        <rFont val="Roboto Bk"/>
      </rPr>
      <t>France</t>
    </r>
  </si>
  <si>
    <r>
      <rPr>
        <sz val="8.5"/>
        <color rgb="FF575756"/>
        <rFont val="Roboto Lt"/>
      </rPr>
      <t>3.6%         95.0%</t>
    </r>
  </si>
  <si>
    <r>
      <rPr>
        <b/>
        <sz val="8.5"/>
        <rFont val="Roboto Bk"/>
      </rPr>
      <t>Germany</t>
    </r>
  </si>
  <si>
    <r>
      <rPr>
        <sz val="8.5"/>
        <color rgb="FF575756"/>
        <rFont val="Roboto Lt"/>
      </rPr>
      <t>5.0%         92.4%</t>
    </r>
  </si>
  <si>
    <r>
      <rPr>
        <b/>
        <sz val="8.5"/>
        <rFont val="Roboto Bk"/>
      </rPr>
      <t>Greece</t>
    </r>
  </si>
  <si>
    <r>
      <rPr>
        <sz val="8.5"/>
        <color rgb="FF575756"/>
        <rFont val="Roboto Lt"/>
      </rPr>
      <t>38.8%         41.4%</t>
    </r>
  </si>
  <si>
    <r>
      <rPr>
        <b/>
        <sz val="8.5"/>
        <rFont val="Roboto Bk"/>
      </rPr>
      <t>Hungary</t>
    </r>
  </si>
  <si>
    <r>
      <rPr>
        <sz val="8.5"/>
        <color rgb="FF575756"/>
        <rFont val="Roboto Lt"/>
      </rPr>
      <t>3.4%         96.1%</t>
    </r>
  </si>
  <si>
    <r>
      <rPr>
        <b/>
        <sz val="8.5"/>
        <rFont val="Roboto Bk"/>
      </rPr>
      <t>Ireland</t>
    </r>
  </si>
  <si>
    <r>
      <rPr>
        <sz val="8.5"/>
        <color rgb="FF575756"/>
        <rFont val="Roboto Lt"/>
      </rPr>
      <t>0.6%         98.1%</t>
    </r>
  </si>
  <si>
    <r>
      <rPr>
        <b/>
        <sz val="8.5"/>
        <rFont val="Roboto Bk"/>
      </rPr>
      <t>Italy</t>
    </r>
  </si>
  <si>
    <r>
      <rPr>
        <sz val="8.5"/>
        <color rgb="FF575756"/>
        <rFont val="Roboto Lt"/>
      </rPr>
      <t>4.9%         90.7%</t>
    </r>
  </si>
  <si>
    <r>
      <rPr>
        <b/>
        <sz val="8.5"/>
        <rFont val="Roboto Bk"/>
      </rPr>
      <t>Latvia</t>
    </r>
  </si>
  <si>
    <r>
      <rPr>
        <sz val="8.5"/>
        <color rgb="FF575756"/>
        <rFont val="Roboto Lt"/>
      </rPr>
      <t>3.9%         95.4%</t>
    </r>
  </si>
  <si>
    <r>
      <rPr>
        <sz val="8.5"/>
        <color rgb="FF575756"/>
        <rFont val="Roboto Lt"/>
      </rPr>
      <t>0,1%</t>
    </r>
  </si>
  <si>
    <r>
      <rPr>
        <b/>
        <sz val="8.5"/>
        <rFont val="Roboto Bk"/>
      </rPr>
      <t>Lithuania</t>
    </r>
  </si>
  <si>
    <r>
      <rPr>
        <sz val="8.5"/>
        <color rgb="FF575756"/>
        <rFont val="Roboto Lt"/>
      </rPr>
      <t>2.0%         96.0%</t>
    </r>
  </si>
  <si>
    <r>
      <rPr>
        <b/>
        <sz val="8.5"/>
        <rFont val="Roboto Bk"/>
      </rPr>
      <t>Luxembourg</t>
    </r>
  </si>
  <si>
    <r>
      <rPr>
        <b/>
        <sz val="8.5"/>
        <rFont val="Roboto Bk"/>
      </rPr>
      <t>Netherlands</t>
    </r>
  </si>
  <si>
    <r>
      <rPr>
        <sz val="8.5"/>
        <color rgb="FF575756"/>
        <rFont val="Roboto Lt"/>
      </rPr>
      <t>3.3%         93.3%</t>
    </r>
  </si>
  <si>
    <r>
      <rPr>
        <b/>
        <sz val="8.5"/>
        <rFont val="Roboto Bk"/>
      </rPr>
      <t>Poland</t>
    </r>
  </si>
  <si>
    <r>
      <rPr>
        <sz val="8.5"/>
        <color rgb="FF575756"/>
        <rFont val="Roboto Lt"/>
      </rPr>
      <t>6.6%         88.6%</t>
    </r>
  </si>
  <si>
    <r>
      <rPr>
        <b/>
        <sz val="8.5"/>
        <rFont val="Roboto Bk"/>
      </rPr>
      <t>Portugal</t>
    </r>
  </si>
  <si>
    <r>
      <rPr>
        <sz val="8.5"/>
        <color rgb="FF575756"/>
        <rFont val="Roboto Lt"/>
      </rPr>
      <t>0.2%         99.6%</t>
    </r>
  </si>
  <si>
    <r>
      <rPr>
        <b/>
        <sz val="8.5"/>
        <rFont val="Roboto Bk"/>
      </rPr>
      <t>Romania</t>
    </r>
  </si>
  <si>
    <r>
      <rPr>
        <sz val="8.5"/>
        <color rgb="FF575756"/>
        <rFont val="Roboto Lt"/>
      </rPr>
      <t>9.9%         86.0%</t>
    </r>
  </si>
  <si>
    <r>
      <rPr>
        <b/>
        <sz val="8.5"/>
        <rFont val="Roboto Bk"/>
      </rPr>
      <t>Slovakia</t>
    </r>
  </si>
  <si>
    <r>
      <rPr>
        <sz val="8.5"/>
        <color rgb="FF575756"/>
        <rFont val="Roboto Lt"/>
      </rPr>
      <t>13.6%         83.2%</t>
    </r>
  </si>
  <si>
    <r>
      <rPr>
        <b/>
        <sz val="8.5"/>
        <rFont val="Roboto Bk"/>
      </rPr>
      <t>Slovenia</t>
    </r>
  </si>
  <si>
    <r>
      <rPr>
        <sz val="8.5"/>
        <color rgb="FF575756"/>
        <rFont val="Roboto Lt"/>
      </rPr>
      <t>4.0%         95.2%</t>
    </r>
  </si>
  <si>
    <r>
      <rPr>
        <b/>
        <sz val="8.5"/>
        <rFont val="Roboto Bk"/>
      </rPr>
      <t>Spain</t>
    </r>
  </si>
  <si>
    <r>
      <rPr>
        <sz val="8.5"/>
        <color rgb="FF575756"/>
        <rFont val="Roboto Lt"/>
      </rPr>
      <t>4.9%         94.1%</t>
    </r>
  </si>
  <si>
    <r>
      <rPr>
        <b/>
        <sz val="8.5"/>
        <rFont val="Roboto Bk"/>
      </rPr>
      <t>Sweden</t>
    </r>
  </si>
  <si>
    <r>
      <rPr>
        <sz val="8.5"/>
        <color rgb="FF575756"/>
        <rFont val="Roboto Lt"/>
      </rPr>
      <t>7.3%         89.2%</t>
    </r>
  </si>
  <si>
    <r>
      <rPr>
        <b/>
        <sz val="8.5"/>
        <color rgb="FF002E40"/>
        <rFont val="Roboto Cn"/>
      </rPr>
      <t>EUROPEAN UNION</t>
    </r>
  </si>
  <si>
    <r>
      <rPr>
        <b/>
        <sz val="8.5"/>
        <color rgb="FFFFFFFF"/>
        <rFont val="Roboto Cn"/>
      </rPr>
      <t>6.0%         91.0%</t>
    </r>
  </si>
  <si>
    <r>
      <rPr>
        <b/>
        <sz val="8.5"/>
        <rFont val="Roboto Bk"/>
      </rPr>
      <t>Iceland</t>
    </r>
  </si>
  <si>
    <r>
      <rPr>
        <sz val="8.5"/>
        <color rgb="FF575756"/>
        <rFont val="Roboto Lt"/>
      </rPr>
      <t>14.4%         83.2%</t>
    </r>
  </si>
  <si>
    <r>
      <rPr>
        <b/>
        <sz val="8.5"/>
        <rFont val="Roboto Bk"/>
      </rPr>
      <t>Norway</t>
    </r>
  </si>
  <si>
    <r>
      <rPr>
        <sz val="8.5"/>
        <color rgb="FF575756"/>
        <rFont val="Roboto Lt"/>
      </rPr>
      <t>4.0%         93.0%</t>
    </r>
  </si>
  <si>
    <r>
      <rPr>
        <b/>
        <sz val="8.5"/>
        <rFont val="Roboto Bk"/>
      </rPr>
      <t>Switzerland</t>
    </r>
  </si>
  <si>
    <r>
      <rPr>
        <sz val="8.5"/>
        <color rgb="FF575756"/>
        <rFont val="Roboto Lt"/>
      </rPr>
      <t>13.8%         84.7%</t>
    </r>
  </si>
  <si>
    <r>
      <rPr>
        <b/>
        <sz val="8.5"/>
        <rFont val="Roboto Bk"/>
      </rPr>
      <t>United Kingdom</t>
    </r>
  </si>
  <si>
    <r>
      <rPr>
        <sz val="8.5"/>
        <color rgb="FF575756"/>
        <rFont val="Roboto Lt"/>
      </rPr>
      <t>4.1%         95.1%</t>
    </r>
  </si>
  <si>
    <t>Medium &amp; Heavy Commercial vehicles</t>
  </si>
  <si>
    <r>
      <rPr>
        <sz val="8.5"/>
        <color rgb="FF575756"/>
        <rFont val="Roboto Lt"/>
      </rPr>
      <t>0.0%         99.7%</t>
    </r>
  </si>
  <si>
    <r>
      <rPr>
        <sz val="8.5"/>
        <color rgb="FF575756"/>
        <rFont val="Roboto Lt"/>
      </rPr>
      <t>0.6%         95.8%</t>
    </r>
  </si>
  <si>
    <r>
      <rPr>
        <sz val="8.5"/>
        <color rgb="FF575756"/>
        <rFont val="Roboto Lt"/>
      </rPr>
      <t>0.0%         99.9%</t>
    </r>
  </si>
  <si>
    <r>
      <rPr>
        <sz val="8.5"/>
        <color rgb="FF575756"/>
        <rFont val="Roboto Lt"/>
      </rPr>
      <t>0.1%         99.9%</t>
    </r>
  </si>
  <si>
    <r>
      <rPr>
        <sz val="8.5"/>
        <color rgb="FF575756"/>
        <rFont val="Roboto Lt"/>
      </rPr>
      <t>0.6%         94.1%</t>
    </r>
  </si>
  <si>
    <r>
      <rPr>
        <sz val="8.5"/>
        <color rgb="FF575756"/>
        <rFont val="Roboto Lt"/>
      </rPr>
      <t>0.6%         98.5%</t>
    </r>
  </si>
  <si>
    <r>
      <rPr>
        <sz val="8.5"/>
        <color rgb="FF575756"/>
        <rFont val="Roboto Lt"/>
      </rPr>
      <t>14.3%         85.4%</t>
    </r>
  </si>
  <si>
    <r>
      <rPr>
        <sz val="8.5"/>
        <color rgb="FF575756"/>
        <rFont val="Roboto Lt"/>
      </rPr>
      <t>2.3%         97.1%</t>
    </r>
  </si>
  <si>
    <r>
      <rPr>
        <sz val="8.5"/>
        <color rgb="FF575756"/>
        <rFont val="Roboto Lt"/>
      </rPr>
      <t>0.0%         98.4%</t>
    </r>
  </si>
  <si>
    <r>
      <rPr>
        <sz val="8.5"/>
        <color rgb="FF575756"/>
        <rFont val="Roboto Lt"/>
      </rPr>
      <t>0.2%         99.4%</t>
    </r>
  </si>
  <si>
    <r>
      <rPr>
        <sz val="8.5"/>
        <color rgb="FF575756"/>
        <rFont val="Roboto Lt"/>
      </rPr>
      <t>0.1%         56.3%</t>
    </r>
  </si>
  <si>
    <r>
      <rPr>
        <sz val="8.5"/>
        <color rgb="FF575756"/>
        <rFont val="Roboto Lt"/>
      </rPr>
      <t>0.6%         99.3%</t>
    </r>
  </si>
  <si>
    <r>
      <rPr>
        <sz val="8.5"/>
        <color rgb="FF575756"/>
        <rFont val="Roboto Lt"/>
      </rPr>
      <t>0.1%         99.7%</t>
    </r>
  </si>
  <si>
    <r>
      <rPr>
        <sz val="8.5"/>
        <color rgb="FF575756"/>
        <rFont val="Roboto Lt"/>
      </rPr>
      <t>0.8%         98.3%</t>
    </r>
  </si>
  <si>
    <r>
      <rPr>
        <sz val="8.5"/>
        <color rgb="FF575756"/>
        <rFont val="Roboto Lt"/>
      </rPr>
      <t>2.1%         96.5%</t>
    </r>
  </si>
  <si>
    <r>
      <rPr>
        <sz val="8.5"/>
        <color rgb="FF575756"/>
        <rFont val="Roboto Lt"/>
      </rPr>
      <t>0.8%         98.1%</t>
    </r>
  </si>
  <si>
    <r>
      <rPr>
        <sz val="8.5"/>
        <color rgb="FF575756"/>
        <rFont val="Roboto Lt"/>
      </rPr>
      <t>0.3%         98.9%</t>
    </r>
  </si>
  <si>
    <r>
      <rPr>
        <sz val="8.5"/>
        <color rgb="FF575756"/>
        <rFont val="Roboto Lt"/>
      </rPr>
      <t>0.8%         97.7%</t>
    </r>
  </si>
  <si>
    <r>
      <rPr>
        <sz val="8.5"/>
        <color rgb="FF575756"/>
        <rFont val="Roboto Lt"/>
      </rPr>
      <t>0.2%         97.7%</t>
    </r>
  </si>
  <si>
    <r>
      <rPr>
        <sz val="8.5"/>
        <color rgb="FF575756"/>
        <rFont val="Roboto Lt"/>
      </rPr>
      <t>0.0%         99.6%</t>
    </r>
  </si>
  <si>
    <r>
      <rPr>
        <sz val="8.5"/>
        <color rgb="FF575756"/>
        <rFont val="Roboto Lt"/>
      </rPr>
      <t>0.7%         99.3%</t>
    </r>
  </si>
  <si>
    <r>
      <rPr>
        <sz val="8.5"/>
        <color rgb="FF575756"/>
        <rFont val="Roboto Lt"/>
      </rPr>
      <t>0.1%         96.2%</t>
    </r>
  </si>
  <si>
    <r>
      <rPr>
        <sz val="8.5"/>
        <color rgb="FF575756"/>
        <rFont val="Roboto Lt"/>
      </rPr>
      <t>0.1%         99.6%</t>
    </r>
  </si>
  <si>
    <r>
      <rPr>
        <sz val="8.5"/>
        <color rgb="FF575756"/>
        <rFont val="Roboto Lt"/>
      </rPr>
      <t>0.0%         99.1%</t>
    </r>
  </si>
  <si>
    <r>
      <rPr>
        <sz val="8.5"/>
        <color rgb="FF575756"/>
        <rFont val="Roboto Lt"/>
      </rPr>
      <t>1.1%         97.0%</t>
    </r>
  </si>
  <si>
    <r>
      <rPr>
        <b/>
        <sz val="8.5"/>
        <color rgb="FFFFFFFF"/>
        <rFont val="Roboto Cn"/>
      </rPr>
      <t>0.5%         96.4%</t>
    </r>
  </si>
  <si>
    <r>
      <rPr>
        <sz val="8.5"/>
        <color rgb="FF575756"/>
        <rFont val="Roboto Lt"/>
      </rPr>
      <t>2.4%         97.4%</t>
    </r>
  </si>
  <si>
    <r>
      <rPr>
        <sz val="8.5"/>
        <color rgb="FF575756"/>
        <rFont val="Roboto Lt"/>
      </rPr>
      <t>2.8%         96.3%</t>
    </r>
  </si>
  <si>
    <r>
      <rPr>
        <sz val="8.5"/>
        <color rgb="FF575756"/>
        <rFont val="Roboto Lt"/>
      </rPr>
      <t>0.4%         98.9%</t>
    </r>
  </si>
  <si>
    <r>
      <rPr>
        <sz val="8.5"/>
        <color rgb="FF575756"/>
        <rFont val="Roboto Lt"/>
      </rPr>
      <t>0.9%         98.5%</t>
    </r>
  </si>
  <si>
    <t>Buses</t>
  </si>
  <si>
    <r>
      <rPr>
        <sz val="8.5"/>
        <color rgb="FF575756"/>
        <rFont val="Roboto Lt"/>
      </rPr>
      <t>0.0%         95.0%</t>
    </r>
  </si>
  <si>
    <r>
      <rPr>
        <sz val="8.5"/>
        <color rgb="FF575756"/>
        <rFont val="Roboto Lt"/>
      </rPr>
      <t>0.7%         87.9%</t>
    </r>
  </si>
  <si>
    <r>
      <rPr>
        <sz val="8.5"/>
        <color rgb="FF575756"/>
        <rFont val="Roboto Lt"/>
      </rPr>
      <t>0.0%         97.0%</t>
    </r>
  </si>
  <si>
    <r>
      <rPr>
        <sz val="8.5"/>
        <color rgb="FF575756"/>
        <rFont val="Roboto Lt"/>
      </rPr>
      <t>0.0%         87.5%</t>
    </r>
  </si>
  <si>
    <r>
      <rPr>
        <sz val="8.5"/>
        <color rgb="FF575756"/>
        <rFont val="Roboto Lt"/>
      </rPr>
      <t>0.3%         93.8%</t>
    </r>
  </si>
  <si>
    <r>
      <rPr>
        <sz val="8.5"/>
        <color rgb="FF575756"/>
        <rFont val="Roboto Lt"/>
      </rPr>
      <t>4.0%         87.0%</t>
    </r>
  </si>
  <si>
    <r>
      <rPr>
        <sz val="8.5"/>
        <color rgb="FF575756"/>
        <rFont val="Roboto Lt"/>
      </rPr>
      <t>0.2%         96.6%</t>
    </r>
  </si>
  <si>
    <r>
      <rPr>
        <sz val="8.5"/>
        <color rgb="FF575756"/>
        <rFont val="Roboto Lt"/>
      </rPr>
      <t>0.0%         89.7%</t>
    </r>
  </si>
  <si>
    <r>
      <rPr>
        <sz val="8.5"/>
        <color rgb="FF575756"/>
        <rFont val="Roboto Lt"/>
      </rPr>
      <t>0.1%         92.6%</t>
    </r>
  </si>
  <si>
    <r>
      <rPr>
        <sz val="8.5"/>
        <color rgb="FF575756"/>
        <rFont val="Roboto Lt"/>
      </rPr>
      <t>0.0%         94.1%</t>
    </r>
  </si>
  <si>
    <r>
      <rPr>
        <sz val="8.5"/>
        <color rgb="FF575756"/>
        <rFont val="Roboto Lt"/>
      </rPr>
      <t>0.3%         97.1%</t>
    </r>
  </si>
  <si>
    <r>
      <rPr>
        <sz val="8.5"/>
        <color rgb="FF575756"/>
        <rFont val="Roboto Lt"/>
      </rPr>
      <t>0.0%         96.4%</t>
    </r>
  </si>
  <si>
    <r>
      <rPr>
        <sz val="8.5"/>
        <color rgb="FF575756"/>
        <rFont val="Roboto Lt"/>
      </rPr>
      <t>0.4%         93.3%</t>
    </r>
  </si>
  <si>
    <r>
      <rPr>
        <sz val="8.5"/>
        <color rgb="FF575756"/>
        <rFont val="Roboto Lt"/>
      </rPr>
      <t>0.1%         98.3%</t>
    </r>
  </si>
  <si>
    <r>
      <rPr>
        <sz val="8.5"/>
        <color rgb="FF575756"/>
        <rFont val="Roboto Lt"/>
      </rPr>
      <t>0.1%         88.0%</t>
    </r>
  </si>
  <si>
    <r>
      <rPr>
        <sz val="8.5"/>
        <color rgb="FF575756"/>
        <rFont val="Roboto Lt"/>
      </rPr>
      <t>0.0%         83.0%</t>
    </r>
  </si>
  <si>
    <r>
      <rPr>
        <sz val="8.5"/>
        <color rgb="FF575756"/>
        <rFont val="Roboto Lt"/>
      </rPr>
      <t>0.2%         76.9%</t>
    </r>
  </si>
  <si>
    <r>
      <rPr>
        <sz val="8.5"/>
        <color rgb="FF575756"/>
        <rFont val="Roboto Lt"/>
      </rPr>
      <t>0.3%         96.4%</t>
    </r>
  </si>
  <si>
    <r>
      <rPr>
        <sz val="8.5"/>
        <color rgb="FF575756"/>
        <rFont val="Roboto Lt"/>
      </rPr>
      <t>0.1%         94.8%</t>
    </r>
  </si>
  <si>
    <r>
      <rPr>
        <sz val="8.5"/>
        <color rgb="FF575756"/>
        <rFont val="Roboto Lt"/>
      </rPr>
      <t>0.2%         98.6%</t>
    </r>
  </si>
  <si>
    <r>
      <rPr>
        <sz val="8.5"/>
        <color rgb="FF575756"/>
        <rFont val="Roboto Lt"/>
      </rPr>
      <t>0.5%         92.3%</t>
    </r>
  </si>
  <si>
    <r>
      <rPr>
        <sz val="8.5"/>
        <color rgb="FF575756"/>
        <rFont val="Roboto Lt"/>
      </rPr>
      <t>0.2%         90.5%</t>
    </r>
  </si>
  <si>
    <r>
      <rPr>
        <sz val="8.5"/>
        <color rgb="FF575756"/>
        <rFont val="Roboto Lt"/>
      </rPr>
      <t>0.3%         72.6%</t>
    </r>
  </si>
  <si>
    <r>
      <rPr>
        <b/>
        <sz val="8.5"/>
        <color rgb="FFFFFFFF"/>
        <rFont val="Roboto Cn"/>
      </rPr>
      <t>0.2%         92.5%</t>
    </r>
  </si>
  <si>
    <r>
      <rPr>
        <sz val="8.5"/>
        <color rgb="FF575756"/>
        <rFont val="Roboto Lt"/>
      </rPr>
      <t>2.2%         96.1%</t>
    </r>
  </si>
  <si>
    <r>
      <rPr>
        <sz val="8.5"/>
        <color rgb="FF575756"/>
        <rFont val="Roboto Lt"/>
      </rPr>
      <t>1.1%         90.5%</t>
    </r>
  </si>
  <si>
    <r>
      <rPr>
        <sz val="8.5"/>
        <color rgb="FF575756"/>
        <rFont val="Roboto Lt"/>
      </rPr>
      <t>0.5%         90.6%</t>
    </r>
  </si>
  <si>
    <r>
      <rPr>
        <sz val="8.5"/>
        <color rgb="FF575756"/>
        <rFont val="Roboto Lt"/>
      </rPr>
      <t>0.2%         97.6%</t>
    </r>
  </si>
  <si>
    <t>Transit Buses</t>
  </si>
  <si>
    <t>1996-2021</t>
  </si>
  <si>
    <t>2.01</t>
  </si>
  <si>
    <t>pkm</t>
  </si>
  <si>
    <t>Compressed Natural Gas</t>
  </si>
  <si>
    <t>Bio-diesel</t>
  </si>
  <si>
    <t>2002-2021</t>
  </si>
  <si>
    <t>Liquefied natural gas</t>
  </si>
  <si>
    <t>Gasoline</t>
  </si>
  <si>
    <t>1997-2021</t>
  </si>
  <si>
    <t>1998-2021</t>
  </si>
  <si>
    <t xml:space="preserve">Motorcycle </t>
  </si>
  <si>
    <t>2001-2016</t>
  </si>
  <si>
    <t xml:space="preserve">Light duty Vehicle Short </t>
  </si>
  <si>
    <t>2001-2017</t>
  </si>
  <si>
    <t>light duty Vehicle long</t>
  </si>
  <si>
    <t>2001-2018</t>
  </si>
  <si>
    <t>Class I Railroad Freight Service</t>
  </si>
  <si>
    <t>1990-2021</t>
  </si>
  <si>
    <t>Passenger train</t>
  </si>
  <si>
    <t>1990-2022</t>
  </si>
  <si>
    <t xml:space="preserve">Regional rail passenger transport </t>
  </si>
  <si>
    <t>2020-2021</t>
  </si>
  <si>
    <t xml:space="preserve">Long-distance rail passenger transport </t>
  </si>
  <si>
    <t>Unkn</t>
  </si>
  <si>
    <t>Bus Transport</t>
  </si>
  <si>
    <t>Rail freight Transport</t>
  </si>
  <si>
    <t>Road freight Transport</t>
  </si>
  <si>
    <t>vkm</t>
  </si>
  <si>
    <t>compresed Natural Gas</t>
  </si>
  <si>
    <t>Bio_diesel</t>
  </si>
  <si>
    <t>Liquefied Natural Gas</t>
  </si>
  <si>
    <t>Power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</si>
  <si>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</si>
  <si>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</si>
  <si>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</si>
  <si>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</si>
  <si>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</si>
  <si>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</si>
  <si>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</si>
  <si>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</si>
  <si>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</si>
  <si>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</si>
  <si>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v1.0</t>
  </si>
  <si>
    <t>IEDC_V1</t>
  </si>
  <si>
    <t>Grouping</t>
  </si>
  <si>
    <t>datagroup_id</t>
  </si>
  <si>
    <t>CIRCOMOD_D4.2_Product_Module</t>
  </si>
  <si>
    <t>data_category</t>
  </si>
  <si>
    <t>data_type</t>
  </si>
  <si>
    <t>data_layer</t>
  </si>
  <si>
    <t>Misc. physical units</t>
  </si>
  <si>
    <t>System location: What elements and objects in the system are described?</t>
  </si>
  <si>
    <t>process_scope</t>
  </si>
  <si>
    <t>product manufacturing processes</t>
  </si>
  <si>
    <t>Aspects_Attribute_No</t>
  </si>
  <si>
    <t>process_resolution</t>
  </si>
  <si>
    <t>project-wide commodity production/treatment processes</t>
  </si>
  <si>
    <t>product_scope</t>
  </si>
  <si>
    <t>product</t>
  </si>
  <si>
    <t>product_resolution</t>
  </si>
  <si>
    <t>project-wide product</t>
  </si>
  <si>
    <t>material_scope</t>
  </si>
  <si>
    <t>engineering material, product</t>
  </si>
  <si>
    <t>stats_array_string</t>
  </si>
  <si>
    <t>material_resolution</t>
  </si>
  <si>
    <t>project-wide material and waste groups</t>
  </si>
  <si>
    <t>regional_scope</t>
  </si>
  <si>
    <t>idec_2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</si>
  <si>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</si>
  <si>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</si>
  <si>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</si>
  <si>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</si>
  <si>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</si>
  <si>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</si>
  <si>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</si>
  <si>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</si>
  <si>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Per unit-of-output energy demand of the different processes</t>
  </si>
  <si>
    <t>keywords</t>
  </si>
  <si>
    <t>product production; energy intensity; unit process;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</si>
  <si>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</si>
  <si>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</si>
  <si>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</si>
  <si>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</si>
  <si>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</si>
  <si>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</si>
  <si>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</si>
  <si>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</si>
  <si>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</si>
  <si>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</si>
  <si>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</si>
  <si>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</si>
  <si>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</si>
  <si>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</si>
  <si>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</si>
  <si>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</si>
  <si>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</si>
  <si>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</si>
  <si>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</si>
  <si>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</si>
  <si>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</si>
  <si>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</si>
  <si>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</si>
  <si>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</si>
  <si>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</si>
  <si>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</si>
  <si>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</si>
  <si>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</si>
  <si>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</si>
  <si>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</si>
  <si>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semantic_string_example</t>
  </si>
  <si>
    <t>Per unit-of-output energy demand of the different processes. Ex: Ext(Electricity demand, aluminium smelting, Brazil, 2020) = 13.5 GJ/ton</t>
  </si>
  <si>
    <t>semantic_string_general</t>
  </si>
  <si>
    <t>[Layer] of [energy carriers] in producing [product_type] in [manufacturing process] in [year of producing] in [region] for [CE strategy] is [value].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</si>
  <si>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</si>
  <si>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</si>
  <si>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</si>
  <si>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</si>
  <si>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</si>
  <si>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</si>
  <si>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</si>
  <si>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</si>
  <si>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</si>
  <si>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</si>
  <si>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</si>
  <si>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</si>
  <si>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</si>
  <si>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</si>
  <si>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</si>
  <si>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</si>
  <si>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</si>
  <si>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</si>
  <si>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</si>
  <si>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</si>
  <si>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</si>
  <si>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</si>
  <si>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</si>
  <si>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</si>
  <si>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</si>
  <si>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</si>
  <si>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</si>
  <si>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Assumption based on compilation from scientific literature and expert estimates, mass balance</t>
  </si>
  <si>
    <t>Publicly available report or research article</t>
  </si>
  <si>
    <t>miscellaneous licenses, see the comments in the dataset</t>
  </si>
  <si>
    <t>Specific energy consumption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</si>
</sst>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color rgb="FF575756"/>
      <name val="Roboto Lt"/>
      <family val="2"/>
    </font>
    <font>
      <sz val="8.5"/>
      <name val="Roboto Lt"/>
    </font>
    <font>
      <sz val="8.5"/>
      <color rgb="FF575756"/>
      <name val="Roboto Lt"/>
    </font>
    <font>
      <b/>
      <sz val="8.5"/>
      <name val="Roboto Bk"/>
    </font>
    <font>
      <b/>
      <sz val="8.5"/>
      <color rgb="FFFFFFFF"/>
      <name val="Roboto Cn"/>
      <family val="2"/>
    </font>
    <font>
      <b/>
      <sz val="8.5"/>
      <name val="Roboto Cn"/>
    </font>
    <font>
      <b/>
      <sz val="8.5"/>
      <color rgb="FFFFFFFF"/>
      <name val="Roboto Cn"/>
    </font>
    <font>
      <b/>
      <sz val="8.5"/>
      <color rgb="FF002E40"/>
      <name val="Roboto Cn"/>
    </font>
    <font>
      <b/>
      <sz val="12"/>
      <color theme="1"/>
      <name val="Calibri (Body)"/>
    </font>
    <font>
      <u/>
      <sz val="11"/>
      <color theme="10"/>
      <name val="Calibri"/>
      <family val="2"/>
      <scheme val="minor"/>
    </font>
    <font>
      <sz val="11"/>
      <color theme="1"/>
      <name val="Calibri (Body)"/>
    </font>
    <font>
      <b/>
      <sz val="10"/>
      <name val="Arial"/>
      <family val="2"/>
    </font>
    <font>
      <sz val="11"/>
      <name val="Calibri"/>
      <family val="3"/>
      <charset val="134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</patternFill>
    </fill>
    <fill>
      <patternFill patternType="solid">
        <fgColor rgb="FF002E40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989DA8"/>
      </top>
      <bottom style="thin">
        <color rgb="FF989DA8"/>
      </bottom>
      <diagonal/>
    </border>
    <border>
      <left/>
      <right/>
      <top style="thin">
        <color rgb="FFC6C6C6"/>
      </top>
      <bottom style="thin">
        <color rgb="FF989DA8"/>
      </bottom>
      <diagonal/>
    </border>
    <border>
      <left/>
      <right/>
      <top/>
      <bottom style="thin">
        <color rgb="FFC6C6C6"/>
      </bottom>
      <diagonal/>
    </border>
    <border>
      <left/>
      <right/>
      <top style="thin">
        <color rgb="FF022A39"/>
      </top>
      <bottom style="thin">
        <color rgb="FFC6C6C6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989DA8"/>
      </top>
      <bottom style="thin">
        <color rgb="FF022A39"/>
      </bottom>
      <diagonal/>
    </border>
    <border>
      <left/>
      <right/>
      <top style="thin">
        <color rgb="FFC6C6C6"/>
      </top>
      <bottom/>
      <diagonal/>
    </border>
    <border>
      <left/>
      <right/>
      <top/>
      <bottom style="thin">
        <color rgb="FF989DA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0" fontId="5" fillId="0" borderId="0" xfId="0" applyFont="1"/>
    <xf numFmtId="0" fontId="0" fillId="2" borderId="0" xfId="0" quotePrefix="1" applyFill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1" xfId="0" applyFont="1" applyBorder="1"/>
    <xf numFmtId="2" fontId="0" fillId="0" borderId="1" xfId="0" applyNumberFormat="1" applyBorder="1"/>
    <xf numFmtId="2" fontId="0" fillId="4" borderId="1" xfId="0" applyNumberFormat="1" applyFill="1" applyBorder="1"/>
    <xf numFmtId="164" fontId="8" fillId="0" borderId="2" xfId="0" applyNumberFormat="1" applyFont="1" applyBorder="1" applyAlignment="1">
      <alignment horizontal="right" vertical="top" shrinkToFit="1"/>
    </xf>
    <xf numFmtId="164" fontId="8" fillId="0" borderId="2" xfId="0" applyNumberFormat="1" applyFont="1" applyBorder="1" applyAlignment="1">
      <alignment horizontal="right" vertical="top" indent="1" shrinkToFit="1"/>
    </xf>
    <xf numFmtId="164" fontId="8" fillId="0" borderId="2" xfId="0" applyNumberFormat="1" applyFont="1" applyBorder="1" applyAlignment="1">
      <alignment horizontal="center" vertical="top" shrinkToFit="1"/>
    </xf>
    <xf numFmtId="0" fontId="9" fillId="0" borderId="2" xfId="0" applyFont="1" applyBorder="1" applyAlignment="1">
      <alignment horizontal="right" vertical="top" wrapText="1" indent="1"/>
    </xf>
    <xf numFmtId="0" fontId="0" fillId="0" borderId="0" xfId="0" applyAlignment="1">
      <alignment horizontal="left" vertical="center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164" fontId="8" fillId="0" borderId="5" xfId="0" applyNumberFormat="1" applyFont="1" applyBorder="1" applyAlignment="1">
      <alignment horizontal="right" vertical="center" shrinkToFit="1"/>
    </xf>
    <xf numFmtId="164" fontId="8" fillId="0" borderId="5" xfId="0" applyNumberFormat="1" applyFont="1" applyBorder="1" applyAlignment="1">
      <alignment horizontal="right" vertical="center" indent="1" shrinkToFit="1"/>
    </xf>
    <xf numFmtId="164" fontId="8" fillId="0" borderId="5" xfId="0" applyNumberFormat="1" applyFont="1" applyBorder="1" applyAlignment="1">
      <alignment horizontal="center" vertical="center" shrinkToFit="1"/>
    </xf>
    <xf numFmtId="0" fontId="9" fillId="0" borderId="5" xfId="0" applyFont="1" applyBorder="1" applyAlignment="1">
      <alignment horizontal="right" vertical="center" wrapText="1" indent="1"/>
    </xf>
    <xf numFmtId="0" fontId="11" fillId="0" borderId="6" xfId="0" applyFont="1" applyBorder="1" applyAlignment="1">
      <alignment horizontal="left" vertical="center" wrapText="1"/>
    </xf>
    <xf numFmtId="164" fontId="12" fillId="6" borderId="0" xfId="0" applyNumberFormat="1" applyFont="1" applyFill="1" applyAlignment="1">
      <alignment horizontal="right" vertical="top" shrinkToFit="1"/>
    </xf>
    <xf numFmtId="10" fontId="12" fillId="6" borderId="0" xfId="0" applyNumberFormat="1" applyFont="1" applyFill="1" applyAlignment="1">
      <alignment horizontal="right" vertical="top" shrinkToFit="1"/>
    </xf>
    <xf numFmtId="164" fontId="12" fillId="6" borderId="0" xfId="0" applyNumberFormat="1" applyFont="1" applyFill="1" applyAlignment="1">
      <alignment horizontal="right" vertical="top" indent="1" shrinkToFit="1"/>
    </xf>
    <xf numFmtId="164" fontId="12" fillId="6" borderId="0" xfId="0" applyNumberFormat="1" applyFont="1" applyFill="1" applyAlignment="1">
      <alignment horizontal="center" vertical="top" shrinkToFit="1"/>
    </xf>
    <xf numFmtId="10" fontId="12" fillId="6" borderId="0" xfId="0" applyNumberFormat="1" applyFont="1" applyFill="1" applyAlignment="1">
      <alignment horizontal="right" vertical="top" indent="1" shrinkToFit="1"/>
    </xf>
    <xf numFmtId="0" fontId="13" fillId="6" borderId="7" xfId="0" applyFont="1" applyFill="1" applyBorder="1" applyAlignment="1">
      <alignment horizontal="right" vertical="top" wrapText="1" indent="1"/>
    </xf>
    <xf numFmtId="0" fontId="0" fillId="6" borderId="8" xfId="0" applyFill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top" wrapText="1"/>
    </xf>
    <xf numFmtId="164" fontId="8" fillId="0" borderId="10" xfId="0" applyNumberFormat="1" applyFont="1" applyBorder="1" applyAlignment="1">
      <alignment horizontal="right" vertical="top" shrinkToFit="1"/>
    </xf>
    <xf numFmtId="164" fontId="8" fillId="0" borderId="10" xfId="0" applyNumberFormat="1" applyFont="1" applyBorder="1" applyAlignment="1">
      <alignment horizontal="right" vertical="top" indent="1" shrinkToFit="1"/>
    </xf>
    <xf numFmtId="164" fontId="8" fillId="0" borderId="10" xfId="0" applyNumberFormat="1" applyFont="1" applyBorder="1" applyAlignment="1">
      <alignment horizontal="center" vertical="top" shrinkToFit="1"/>
    </xf>
    <xf numFmtId="0" fontId="9" fillId="0" borderId="10" xfId="0" applyFont="1" applyBorder="1" applyAlignment="1">
      <alignment horizontal="right" vertical="top" wrapText="1" indent="1"/>
    </xf>
    <xf numFmtId="164" fontId="8" fillId="0" borderId="5" xfId="0" applyNumberFormat="1" applyFont="1" applyBorder="1" applyAlignment="1">
      <alignment horizontal="right" vertical="top" shrinkToFit="1"/>
    </xf>
    <xf numFmtId="164" fontId="8" fillId="0" borderId="5" xfId="0" applyNumberFormat="1" applyFont="1" applyBorder="1" applyAlignment="1">
      <alignment horizontal="right" vertical="top" indent="1" shrinkToFit="1"/>
    </xf>
    <xf numFmtId="164" fontId="8" fillId="0" borderId="5" xfId="0" applyNumberFormat="1" applyFont="1" applyBorder="1" applyAlignment="1">
      <alignment horizontal="center" vertical="top" shrinkToFit="1"/>
    </xf>
    <xf numFmtId="0" fontId="9" fillId="0" borderId="5" xfId="0" applyFont="1" applyBorder="1" applyAlignment="1">
      <alignment horizontal="right" vertical="top" wrapText="1" indent="1"/>
    </xf>
    <xf numFmtId="0" fontId="11" fillId="0" borderId="11" xfId="0" applyFont="1" applyBorder="1" applyAlignment="1">
      <alignment horizontal="left" vertical="top" wrapText="1"/>
    </xf>
    <xf numFmtId="0" fontId="11" fillId="5" borderId="0" xfId="0" applyFont="1" applyFill="1" applyAlignment="1">
      <alignment horizontal="right" wrapText="1"/>
    </xf>
    <xf numFmtId="0" fontId="11" fillId="5" borderId="0" xfId="0" applyFont="1" applyFill="1" applyAlignment="1">
      <alignment horizontal="right" wrapText="1" indent="1"/>
    </xf>
    <xf numFmtId="0" fontId="0" fillId="5" borderId="0" xfId="0" applyFill="1" applyAlignment="1">
      <alignment horizontal="right" vertical="center" wrapText="1" indent="1"/>
    </xf>
    <xf numFmtId="0" fontId="11" fillId="5" borderId="0" xfId="0" applyFont="1" applyFill="1" applyAlignment="1">
      <alignment horizontal="left" vertical="center" wrapText="1" indent="1"/>
    </xf>
    <xf numFmtId="0" fontId="0" fillId="5" borderId="0" xfId="0" applyFill="1" applyAlignment="1">
      <alignment horizontal="left" vertical="top" wrapText="1"/>
    </xf>
    <xf numFmtId="0" fontId="0" fillId="0" borderId="0" xfId="0" applyAlignment="1">
      <alignment horizontal="left" vertical="top"/>
    </xf>
    <xf numFmtId="9" fontId="0" fillId="0" borderId="0" xfId="0" applyNumberFormat="1"/>
    <xf numFmtId="165" fontId="12" fillId="6" borderId="0" xfId="0" applyNumberFormat="1" applyFont="1" applyFill="1" applyAlignment="1">
      <alignment horizontal="right" vertical="top" indent="1" shrinkToFit="1"/>
    </xf>
    <xf numFmtId="0" fontId="1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7" borderId="0" xfId="0" applyFill="1"/>
    <xf numFmtId="0" fontId="17" fillId="0" borderId="0" xfId="1"/>
    <xf numFmtId="0" fontId="0" fillId="8" borderId="0" xfId="0" applyFill="1"/>
    <xf numFmtId="0" fontId="18" fillId="7" borderId="0" xfId="0" applyFont="1" applyFill="1"/>
    <xf numFmtId="0" fontId="0" fillId="0" borderId="0" xfId="0" applyAlignment="1">
      <alignment vertical="top"/>
    </xf>
    <xf numFmtId="0" fontId="19" fillId="9" borderId="0" xfId="0" applyFont="1" applyFill="1" applyAlignment="1">
      <alignment wrapText="1"/>
    </xf>
    <xf numFmtId="0" fontId="1" fillId="9" borderId="0" xfId="0" applyFont="1" applyFill="1"/>
    <xf numFmtId="0" fontId="1" fillId="9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2" fillId="2" borderId="0" xfId="0" applyFont="1" applyFill="1"/>
    <xf numFmtId="14" fontId="0" fillId="2" borderId="0" xfId="0" applyNumberFormat="1" applyFill="1"/>
    <xf numFmtId="0" fontId="3" fillId="2" borderId="0" xfId="0" applyFont="1" applyFill="1"/>
    <xf numFmtId="0" fontId="2" fillId="0" borderId="0" xfId="0" applyFont="1"/>
    <xf numFmtId="0" fontId="0" fillId="10" borderId="0" xfId="0" applyFill="1"/>
    <xf numFmtId="14" fontId="0" fillId="10" borderId="0" xfId="0" applyNumberFormat="1" applyFill="1"/>
    <xf numFmtId="0" fontId="20" fillId="11" borderId="0" xfId="0" applyFont="1" applyFill="1"/>
    <xf numFmtId="0" fontId="1" fillId="12" borderId="0" xfId="0" applyFont="1" applyFill="1" applyAlignment="1">
      <alignment horizontal="center"/>
    </xf>
    <xf numFmtId="0" fontId="1" fillId="12" borderId="0" xfId="0" applyFont="1" applyFill="1"/>
    <xf numFmtId="0" fontId="4" fillId="12" borderId="0" xfId="0" applyFont="1" applyFill="1"/>
    <xf numFmtId="0" fontId="3" fillId="2" borderId="0" xfId="0" applyFont="1" applyFill="1" applyAlignment="1">
      <alignment horizontal="center"/>
    </xf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4" borderId="1" xfId="0" applyFont="1" applyFill="1" applyBorder="1" applyAlignment="1">
      <alignment horizontal="center"/>
    </xf>
    <xf numFmtId="0" fontId="21" fillId="0" borderId="0" xfId="0" applyFont="1"/>
    <xf numFmtId="0" fontId="1" fillId="3" borderId="12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0" xfId="0"/>
    <xf numFmtId="0" fontId="0" fillId="0" borderId="12" xfId="0" applyBorder="1"/>
    <xf numFmtId="0" fontId="22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0" fontId="3" fillId="0" borderId="17" xfId="0" applyFont="1" applyBorder="1"/>
    <xf numFmtId="0" fontId="23" fillId="0" borderId="14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23" fillId="0" borderId="18" xfId="0" applyFont="1" applyBorder="1"/>
    <xf numFmtId="0" fontId="24" fillId="0" borderId="19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3" fillId="13" borderId="20" xfId="0" applyFont="1" applyFill="1" applyBorder="1"/>
    <xf numFmtId="0" fontId="1" fillId="2" borderId="18" xfId="0" applyFont="1" applyFill="1" applyBorder="1"/>
    <xf numFmtId="0" fontId="1" fillId="0" borderId="19" xfId="0" applyFont="1" applyBorder="1"/>
    <xf numFmtId="0" fontId="23" fillId="14" borderId="20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19" xfId="0" applyFont="1" applyBorder="1"/>
    <xf numFmtId="0" fontId="1" fillId="2" borderId="12" xfId="0" applyFont="1" applyFill="1" applyBorder="1"/>
    <xf numFmtId="0" fontId="1" fillId="2" borderId="15" xfId="0" applyFont="1" applyFill="1" applyBorder="1" applyAlignment="1">
      <alignment horizontal="center"/>
    </xf>
    <xf numFmtId="0" fontId="4" fillId="2" borderId="12" xfId="0" applyFont="1" applyFill="1" applyBorder="1"/>
    <xf numFmtId="0" fontId="4" fillId="15" borderId="15" xfId="0" applyFont="1" applyFill="1" applyBorder="1" applyAlignment="1">
      <alignment horizontal="center"/>
    </xf>
    <xf numFmtId="0" fontId="23" fillId="16" borderId="20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23" fillId="0" borderId="19" xfId="0" applyFont="1" applyBorder="1" applyAlignment="1">
      <alignment horizontal="left"/>
    </xf>
    <xf numFmtId="0" fontId="1" fillId="2" borderId="17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0" fillId="2" borderId="18" xfId="0" applyFill="1" applyBorder="1"/>
    <xf numFmtId="0" fontId="0" fillId="0" borderId="0" xfId="0" quotePrefix="1" applyAlignment="1">
      <alignment horizontal="left"/>
    </xf>
    <xf numFmtId="14" fontId="0" fillId="0" borderId="19" xfId="0" quotePrefix="1" applyNumberFormat="1" applyBorder="1"/>
    <xf numFmtId="0" fontId="3" fillId="17" borderId="20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15" borderId="19" xfId="0" applyFill="1" applyBorder="1" applyAlignment="1">
      <alignment horizontal="left"/>
    </xf>
    <xf numFmtId="0" fontId="3" fillId="18" borderId="20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left"/>
    </xf>
    <xf numFmtId="0" fontId="24" fillId="0" borderId="19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14" fontId="0" fillId="0" borderId="0" xfId="0" quotePrefix="1" applyNumberFormat="1" applyAlignment="1">
      <alignment horizontal="left"/>
    </xf>
    <xf numFmtId="0" fontId="3" fillId="0" borderId="19" xfId="0" applyFont="1" applyBorder="1" applyAlignment="1">
      <alignment horizontal="left" vertical="center" wrapText="1"/>
    </xf>
    <xf numFmtId="0" fontId="3" fillId="19" borderId="20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23" fillId="20" borderId="20" xfId="0" applyFont="1" applyFill="1" applyBorder="1" applyAlignment="1">
      <alignment horizontal="center" vertical="center" wrapText="1"/>
    </xf>
    <xf numFmtId="0" fontId="23" fillId="21" borderId="20" xfId="0" applyFont="1" applyFill="1" applyBorder="1" applyAlignment="1">
      <alignment horizontal="center" vertical="center"/>
    </xf>
    <xf numFmtId="0" fontId="0" fillId="0" borderId="2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s.els-cdn.com/content/image/1-s2.0-S0301421509007149-mmc1.pdf" TargetMode="External"/><Relationship Id="rId13" Type="http://schemas.openxmlformats.org/officeDocument/2006/relationships/hyperlink" Target="http://www.trolley-project.eu/fileadmin/user_upload/download/University/TROLLEY_Toth_SZKT_sustainable_mobility_Szeged.pdf" TargetMode="External"/><Relationship Id="rId3" Type="http://schemas.openxmlformats.org/officeDocument/2006/relationships/hyperlink" Target="https://www.sciencedirect.com/science/article/pii/S2210670718318031" TargetMode="External"/><Relationship Id="rId7" Type="http://schemas.openxmlformats.org/officeDocument/2006/relationships/hyperlink" Target="https://onlinelibrary.wiley.com/doi/10.1111/jiec.12391." TargetMode="External"/><Relationship Id="rId12" Type="http://schemas.openxmlformats.org/officeDocument/2006/relationships/hyperlink" Target="https://www.sciencedirect.com/science/article/pii/S0301479712000138" TargetMode="External"/><Relationship Id="rId2" Type="http://schemas.openxmlformats.org/officeDocument/2006/relationships/hyperlink" Target="http://www.trolley-project.eu/fileadmin/user_upload/download/TROLLEY_WP4_Report_on_feasability_study_on_network_extension_in_Eberswalde__in_German.pdf" TargetMode="External"/><Relationship Id="rId1" Type="http://schemas.openxmlformats.org/officeDocument/2006/relationships/hyperlink" Target="http://www.trolley-project.eu/fileadmin/user_upload/download/TROLLEY_WP4_Report_on_feasability_study_on_network_extension_in_Eberswalde__in_German.pdf" TargetMode="External"/><Relationship Id="rId6" Type="http://schemas.openxmlformats.org/officeDocument/2006/relationships/hyperlink" Target="https://www.sciencedirect.com/science/article/pii/S0959652617323089?casa_token=d8SVsSwFCysAAAAA:vCStrXOnpnNsBsn51Vl_c_056WfP4c5x7J_J2xxPhD0iTkW2i3vmFVGJzYHK9RVdDHo1xmjK05oz" TargetMode="External"/><Relationship Id="rId11" Type="http://schemas.openxmlformats.org/officeDocument/2006/relationships/hyperlink" Target="https://energie.wallonie.be/servlet/Repository/spw-dgo4-energie-bilanenergetiquewallonie2016-transports-avril2018.pdf?ID=61556" TargetMode="External"/><Relationship Id="rId5" Type="http://schemas.openxmlformats.org/officeDocument/2006/relationships/hyperlink" Target="https://www.sciencedirect.com/science/article/pii/S0360544217301081?casa_token=e0nEbmWBAKIAAAAA:sQ6r8cY3vjKDIrsXvVrodetgtfOmA2Zgaf7j91KFkJDScy9TI-PD2nhXLy1jNAhcQMpakX8KzAHg" TargetMode="External"/><Relationship Id="rId15" Type="http://schemas.openxmlformats.org/officeDocument/2006/relationships/hyperlink" Target="https://www.sciencedirect.com/science/article/pii/S0959652617323089?casa_token=d8SVsSwFCysAAAAA:vCStrXOnpnNsBsn51Vl_c_056WfP4c5x7J_J2xxPhD0iTkW2i3vmFVGJzYHK9RVdDHo1xmjK05oz" TargetMode="External"/><Relationship Id="rId10" Type="http://schemas.openxmlformats.org/officeDocument/2006/relationships/hyperlink" Target="https://energie.wallonie.be/servlet/Repository/spw-dgo4-energie-bilanenergetiquewallonie2016-transports-avril2018.pdf?ID=61554" TargetMode="External"/><Relationship Id="rId4" Type="http://schemas.openxmlformats.org/officeDocument/2006/relationships/hyperlink" Target="https://www.tf.lbtu.lv/conference/proceedings2015/Papers/060_Graurs.pdf" TargetMode="External"/><Relationship Id="rId9" Type="http://schemas.openxmlformats.org/officeDocument/2006/relationships/hyperlink" Target="https://energie.wallonie.be/servlet/Repository/spw-dgo4-energie-bilanenergetiquewallonie2016-transports-avril2018.pdf?ID=61555" TargetMode="External"/><Relationship Id="rId14" Type="http://schemas.openxmlformats.org/officeDocument/2006/relationships/hyperlink" Target="https://www.researchgate.net/publication/270488339_Refereed_Papers_Energy_Consumption_of_Passenger_Land_Transport_Mod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0F8C-D276-2945-868F-2ED45F872D5A}">
  <dimension ref="A1:Q72"/>
  <sheetViews>
    <sheetView tabSelected="1" workbookViewId="0">
      <selection activeCell="D10" sqref="D10"/>
    </sheetView>
  </sheetViews>
  <sheetFormatPr baseColWidth="10" defaultColWidth="9.1640625" defaultRowHeight="15"/>
  <cols>
    <col min="1" max="1" width="7.1640625" customWidth="1"/>
    <col min="2" max="2" width="15.83203125" customWidth="1"/>
    <col min="3" max="3" width="23.1640625" bestFit="1" customWidth="1"/>
    <col min="4" max="4" width="46.83203125" style="82" customWidth="1"/>
    <col min="5" max="5" width="11.83203125" bestFit="1" customWidth="1"/>
    <col min="6" max="6" width="24.1640625" bestFit="1" customWidth="1"/>
    <col min="7" max="8" width="26" bestFit="1" customWidth="1"/>
    <col min="9" max="9" width="24.83203125" bestFit="1" customWidth="1"/>
    <col min="10" max="11" width="3.1640625" customWidth="1"/>
  </cols>
  <sheetData>
    <row r="1" spans="1:12">
      <c r="E1" s="1"/>
      <c r="H1" s="3"/>
    </row>
    <row r="2" spans="1:12" ht="15.75" customHeight="1">
      <c r="B2" s="83" t="s">
        <v>538</v>
      </c>
      <c r="C2" s="84"/>
      <c r="D2" s="85"/>
      <c r="E2" s="1"/>
      <c r="F2" s="83" t="s">
        <v>539</v>
      </c>
      <c r="G2" s="86"/>
      <c r="H2" s="86"/>
      <c r="I2" s="86"/>
      <c r="L2" s="1"/>
    </row>
    <row r="3" spans="1:12">
      <c r="B3" s="87"/>
      <c r="C3" s="88" t="s">
        <v>540</v>
      </c>
      <c r="D3" s="89" t="s">
        <v>541</v>
      </c>
      <c r="E3" s="1"/>
      <c r="L3" s="1"/>
    </row>
    <row r="4" spans="1:12">
      <c r="A4">
        <v>1</v>
      </c>
      <c r="B4" s="90" t="s">
        <v>542</v>
      </c>
      <c r="C4" s="91" t="s">
        <v>543</v>
      </c>
      <c r="D4" s="92" t="s">
        <v>544</v>
      </c>
      <c r="E4" s="1" t="s">
        <v>1</v>
      </c>
      <c r="F4" s="93" t="s">
        <v>545</v>
      </c>
      <c r="G4" s="94"/>
      <c r="H4" s="94"/>
      <c r="I4" s="95"/>
      <c r="L4" s="1"/>
    </row>
    <row r="5" spans="1:12">
      <c r="A5">
        <v>2</v>
      </c>
      <c r="B5" s="96"/>
      <c r="C5" s="97" t="s">
        <v>546</v>
      </c>
      <c r="D5" s="98" t="s">
        <v>7</v>
      </c>
      <c r="E5" s="1" t="s">
        <v>1</v>
      </c>
      <c r="F5" s="99"/>
      <c r="I5" s="100"/>
      <c r="L5" s="1"/>
    </row>
    <row r="6" spans="1:12">
      <c r="A6">
        <v>3</v>
      </c>
      <c r="B6" s="101"/>
      <c r="C6" s="97" t="s">
        <v>547</v>
      </c>
      <c r="D6" s="98" t="s">
        <v>548</v>
      </c>
      <c r="E6" s="1" t="s">
        <v>1</v>
      </c>
      <c r="F6" s="102" t="s">
        <v>3</v>
      </c>
      <c r="G6" s="6" t="s">
        <v>549</v>
      </c>
      <c r="H6" s="2"/>
      <c r="I6" s="103"/>
      <c r="L6" s="1"/>
    </row>
    <row r="7" spans="1:12">
      <c r="A7">
        <v>4</v>
      </c>
      <c r="B7" s="104" t="s">
        <v>550</v>
      </c>
      <c r="C7" s="97" t="s">
        <v>551</v>
      </c>
      <c r="D7" s="105" t="s">
        <v>552</v>
      </c>
      <c r="E7" s="1" t="s">
        <v>1</v>
      </c>
      <c r="F7" s="102" t="s">
        <v>12</v>
      </c>
      <c r="G7" s="6" t="s">
        <v>13</v>
      </c>
      <c r="H7" s="106"/>
      <c r="I7" s="105"/>
      <c r="L7" s="1"/>
    </row>
    <row r="8" spans="1:12">
      <c r="A8">
        <v>5</v>
      </c>
      <c r="B8" s="96"/>
      <c r="C8" s="97" t="s">
        <v>553</v>
      </c>
      <c r="D8" s="105">
        <v>4</v>
      </c>
      <c r="E8" s="1" t="s">
        <v>1</v>
      </c>
      <c r="F8" s="102" t="s">
        <v>15</v>
      </c>
      <c r="G8" s="6" t="s">
        <v>13</v>
      </c>
      <c r="H8" s="3"/>
      <c r="I8" s="107"/>
      <c r="L8" s="1"/>
    </row>
    <row r="9" spans="1:12">
      <c r="A9">
        <v>6</v>
      </c>
      <c r="B9" s="96"/>
      <c r="C9" s="97" t="s">
        <v>554</v>
      </c>
      <c r="D9" s="98" t="s">
        <v>649</v>
      </c>
      <c r="E9" s="1" t="s">
        <v>1</v>
      </c>
      <c r="F9" s="102" t="s">
        <v>17</v>
      </c>
      <c r="G9" s="6" t="s">
        <v>13</v>
      </c>
      <c r="H9" s="3"/>
      <c r="I9" s="107"/>
      <c r="L9" s="1"/>
    </row>
    <row r="10" spans="1:12">
      <c r="A10">
        <v>7</v>
      </c>
      <c r="B10" s="96"/>
      <c r="C10" s="97" t="s">
        <v>555</v>
      </c>
      <c r="D10" s="98" t="s">
        <v>556</v>
      </c>
      <c r="E10" s="1" t="s">
        <v>1</v>
      </c>
      <c r="F10" s="108" t="s">
        <v>41</v>
      </c>
      <c r="G10" s="109" t="s">
        <v>13</v>
      </c>
      <c r="H10" s="110" t="s">
        <v>42</v>
      </c>
      <c r="I10" s="111">
        <v>178</v>
      </c>
      <c r="L10" s="1"/>
    </row>
    <row r="11" spans="1:12">
      <c r="A11">
        <v>8</v>
      </c>
      <c r="B11" s="112" t="s">
        <v>557</v>
      </c>
      <c r="C11" s="113" t="s">
        <v>558</v>
      </c>
      <c r="D11" s="114" t="s">
        <v>559</v>
      </c>
      <c r="E11" s="1" t="s">
        <v>1</v>
      </c>
      <c r="F11" s="115" t="s">
        <v>44</v>
      </c>
      <c r="G11" s="116" t="s">
        <v>560</v>
      </c>
      <c r="H11" s="116" t="s">
        <v>46</v>
      </c>
      <c r="I11" s="117" t="s">
        <v>47</v>
      </c>
      <c r="L11" s="1"/>
    </row>
    <row r="12" spans="1:12">
      <c r="A12">
        <v>9</v>
      </c>
      <c r="B12" s="96"/>
      <c r="C12" s="113" t="s">
        <v>561</v>
      </c>
      <c r="D12" s="105" t="s">
        <v>562</v>
      </c>
      <c r="E12" s="1" t="s">
        <v>1</v>
      </c>
      <c r="F12" s="118" t="s">
        <v>48</v>
      </c>
      <c r="G12" s="119">
        <v>1</v>
      </c>
      <c r="H12" s="7" t="s">
        <v>50</v>
      </c>
      <c r="I12" s="120"/>
      <c r="L12" s="1"/>
    </row>
    <row r="13" spans="1:12">
      <c r="A13">
        <v>10</v>
      </c>
      <c r="B13" s="96"/>
      <c r="C13" s="113" t="s">
        <v>563</v>
      </c>
      <c r="D13" s="114" t="s">
        <v>564</v>
      </c>
      <c r="E13" s="1" t="s">
        <v>1</v>
      </c>
      <c r="F13" s="118" t="s">
        <v>52</v>
      </c>
      <c r="G13" s="119">
        <v>1</v>
      </c>
      <c r="H13" s="7" t="s">
        <v>54</v>
      </c>
      <c r="I13" s="120"/>
      <c r="L13" s="1"/>
    </row>
    <row r="14" spans="1:12">
      <c r="A14">
        <v>11</v>
      </c>
      <c r="B14" s="96"/>
      <c r="C14" s="113" t="s">
        <v>565</v>
      </c>
      <c r="D14" s="105" t="s">
        <v>566</v>
      </c>
      <c r="E14" s="1" t="s">
        <v>1</v>
      </c>
      <c r="F14" s="118" t="s">
        <v>57</v>
      </c>
      <c r="G14" s="119">
        <v>1</v>
      </c>
      <c r="H14" s="7" t="s">
        <v>59</v>
      </c>
      <c r="I14" s="120"/>
      <c r="L14" s="1"/>
    </row>
    <row r="15" spans="1:12">
      <c r="A15">
        <v>12</v>
      </c>
      <c r="B15" s="96"/>
      <c r="C15" s="113" t="s">
        <v>567</v>
      </c>
      <c r="D15" s="105" t="s">
        <v>568</v>
      </c>
      <c r="E15" s="1" t="s">
        <v>1</v>
      </c>
      <c r="F15" s="118" t="s">
        <v>62</v>
      </c>
      <c r="G15" s="8">
        <v>1</v>
      </c>
      <c r="H15" s="7" t="s">
        <v>569</v>
      </c>
      <c r="I15" s="120"/>
      <c r="L15" s="1"/>
    </row>
    <row r="16" spans="1:12">
      <c r="A16">
        <v>13</v>
      </c>
      <c r="B16" s="96"/>
      <c r="C16" s="113" t="s">
        <v>570</v>
      </c>
      <c r="D16" s="105" t="s">
        <v>571</v>
      </c>
      <c r="E16" s="1" t="s">
        <v>1</v>
      </c>
      <c r="F16" s="118"/>
      <c r="G16" s="8"/>
      <c r="H16" s="7" t="s">
        <v>67</v>
      </c>
      <c r="I16" s="120"/>
      <c r="L16" s="1"/>
    </row>
    <row r="17" spans="1:15">
      <c r="A17">
        <v>14</v>
      </c>
      <c r="B17" s="96"/>
      <c r="C17" s="113" t="s">
        <v>572</v>
      </c>
      <c r="D17" s="105" t="s">
        <v>573</v>
      </c>
      <c r="E17" s="1" t="s">
        <v>1</v>
      </c>
      <c r="F17" s="118"/>
      <c r="G17" s="8"/>
      <c r="I17" s="100"/>
      <c r="L17" s="1"/>
    </row>
    <row r="18" spans="1:15">
      <c r="A18">
        <v>15</v>
      </c>
      <c r="B18" s="96"/>
      <c r="C18" s="113" t="s">
        <v>574</v>
      </c>
      <c r="D18" s="105" t="s">
        <v>575</v>
      </c>
      <c r="E18" s="1" t="s">
        <v>1</v>
      </c>
      <c r="F18" s="118"/>
      <c r="G18" s="8"/>
      <c r="I18" s="100"/>
      <c r="L18" s="1"/>
    </row>
    <row r="19" spans="1:15">
      <c r="A19">
        <v>16</v>
      </c>
      <c r="B19" s="96"/>
      <c r="C19" s="113" t="s">
        <v>576</v>
      </c>
      <c r="D19" s="105" t="s">
        <v>577</v>
      </c>
      <c r="E19" s="1" t="s">
        <v>1</v>
      </c>
      <c r="F19" s="118"/>
      <c r="G19" s="8"/>
      <c r="I19" s="100"/>
      <c r="L19" s="1"/>
    </row>
    <row r="20" spans="1:15">
      <c r="A20">
        <v>17</v>
      </c>
      <c r="B20" s="96"/>
      <c r="C20" s="113" t="s">
        <v>578</v>
      </c>
      <c r="D20" s="105" t="s">
        <v>579</v>
      </c>
      <c r="E20" s="1" t="s">
        <v>1</v>
      </c>
      <c r="F20" s="118"/>
      <c r="I20" s="100"/>
      <c r="L20" s="1"/>
    </row>
    <row r="21" spans="1:15">
      <c r="A21">
        <v>18</v>
      </c>
      <c r="B21" s="121" t="s">
        <v>580</v>
      </c>
      <c r="C21" s="113" t="s">
        <v>581</v>
      </c>
      <c r="D21" s="105" t="s">
        <v>582</v>
      </c>
      <c r="E21" s="1" t="s">
        <v>1</v>
      </c>
      <c r="F21" s="122"/>
      <c r="G21" s="123"/>
      <c r="H21" s="123"/>
      <c r="I21" s="124"/>
      <c r="L21" s="1"/>
    </row>
    <row r="22" spans="1:15">
      <c r="A22">
        <v>19</v>
      </c>
      <c r="B22" s="96"/>
      <c r="C22" s="113" t="s">
        <v>583</v>
      </c>
      <c r="D22" s="105" t="s">
        <v>584</v>
      </c>
      <c r="E22" s="1" t="s">
        <v>1</v>
      </c>
      <c r="L22" s="1"/>
    </row>
    <row r="23" spans="1:15">
      <c r="A23">
        <v>20</v>
      </c>
      <c r="B23" s="96"/>
      <c r="C23" s="113" t="s">
        <v>585</v>
      </c>
      <c r="D23" s="98" t="s">
        <v>646</v>
      </c>
      <c r="E23" s="1" t="s">
        <v>1</v>
      </c>
      <c r="L23" s="1"/>
      <c r="N23" s="78"/>
    </row>
    <row r="24" spans="1:15">
      <c r="A24">
        <v>21</v>
      </c>
      <c r="B24" s="96"/>
      <c r="C24" s="113" t="s">
        <v>586</v>
      </c>
      <c r="D24" s="125" t="s">
        <v>587</v>
      </c>
      <c r="E24" s="1" t="s">
        <v>1</v>
      </c>
      <c r="H24" s="3"/>
      <c r="L24" s="1"/>
      <c r="N24" s="2"/>
      <c r="O24" s="1"/>
    </row>
    <row r="25" spans="1:15">
      <c r="A25">
        <v>22</v>
      </c>
      <c r="B25" s="96"/>
      <c r="C25" s="113" t="s">
        <v>67</v>
      </c>
      <c r="D25" s="105"/>
      <c r="E25" s="1" t="s">
        <v>1</v>
      </c>
      <c r="G25" s="78"/>
      <c r="L25" s="1"/>
      <c r="N25" s="2"/>
    </row>
    <row r="26" spans="1:15">
      <c r="A26">
        <v>23</v>
      </c>
      <c r="B26" s="126" t="s">
        <v>588</v>
      </c>
      <c r="C26" s="127" t="s">
        <v>589</v>
      </c>
      <c r="D26" s="128" t="s">
        <v>48</v>
      </c>
      <c r="E26" s="1" t="s">
        <v>1</v>
      </c>
      <c r="G26" s="2"/>
      <c r="H26" s="1"/>
      <c r="L26" s="1"/>
      <c r="N26" s="2"/>
    </row>
    <row r="27" spans="1:15">
      <c r="A27">
        <v>24</v>
      </c>
      <c r="B27" s="96"/>
      <c r="C27" s="127" t="s">
        <v>590</v>
      </c>
      <c r="D27" s="98">
        <v>10</v>
      </c>
      <c r="E27" s="1" t="s">
        <v>1</v>
      </c>
      <c r="G27" s="2"/>
      <c r="L27" s="1"/>
      <c r="N27" s="2"/>
      <c r="O27" s="1"/>
    </row>
    <row r="28" spans="1:15">
      <c r="A28">
        <v>25</v>
      </c>
      <c r="B28" s="96"/>
      <c r="C28" s="127" t="s">
        <v>591</v>
      </c>
      <c r="D28" s="2" t="s">
        <v>52</v>
      </c>
      <c r="E28" s="1" t="s">
        <v>1</v>
      </c>
      <c r="G28" s="2"/>
      <c r="L28" s="1"/>
      <c r="N28" s="2"/>
      <c r="O28" s="1"/>
    </row>
    <row r="29" spans="1:15">
      <c r="A29">
        <v>26</v>
      </c>
      <c r="B29" s="96"/>
      <c r="C29" s="127" t="s">
        <v>592</v>
      </c>
      <c r="D29" s="98">
        <v>7</v>
      </c>
      <c r="E29" s="1" t="s">
        <v>1</v>
      </c>
      <c r="G29" s="2"/>
      <c r="H29" s="1"/>
      <c r="N29" s="2"/>
      <c r="O29" s="1"/>
    </row>
    <row r="30" spans="1:15">
      <c r="A30">
        <v>27</v>
      </c>
      <c r="B30" s="96"/>
      <c r="C30" s="127" t="s">
        <v>593</v>
      </c>
      <c r="D30" s="98" t="s">
        <v>57</v>
      </c>
      <c r="E30" s="1" t="s">
        <v>1</v>
      </c>
      <c r="G30" s="2"/>
      <c r="H30" s="1"/>
      <c r="N30" s="2"/>
    </row>
    <row r="31" spans="1:15">
      <c r="A31">
        <v>28</v>
      </c>
      <c r="B31" s="96"/>
      <c r="C31" s="127" t="s">
        <v>594</v>
      </c>
      <c r="D31" s="98">
        <v>2</v>
      </c>
      <c r="E31" s="1" t="s">
        <v>1</v>
      </c>
      <c r="G31" s="2"/>
      <c r="H31" s="1"/>
      <c r="N31" s="2"/>
    </row>
    <row r="32" spans="1:15">
      <c r="A32">
        <v>29</v>
      </c>
      <c r="B32" s="96"/>
      <c r="C32" s="127" t="s">
        <v>595</v>
      </c>
      <c r="D32" s="2" t="s">
        <v>62</v>
      </c>
      <c r="E32" s="1" t="s">
        <v>1</v>
      </c>
      <c r="G32" s="2"/>
      <c r="N32" s="2"/>
    </row>
    <row r="33" spans="1:17">
      <c r="A33">
        <v>30</v>
      </c>
      <c r="B33" s="96"/>
      <c r="C33" s="127" t="s">
        <v>596</v>
      </c>
      <c r="D33" s="98">
        <v>14</v>
      </c>
      <c r="E33" s="1" t="s">
        <v>1</v>
      </c>
      <c r="G33" s="2"/>
      <c r="N33" s="2"/>
      <c r="O33" s="4"/>
    </row>
    <row r="34" spans="1:17">
      <c r="A34">
        <v>31</v>
      </c>
      <c r="B34" s="96"/>
      <c r="C34" s="127" t="s">
        <v>597</v>
      </c>
      <c r="D34" s="105" t="s">
        <v>38</v>
      </c>
      <c r="E34" s="1" t="s">
        <v>1</v>
      </c>
      <c r="G34" s="2"/>
      <c r="N34" s="2"/>
      <c r="O34" s="4"/>
    </row>
    <row r="35" spans="1:17">
      <c r="A35">
        <v>32</v>
      </c>
      <c r="B35" s="96"/>
      <c r="C35" s="127" t="s">
        <v>598</v>
      </c>
      <c r="D35" s="105" t="s">
        <v>38</v>
      </c>
      <c r="E35" s="1" t="s">
        <v>1</v>
      </c>
      <c r="G35" s="2"/>
      <c r="H35" s="4"/>
      <c r="N35" s="2"/>
    </row>
    <row r="36" spans="1:17">
      <c r="A36">
        <v>33</v>
      </c>
      <c r="B36" s="96"/>
      <c r="C36" s="127" t="s">
        <v>599</v>
      </c>
      <c r="D36" s="105" t="s">
        <v>38</v>
      </c>
      <c r="E36" s="1" t="s">
        <v>1</v>
      </c>
      <c r="G36" s="2"/>
      <c r="H36" s="4"/>
      <c r="N36" s="2"/>
      <c r="O36" s="1"/>
    </row>
    <row r="37" spans="1:17">
      <c r="A37">
        <v>34</v>
      </c>
      <c r="B37" s="96"/>
      <c r="C37" s="127" t="s">
        <v>600</v>
      </c>
      <c r="D37" s="105" t="s">
        <v>38</v>
      </c>
      <c r="E37" s="1" t="s">
        <v>1</v>
      </c>
      <c r="G37" s="2"/>
      <c r="N37" s="2"/>
    </row>
    <row r="38" spans="1:17">
      <c r="A38">
        <v>35</v>
      </c>
      <c r="B38" s="96"/>
      <c r="C38" s="127" t="s">
        <v>601</v>
      </c>
      <c r="D38" s="105" t="s">
        <v>38</v>
      </c>
      <c r="E38" s="1" t="s">
        <v>1</v>
      </c>
      <c r="G38" s="2"/>
      <c r="H38" s="1"/>
      <c r="N38" s="2"/>
    </row>
    <row r="39" spans="1:17">
      <c r="A39">
        <v>36</v>
      </c>
      <c r="B39" s="96"/>
      <c r="C39" s="127" t="s">
        <v>602</v>
      </c>
      <c r="D39" s="105" t="s">
        <v>38</v>
      </c>
      <c r="E39" s="1" t="s">
        <v>1</v>
      </c>
      <c r="G39" s="2"/>
      <c r="N39" s="2"/>
    </row>
    <row r="40" spans="1:17">
      <c r="A40">
        <v>37</v>
      </c>
      <c r="B40" s="96"/>
      <c r="C40" s="127" t="s">
        <v>603</v>
      </c>
      <c r="D40" s="105" t="s">
        <v>38</v>
      </c>
      <c r="E40" s="1" t="s">
        <v>1</v>
      </c>
      <c r="G40" s="2"/>
      <c r="N40" s="2"/>
    </row>
    <row r="41" spans="1:17">
      <c r="A41">
        <v>38</v>
      </c>
      <c r="B41" s="96"/>
      <c r="C41" s="127" t="s">
        <v>604</v>
      </c>
      <c r="D41" s="105" t="s">
        <v>38</v>
      </c>
      <c r="E41" s="1" t="s">
        <v>1</v>
      </c>
      <c r="G41" s="2"/>
      <c r="N41" s="2"/>
    </row>
    <row r="42" spans="1:17">
      <c r="A42">
        <v>39</v>
      </c>
      <c r="B42" s="96"/>
      <c r="C42" s="127" t="s">
        <v>605</v>
      </c>
      <c r="D42" s="105" t="s">
        <v>38</v>
      </c>
      <c r="E42" s="1" t="s">
        <v>1</v>
      </c>
      <c r="G42" s="2"/>
      <c r="N42" s="2"/>
    </row>
    <row r="43" spans="1:17">
      <c r="A43">
        <v>40</v>
      </c>
      <c r="B43" s="96"/>
      <c r="C43" s="127" t="s">
        <v>606</v>
      </c>
      <c r="D43" s="105" t="s">
        <v>38</v>
      </c>
      <c r="E43" s="1" t="s">
        <v>1</v>
      </c>
      <c r="G43" s="2"/>
      <c r="N43" s="2"/>
      <c r="O43" s="78"/>
      <c r="P43" s="129"/>
      <c r="Q43" s="130"/>
    </row>
    <row r="44" spans="1:17">
      <c r="A44">
        <v>41</v>
      </c>
      <c r="B44" s="96"/>
      <c r="C44" s="127" t="s">
        <v>607</v>
      </c>
      <c r="D44" s="105" t="s">
        <v>38</v>
      </c>
      <c r="E44" s="1" t="s">
        <v>1</v>
      </c>
      <c r="G44" s="2"/>
      <c r="N44" s="2"/>
      <c r="O44" s="2"/>
      <c r="P44" s="2"/>
      <c r="Q44" s="2"/>
    </row>
    <row r="45" spans="1:17">
      <c r="A45">
        <v>42</v>
      </c>
      <c r="B45" s="96"/>
      <c r="C45" s="127" t="s">
        <v>608</v>
      </c>
      <c r="D45" s="105" t="s">
        <v>38</v>
      </c>
      <c r="E45" s="1" t="s">
        <v>1</v>
      </c>
      <c r="G45" s="2"/>
      <c r="H45" s="78"/>
      <c r="I45" s="129"/>
      <c r="O45" s="119"/>
      <c r="Q45" s="4"/>
    </row>
    <row r="46" spans="1:17">
      <c r="A46">
        <v>43</v>
      </c>
      <c r="B46" s="96"/>
      <c r="C46" s="127" t="s">
        <v>609</v>
      </c>
      <c r="D46" s="105" t="s">
        <v>38</v>
      </c>
      <c r="E46" s="1" t="s">
        <v>1</v>
      </c>
      <c r="G46" s="2"/>
      <c r="H46" s="2"/>
      <c r="I46" s="2"/>
      <c r="O46" s="119"/>
      <c r="Q46" s="4"/>
    </row>
    <row r="47" spans="1:17">
      <c r="A47">
        <v>44</v>
      </c>
      <c r="B47" s="96"/>
      <c r="C47" s="127" t="s">
        <v>610</v>
      </c>
      <c r="D47" s="105" t="s">
        <v>38</v>
      </c>
      <c r="E47" s="1" t="s">
        <v>1</v>
      </c>
      <c r="H47" s="131"/>
      <c r="N47" s="3"/>
      <c r="O47" s="119"/>
      <c r="Q47" s="4"/>
    </row>
    <row r="48" spans="1:17">
      <c r="A48">
        <v>45</v>
      </c>
      <c r="B48" s="96"/>
      <c r="C48" s="127" t="s">
        <v>611</v>
      </c>
      <c r="D48" s="105" t="s">
        <v>38</v>
      </c>
      <c r="E48" s="1" t="s">
        <v>1</v>
      </c>
      <c r="H48" s="119"/>
      <c r="N48" s="3"/>
      <c r="O48" s="119"/>
      <c r="Q48" s="4"/>
    </row>
    <row r="49" spans="1:17">
      <c r="A49">
        <v>46</v>
      </c>
      <c r="B49" s="96"/>
      <c r="C49" s="127" t="s">
        <v>612</v>
      </c>
      <c r="D49" s="105" t="s">
        <v>38</v>
      </c>
      <c r="E49" s="1" t="s">
        <v>1</v>
      </c>
      <c r="G49" s="3"/>
      <c r="H49" s="119"/>
      <c r="Q49" s="4"/>
    </row>
    <row r="50" spans="1:17">
      <c r="A50">
        <v>47</v>
      </c>
      <c r="B50" s="96"/>
      <c r="C50" s="113" t="s">
        <v>613</v>
      </c>
      <c r="D50" s="105" t="s">
        <v>614</v>
      </c>
      <c r="E50" s="1" t="s">
        <v>1</v>
      </c>
      <c r="H50" s="8"/>
    </row>
    <row r="51" spans="1:17" ht="48">
      <c r="A51">
        <v>48</v>
      </c>
      <c r="B51" s="96"/>
      <c r="C51" s="113" t="s">
        <v>615</v>
      </c>
      <c r="D51" s="132" t="s">
        <v>616</v>
      </c>
      <c r="E51" s="1" t="s">
        <v>1</v>
      </c>
      <c r="H51" s="8"/>
    </row>
    <row r="52" spans="1:17">
      <c r="A52">
        <v>49</v>
      </c>
      <c r="B52" s="96"/>
      <c r="C52" s="113" t="s">
        <v>617</v>
      </c>
      <c r="D52" s="134" t="s">
        <v>618</v>
      </c>
      <c r="E52" s="1" t="s">
        <v>1</v>
      </c>
      <c r="H52" s="8"/>
    </row>
    <row r="53" spans="1:17">
      <c r="A53">
        <v>50</v>
      </c>
      <c r="B53" s="133" t="s">
        <v>619</v>
      </c>
      <c r="C53" s="97" t="s">
        <v>620</v>
      </c>
      <c r="D53" s="98" t="s">
        <v>647</v>
      </c>
      <c r="E53" s="1" t="s">
        <v>1</v>
      </c>
    </row>
    <row r="54" spans="1:17">
      <c r="A54">
        <v>51</v>
      </c>
      <c r="B54" s="96"/>
      <c r="C54" s="97" t="s">
        <v>622</v>
      </c>
      <c r="D54" s="98" t="s">
        <v>648</v>
      </c>
      <c r="E54" s="1" t="s">
        <v>1</v>
      </c>
    </row>
    <row r="55" spans="1:17">
      <c r="A55">
        <v>52</v>
      </c>
      <c r="B55" s="96"/>
      <c r="C55" s="97" t="s">
        <v>623</v>
      </c>
      <c r="D55" s="134" t="s">
        <v>621</v>
      </c>
      <c r="E55" s="1" t="s">
        <v>1</v>
      </c>
    </row>
    <row r="56" spans="1:17">
      <c r="A56">
        <v>53</v>
      </c>
      <c r="B56" s="96"/>
      <c r="C56" s="97" t="s">
        <v>624</v>
      </c>
      <c r="D56" s="134" t="s">
        <v>621</v>
      </c>
      <c r="E56" s="1" t="s">
        <v>1</v>
      </c>
    </row>
    <row r="57" spans="1:17">
      <c r="A57">
        <v>54</v>
      </c>
      <c r="B57" s="96"/>
      <c r="C57" s="113" t="s">
        <v>625</v>
      </c>
      <c r="D57" s="134" t="s">
        <v>621</v>
      </c>
      <c r="E57" s="1" t="s">
        <v>1</v>
      </c>
    </row>
    <row r="58" spans="1:17">
      <c r="A58">
        <v>55</v>
      </c>
      <c r="B58" s="96"/>
      <c r="C58" s="97" t="s">
        <v>626</v>
      </c>
      <c r="D58" s="134" t="s">
        <v>627</v>
      </c>
      <c r="E58" s="1" t="s">
        <v>1</v>
      </c>
    </row>
    <row r="59" spans="1:17">
      <c r="A59">
        <v>56</v>
      </c>
      <c r="B59" s="96"/>
      <c r="C59" s="97" t="s">
        <v>628</v>
      </c>
      <c r="D59" s="134" t="s">
        <v>627</v>
      </c>
      <c r="E59" s="1" t="s">
        <v>1</v>
      </c>
    </row>
    <row r="60" spans="1:17">
      <c r="A60">
        <v>57</v>
      </c>
      <c r="B60" s="96"/>
      <c r="C60" s="97" t="s">
        <v>629</v>
      </c>
      <c r="D60" s="114">
        <v>1</v>
      </c>
      <c r="E60" s="1" t="s">
        <v>1</v>
      </c>
    </row>
    <row r="61" spans="1:17">
      <c r="A61">
        <v>58</v>
      </c>
      <c r="B61" s="135" t="s">
        <v>630</v>
      </c>
      <c r="C61" s="97" t="s">
        <v>631</v>
      </c>
      <c r="D61" s="134" t="s">
        <v>627</v>
      </c>
      <c r="E61" s="1" t="s">
        <v>1</v>
      </c>
    </row>
    <row r="62" spans="1:17">
      <c r="A62">
        <v>59</v>
      </c>
      <c r="B62" s="96"/>
      <c r="C62" s="97" t="s">
        <v>632</v>
      </c>
      <c r="D62" s="125" t="s">
        <v>587</v>
      </c>
      <c r="E62" s="1" t="s">
        <v>1</v>
      </c>
    </row>
    <row r="63" spans="1:17">
      <c r="A63">
        <v>60</v>
      </c>
      <c r="B63" s="96"/>
      <c r="C63" s="97" t="s">
        <v>633</v>
      </c>
      <c r="D63" s="105" t="s">
        <v>634</v>
      </c>
      <c r="E63" s="1" t="s">
        <v>1</v>
      </c>
    </row>
    <row r="64" spans="1:17">
      <c r="A64">
        <v>61</v>
      </c>
      <c r="B64" s="96"/>
      <c r="C64" s="97" t="s">
        <v>635</v>
      </c>
      <c r="D64" s="105" t="s">
        <v>636</v>
      </c>
      <c r="E64" s="1" t="s">
        <v>1</v>
      </c>
    </row>
    <row r="65" spans="1:5">
      <c r="A65">
        <v>62</v>
      </c>
      <c r="B65" s="96"/>
      <c r="C65" s="97" t="s">
        <v>637</v>
      </c>
      <c r="D65" s="100"/>
      <c r="E65" s="1" t="s">
        <v>1</v>
      </c>
    </row>
    <row r="66" spans="1:5">
      <c r="A66">
        <v>63</v>
      </c>
      <c r="B66" s="96"/>
      <c r="C66" s="97" t="s">
        <v>638</v>
      </c>
      <c r="D66" s="100"/>
      <c r="E66" s="1" t="s">
        <v>1</v>
      </c>
    </row>
    <row r="67" spans="1:5">
      <c r="A67">
        <v>64</v>
      </c>
      <c r="B67" s="96"/>
      <c r="C67" s="97" t="s">
        <v>639</v>
      </c>
      <c r="D67" s="100"/>
      <c r="E67" s="1" t="s">
        <v>1</v>
      </c>
    </row>
    <row r="68" spans="1:5">
      <c r="A68">
        <v>65</v>
      </c>
      <c r="B68" s="136" t="s">
        <v>640</v>
      </c>
      <c r="C68" s="99" t="s">
        <v>641</v>
      </c>
      <c r="D68" s="100"/>
      <c r="E68" s="1" t="s">
        <v>1</v>
      </c>
    </row>
    <row r="69" spans="1:5">
      <c r="A69">
        <v>66</v>
      </c>
      <c r="B69" s="96"/>
      <c r="C69" s="99" t="s">
        <v>642</v>
      </c>
      <c r="D69" s="100"/>
      <c r="E69" s="1" t="s">
        <v>1</v>
      </c>
    </row>
    <row r="70" spans="1:5">
      <c r="A70">
        <v>67</v>
      </c>
      <c r="B70" s="96"/>
      <c r="C70" s="99" t="s">
        <v>643</v>
      </c>
      <c r="D70" s="100"/>
      <c r="E70" s="1" t="s">
        <v>1</v>
      </c>
    </row>
    <row r="71" spans="1:5">
      <c r="A71">
        <v>68</v>
      </c>
      <c r="B71" s="96"/>
      <c r="C71" s="99" t="s">
        <v>644</v>
      </c>
      <c r="D71" s="100"/>
      <c r="E71" s="1" t="s">
        <v>1</v>
      </c>
    </row>
    <row r="72" spans="1:5">
      <c r="A72">
        <v>69</v>
      </c>
      <c r="B72" s="137"/>
      <c r="C72" s="122" t="s">
        <v>645</v>
      </c>
      <c r="D72" s="124"/>
      <c r="E72" s="1" t="s">
        <v>1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"/>
  <sheetViews>
    <sheetView zoomScale="95" zoomScaleNormal="95" workbookViewId="0">
      <selection sqref="A1:A1048576"/>
    </sheetView>
  </sheetViews>
  <sheetFormatPr baseColWidth="10" defaultColWidth="11.5" defaultRowHeight="15"/>
  <cols>
    <col min="1" max="1" width="23.33203125" customWidth="1"/>
    <col min="2" max="2" width="28.6640625" bestFit="1" customWidth="1"/>
    <col min="3" max="3" width="19.5" customWidth="1"/>
    <col min="4" max="4" width="20.5" customWidth="1"/>
    <col min="5" max="5" width="15.5" bestFit="1" customWidth="1"/>
    <col min="6" max="6" width="17.6640625" bestFit="1" customWidth="1"/>
    <col min="7" max="7" width="15.5" customWidth="1"/>
    <col min="8" max="8" width="12.6640625" customWidth="1"/>
    <col min="9" max="9" width="55.6640625" customWidth="1"/>
    <col min="10" max="10" width="65.1640625" customWidth="1"/>
  </cols>
  <sheetData>
    <row r="1" spans="1:10">
      <c r="A1" s="2" t="s">
        <v>48</v>
      </c>
      <c r="B1" s="2" t="s">
        <v>52</v>
      </c>
      <c r="C1" s="2" t="s">
        <v>57</v>
      </c>
      <c r="D1" s="2" t="s">
        <v>62</v>
      </c>
      <c r="E1" s="5" t="s">
        <v>50</v>
      </c>
      <c r="F1" s="5" t="s">
        <v>54</v>
      </c>
      <c r="G1" s="5" t="s">
        <v>59</v>
      </c>
      <c r="H1" s="5" t="s">
        <v>64</v>
      </c>
      <c r="I1" s="5" t="s">
        <v>67</v>
      </c>
      <c r="J1" s="5" t="s">
        <v>69</v>
      </c>
    </row>
    <row r="2" spans="1:10">
      <c r="A2" t="s">
        <v>38</v>
      </c>
      <c r="B2" t="s">
        <v>71</v>
      </c>
      <c r="C2" t="s">
        <v>72</v>
      </c>
      <c r="D2" s="8">
        <v>2007</v>
      </c>
      <c r="E2" s="57">
        <v>0.11</v>
      </c>
      <c r="F2" t="s">
        <v>55</v>
      </c>
      <c r="G2" t="s">
        <v>60</v>
      </c>
      <c r="H2" t="s">
        <v>38</v>
      </c>
      <c r="J2" t="s">
        <v>73</v>
      </c>
    </row>
    <row r="3" spans="1:10">
      <c r="A3" t="s">
        <v>74</v>
      </c>
      <c r="B3" t="s">
        <v>75</v>
      </c>
      <c r="C3" t="s">
        <v>76</v>
      </c>
      <c r="D3" s="8">
        <v>2014</v>
      </c>
      <c r="E3" s="54">
        <v>10.33</v>
      </c>
      <c r="F3" t="s">
        <v>55</v>
      </c>
      <c r="G3" t="s">
        <v>60</v>
      </c>
      <c r="H3" t="s">
        <v>38</v>
      </c>
      <c r="I3" t="s">
        <v>77</v>
      </c>
      <c r="J3" s="55" t="s">
        <v>78</v>
      </c>
    </row>
    <row r="4" spans="1:10">
      <c r="A4" t="s">
        <v>74</v>
      </c>
      <c r="B4" t="s">
        <v>79</v>
      </c>
      <c r="C4" t="s">
        <v>80</v>
      </c>
      <c r="D4" s="8">
        <v>2000</v>
      </c>
      <c r="E4" s="54">
        <v>15.6</v>
      </c>
      <c r="F4" t="s">
        <v>55</v>
      </c>
      <c r="G4" t="s">
        <v>60</v>
      </c>
      <c r="H4" t="s">
        <v>38</v>
      </c>
      <c r="I4" t="s">
        <v>81</v>
      </c>
      <c r="J4" s="55" t="s">
        <v>82</v>
      </c>
    </row>
    <row r="5" spans="1:10">
      <c r="A5" t="s">
        <v>74</v>
      </c>
      <c r="B5" t="s">
        <v>83</v>
      </c>
      <c r="C5" t="s">
        <v>80</v>
      </c>
      <c r="D5" s="8">
        <v>2012</v>
      </c>
      <c r="E5" s="54">
        <v>15.3</v>
      </c>
      <c r="F5" t="s">
        <v>55</v>
      </c>
      <c r="G5" t="s">
        <v>60</v>
      </c>
      <c r="H5" t="s">
        <v>38</v>
      </c>
      <c r="I5" t="s">
        <v>81</v>
      </c>
      <c r="J5" s="55" t="s">
        <v>82</v>
      </c>
    </row>
    <row r="6" spans="1:10">
      <c r="A6" t="s">
        <v>74</v>
      </c>
      <c r="B6" t="s">
        <v>84</v>
      </c>
      <c r="C6" t="s">
        <v>80</v>
      </c>
      <c r="D6" s="8">
        <v>2000</v>
      </c>
      <c r="E6" s="54">
        <v>14.3</v>
      </c>
      <c r="F6" t="s">
        <v>55</v>
      </c>
      <c r="G6" t="s">
        <v>60</v>
      </c>
      <c r="H6" t="s">
        <v>38</v>
      </c>
      <c r="I6" t="s">
        <v>81</v>
      </c>
      <c r="J6" s="55" t="s">
        <v>82</v>
      </c>
    </row>
    <row r="7" spans="1:10">
      <c r="A7" t="s">
        <v>74</v>
      </c>
      <c r="B7" t="s">
        <v>84</v>
      </c>
      <c r="C7" t="s">
        <v>80</v>
      </c>
      <c r="D7" s="8">
        <v>2012</v>
      </c>
      <c r="E7" s="54">
        <v>12.9</v>
      </c>
      <c r="F7" t="s">
        <v>55</v>
      </c>
      <c r="G7" t="s">
        <v>60</v>
      </c>
      <c r="H7" t="s">
        <v>38</v>
      </c>
      <c r="I7" t="s">
        <v>81</v>
      </c>
      <c r="J7" s="55" t="s">
        <v>82</v>
      </c>
    </row>
    <row r="8" spans="1:10">
      <c r="A8" t="s">
        <v>74</v>
      </c>
      <c r="B8" t="s">
        <v>85</v>
      </c>
      <c r="C8" t="s">
        <v>80</v>
      </c>
      <c r="D8" s="8">
        <v>2000</v>
      </c>
      <c r="E8" s="54">
        <v>19.7</v>
      </c>
      <c r="F8" t="s">
        <v>55</v>
      </c>
      <c r="G8" t="s">
        <v>60</v>
      </c>
      <c r="H8" t="s">
        <v>38</v>
      </c>
      <c r="I8" t="s">
        <v>81</v>
      </c>
      <c r="J8" s="55" t="s">
        <v>82</v>
      </c>
    </row>
    <row r="9" spans="1:10">
      <c r="A9" t="s">
        <v>74</v>
      </c>
      <c r="B9" t="s">
        <v>85</v>
      </c>
      <c r="C9" t="s">
        <v>80</v>
      </c>
      <c r="D9" s="8">
        <v>2012</v>
      </c>
      <c r="E9" s="54">
        <v>17.8</v>
      </c>
      <c r="F9" t="s">
        <v>55</v>
      </c>
      <c r="G9" t="s">
        <v>60</v>
      </c>
      <c r="H9" t="s">
        <v>38</v>
      </c>
      <c r="I9" t="s">
        <v>81</v>
      </c>
      <c r="J9" s="55" t="s">
        <v>82</v>
      </c>
    </row>
    <row r="10" spans="1:10">
      <c r="A10" t="s">
        <v>86</v>
      </c>
      <c r="B10" t="s">
        <v>79</v>
      </c>
      <c r="C10" t="s">
        <v>80</v>
      </c>
      <c r="D10" s="8">
        <v>2000</v>
      </c>
      <c r="E10" s="54">
        <v>19.600000000000001</v>
      </c>
      <c r="F10" t="s">
        <v>55</v>
      </c>
      <c r="G10" t="s">
        <v>60</v>
      </c>
      <c r="H10" t="s">
        <v>38</v>
      </c>
      <c r="I10" t="s">
        <v>81</v>
      </c>
      <c r="J10" s="55" t="s">
        <v>82</v>
      </c>
    </row>
    <row r="11" spans="1:10">
      <c r="A11" t="s">
        <v>86</v>
      </c>
      <c r="B11" t="s">
        <v>84</v>
      </c>
      <c r="C11" t="s">
        <v>80</v>
      </c>
      <c r="D11" s="8">
        <v>2000</v>
      </c>
      <c r="E11" s="54">
        <v>17.899999999999999</v>
      </c>
      <c r="F11" t="s">
        <v>55</v>
      </c>
      <c r="G11" t="s">
        <v>60</v>
      </c>
      <c r="H11" t="s">
        <v>38</v>
      </c>
      <c r="I11" t="s">
        <v>81</v>
      </c>
      <c r="J11" s="55" t="s">
        <v>82</v>
      </c>
    </row>
    <row r="12" spans="1:10">
      <c r="A12" t="s">
        <v>86</v>
      </c>
      <c r="B12" t="s">
        <v>85</v>
      </c>
      <c r="C12" t="s">
        <v>80</v>
      </c>
      <c r="D12" s="8">
        <v>2000</v>
      </c>
      <c r="E12" s="54">
        <v>24.6</v>
      </c>
      <c r="F12" t="s">
        <v>55</v>
      </c>
      <c r="G12" t="s">
        <v>60</v>
      </c>
      <c r="H12" t="s">
        <v>38</v>
      </c>
      <c r="I12" t="s">
        <v>81</v>
      </c>
      <c r="J12" s="55" t="s">
        <v>82</v>
      </c>
    </row>
    <row r="13" spans="1:10">
      <c r="A13" t="s">
        <v>87</v>
      </c>
      <c r="B13" t="s">
        <v>88</v>
      </c>
      <c r="C13" t="s">
        <v>80</v>
      </c>
      <c r="D13" s="8">
        <v>2000</v>
      </c>
      <c r="E13" s="54">
        <v>6.85</v>
      </c>
      <c r="F13" t="s">
        <v>55</v>
      </c>
      <c r="G13" t="s">
        <v>60</v>
      </c>
      <c r="H13" t="s">
        <v>89</v>
      </c>
      <c r="I13" t="s">
        <v>81</v>
      </c>
      <c r="J13" s="55" t="s">
        <v>82</v>
      </c>
    </row>
    <row r="14" spans="1:10">
      <c r="A14" t="s">
        <v>87</v>
      </c>
      <c r="B14" t="s">
        <v>88</v>
      </c>
      <c r="C14" t="s">
        <v>80</v>
      </c>
      <c r="D14" s="8">
        <v>2012</v>
      </c>
      <c r="E14" s="54">
        <v>5.8</v>
      </c>
      <c r="F14" t="s">
        <v>55</v>
      </c>
      <c r="G14" t="s">
        <v>60</v>
      </c>
      <c r="H14" t="s">
        <v>38</v>
      </c>
      <c r="I14" t="s">
        <v>81</v>
      </c>
      <c r="J14" s="55" t="s">
        <v>82</v>
      </c>
    </row>
    <row r="15" spans="1:10">
      <c r="A15" t="s">
        <v>87</v>
      </c>
      <c r="B15" t="s">
        <v>90</v>
      </c>
      <c r="C15" t="s">
        <v>80</v>
      </c>
      <c r="D15" s="8">
        <v>2000</v>
      </c>
      <c r="E15" s="54">
        <v>9.5500000000000007</v>
      </c>
      <c r="F15" t="s">
        <v>55</v>
      </c>
      <c r="G15" t="s">
        <v>60</v>
      </c>
      <c r="H15" t="s">
        <v>91</v>
      </c>
      <c r="I15" t="s">
        <v>81</v>
      </c>
      <c r="J15" s="55" t="s">
        <v>82</v>
      </c>
    </row>
    <row r="16" spans="1:10">
      <c r="A16" t="s">
        <v>87</v>
      </c>
      <c r="B16" t="s">
        <v>90</v>
      </c>
      <c r="C16" t="s">
        <v>80</v>
      </c>
      <c r="D16" s="8">
        <v>2012</v>
      </c>
      <c r="E16" s="54">
        <v>7.9</v>
      </c>
      <c r="F16" t="s">
        <v>55</v>
      </c>
      <c r="G16" t="s">
        <v>60</v>
      </c>
      <c r="H16" t="s">
        <v>38</v>
      </c>
      <c r="I16" t="s">
        <v>81</v>
      </c>
      <c r="J16" s="55" t="s">
        <v>82</v>
      </c>
    </row>
    <row r="17" spans="1:10">
      <c r="A17" t="s">
        <v>87</v>
      </c>
      <c r="B17" t="s">
        <v>92</v>
      </c>
      <c r="C17" t="s">
        <v>93</v>
      </c>
      <c r="D17" s="8">
        <v>2002</v>
      </c>
      <c r="E17" s="54">
        <v>127.76</v>
      </c>
      <c r="F17" t="s">
        <v>55</v>
      </c>
      <c r="G17" t="s">
        <v>60</v>
      </c>
      <c r="H17" t="s">
        <v>38</v>
      </c>
      <c r="I17" t="s">
        <v>94</v>
      </c>
      <c r="J17" t="s">
        <v>95</v>
      </c>
    </row>
    <row r="18" spans="1:10">
      <c r="A18" t="s">
        <v>87</v>
      </c>
      <c r="B18" t="s">
        <v>96</v>
      </c>
      <c r="C18" t="s">
        <v>93</v>
      </c>
      <c r="D18" s="8">
        <v>2002</v>
      </c>
      <c r="E18" s="54">
        <v>22.61</v>
      </c>
      <c r="F18" t="s">
        <v>55</v>
      </c>
      <c r="G18" t="s">
        <v>60</v>
      </c>
      <c r="H18" t="s">
        <v>38</v>
      </c>
      <c r="I18" t="s">
        <v>94</v>
      </c>
      <c r="J18" t="s">
        <v>95</v>
      </c>
    </row>
    <row r="19" spans="1:10">
      <c r="A19" t="s">
        <v>87</v>
      </c>
      <c r="B19" t="s">
        <v>97</v>
      </c>
      <c r="C19" t="s">
        <v>93</v>
      </c>
      <c r="D19" s="8">
        <v>2002</v>
      </c>
      <c r="E19" s="54">
        <v>38.92</v>
      </c>
      <c r="F19" t="s">
        <v>55</v>
      </c>
      <c r="G19" t="s">
        <v>60</v>
      </c>
      <c r="H19" t="s">
        <v>38</v>
      </c>
      <c r="I19" t="s">
        <v>94</v>
      </c>
      <c r="J19" t="s">
        <v>95</v>
      </c>
    </row>
    <row r="20" spans="1:10">
      <c r="A20" t="s">
        <v>74</v>
      </c>
      <c r="B20" t="s">
        <v>98</v>
      </c>
      <c r="C20" t="s">
        <v>93</v>
      </c>
      <c r="D20" s="8">
        <v>2010</v>
      </c>
      <c r="E20" s="54">
        <v>16.53</v>
      </c>
      <c r="F20" t="s">
        <v>55</v>
      </c>
      <c r="G20" t="s">
        <v>60</v>
      </c>
      <c r="H20" t="s">
        <v>38</v>
      </c>
      <c r="I20" t="s">
        <v>94</v>
      </c>
      <c r="J20" t="s">
        <v>99</v>
      </c>
    </row>
    <row r="21" spans="1:10">
      <c r="A21" t="s">
        <v>87</v>
      </c>
      <c r="B21" t="s">
        <v>100</v>
      </c>
      <c r="C21" t="s">
        <v>101</v>
      </c>
      <c r="D21" s="8">
        <v>2010</v>
      </c>
      <c r="E21" s="54">
        <v>60.55</v>
      </c>
      <c r="F21" t="s">
        <v>55</v>
      </c>
      <c r="G21" t="s">
        <v>60</v>
      </c>
      <c r="H21" t="s">
        <v>38</v>
      </c>
      <c r="I21" t="s">
        <v>102</v>
      </c>
      <c r="J21" s="55" t="s">
        <v>99</v>
      </c>
    </row>
    <row r="22" spans="1:10">
      <c r="A22" t="s">
        <v>87</v>
      </c>
      <c r="B22" t="s">
        <v>103</v>
      </c>
      <c r="C22" t="s">
        <v>80</v>
      </c>
      <c r="D22" s="8">
        <v>2013</v>
      </c>
      <c r="E22" s="54">
        <v>9.36</v>
      </c>
      <c r="F22" t="s">
        <v>55</v>
      </c>
      <c r="G22" t="s">
        <v>60</v>
      </c>
      <c r="H22" t="s">
        <v>38</v>
      </c>
      <c r="I22" t="s">
        <v>104</v>
      </c>
      <c r="J22" s="55" t="s">
        <v>105</v>
      </c>
    </row>
    <row r="23" spans="1:10">
      <c r="A23" t="s">
        <v>74</v>
      </c>
      <c r="B23" t="s">
        <v>103</v>
      </c>
      <c r="C23" t="s">
        <v>80</v>
      </c>
      <c r="D23" s="8">
        <v>2013</v>
      </c>
      <c r="E23" s="54">
        <v>20.9</v>
      </c>
      <c r="F23" t="s">
        <v>55</v>
      </c>
      <c r="G23" t="s">
        <v>60</v>
      </c>
      <c r="H23" t="s">
        <v>38</v>
      </c>
      <c r="I23" t="s">
        <v>106</v>
      </c>
      <c r="J23" s="55" t="s">
        <v>105</v>
      </c>
    </row>
    <row r="24" spans="1:10">
      <c r="A24" t="s">
        <v>74</v>
      </c>
      <c r="B24" t="s">
        <v>107</v>
      </c>
      <c r="C24" t="s">
        <v>80</v>
      </c>
      <c r="D24" s="8">
        <v>2013</v>
      </c>
      <c r="E24" s="54">
        <v>15.2</v>
      </c>
      <c r="F24" t="s">
        <v>55</v>
      </c>
      <c r="G24" t="s">
        <v>60</v>
      </c>
      <c r="H24" t="s">
        <v>38</v>
      </c>
      <c r="I24" t="s">
        <v>108</v>
      </c>
      <c r="J24" s="55" t="s">
        <v>105</v>
      </c>
    </row>
    <row r="25" spans="1:10">
      <c r="A25" t="s">
        <v>87</v>
      </c>
      <c r="B25" t="s">
        <v>75</v>
      </c>
      <c r="C25" t="s">
        <v>109</v>
      </c>
      <c r="D25" s="8">
        <v>2017</v>
      </c>
      <c r="E25" s="54">
        <v>8.93</v>
      </c>
      <c r="F25" t="s">
        <v>55</v>
      </c>
      <c r="G25" t="s">
        <v>60</v>
      </c>
      <c r="H25" t="s">
        <v>38</v>
      </c>
      <c r="I25" t="s">
        <v>110</v>
      </c>
      <c r="J25" s="55" t="s">
        <v>111</v>
      </c>
    </row>
    <row r="26" spans="1:10">
      <c r="A26" t="s">
        <v>74</v>
      </c>
      <c r="B26" t="s">
        <v>75</v>
      </c>
      <c r="C26" t="s">
        <v>109</v>
      </c>
      <c r="D26" s="8">
        <v>2017</v>
      </c>
      <c r="E26" s="54">
        <v>11.88</v>
      </c>
      <c r="F26" t="s">
        <v>55</v>
      </c>
      <c r="G26" t="s">
        <v>60</v>
      </c>
      <c r="H26" t="s">
        <v>38</v>
      </c>
      <c r="I26" t="s">
        <v>110</v>
      </c>
      <c r="J26" t="s">
        <v>111</v>
      </c>
    </row>
    <row r="27" spans="1:10">
      <c r="A27" t="s">
        <v>87</v>
      </c>
      <c r="B27" t="s">
        <v>112</v>
      </c>
      <c r="C27" t="s">
        <v>113</v>
      </c>
      <c r="D27" s="8">
        <v>2018</v>
      </c>
      <c r="E27" s="54">
        <v>10.44</v>
      </c>
      <c r="F27" t="s">
        <v>55</v>
      </c>
      <c r="G27" t="s">
        <v>60</v>
      </c>
      <c r="H27" t="s">
        <v>114</v>
      </c>
      <c r="I27" t="s">
        <v>115</v>
      </c>
      <c r="J27" s="55" t="s">
        <v>116</v>
      </c>
    </row>
    <row r="28" spans="1:10">
      <c r="A28" t="s">
        <v>87</v>
      </c>
      <c r="B28" t="s">
        <v>117</v>
      </c>
      <c r="C28" t="s">
        <v>113</v>
      </c>
      <c r="D28" s="8">
        <v>2018</v>
      </c>
      <c r="E28" s="54">
        <v>7.38</v>
      </c>
      <c r="F28" t="s">
        <v>55</v>
      </c>
      <c r="G28" t="s">
        <v>60</v>
      </c>
      <c r="H28" t="s">
        <v>118</v>
      </c>
      <c r="I28" t="s">
        <v>115</v>
      </c>
      <c r="J28" s="55" t="s">
        <v>119</v>
      </c>
    </row>
    <row r="29" spans="1:10">
      <c r="A29" t="s">
        <v>74</v>
      </c>
      <c r="B29" t="s">
        <v>120</v>
      </c>
      <c r="C29" t="s">
        <v>121</v>
      </c>
      <c r="D29" s="8">
        <v>2016</v>
      </c>
      <c r="E29" s="54">
        <v>10.81</v>
      </c>
      <c r="F29" t="s">
        <v>55</v>
      </c>
      <c r="G29" t="s">
        <v>60</v>
      </c>
      <c r="H29" t="s">
        <v>38</v>
      </c>
      <c r="I29" t="s">
        <v>122</v>
      </c>
      <c r="J29" t="s">
        <v>123</v>
      </c>
    </row>
    <row r="30" spans="1:10">
      <c r="A30" t="s">
        <v>74</v>
      </c>
      <c r="B30" t="s">
        <v>124</v>
      </c>
      <c r="C30" t="s">
        <v>121</v>
      </c>
      <c r="D30" s="8">
        <v>2016</v>
      </c>
      <c r="E30" s="54">
        <v>16.84</v>
      </c>
      <c r="F30" t="s">
        <v>55</v>
      </c>
      <c r="G30" t="s">
        <v>60</v>
      </c>
      <c r="H30" t="s">
        <v>38</v>
      </c>
      <c r="I30" t="s">
        <v>125</v>
      </c>
      <c r="J30" t="s">
        <v>123</v>
      </c>
    </row>
    <row r="31" spans="1:10">
      <c r="A31" t="s">
        <v>126</v>
      </c>
      <c r="B31" t="s">
        <v>127</v>
      </c>
      <c r="C31" t="s">
        <v>121</v>
      </c>
      <c r="D31" s="8">
        <v>2016</v>
      </c>
      <c r="E31" s="54">
        <v>10.48</v>
      </c>
      <c r="F31" t="s">
        <v>55</v>
      </c>
      <c r="G31" t="s">
        <v>60</v>
      </c>
      <c r="H31" t="s">
        <v>38</v>
      </c>
      <c r="I31" t="s">
        <v>128</v>
      </c>
      <c r="J31" t="s">
        <v>123</v>
      </c>
    </row>
    <row r="32" spans="1:10">
      <c r="A32" t="s">
        <v>87</v>
      </c>
      <c r="B32" t="s">
        <v>129</v>
      </c>
      <c r="C32" t="s">
        <v>121</v>
      </c>
      <c r="D32" s="8">
        <v>2016</v>
      </c>
      <c r="E32" s="54">
        <v>6.76</v>
      </c>
      <c r="F32" t="s">
        <v>55</v>
      </c>
      <c r="G32" t="s">
        <v>60</v>
      </c>
      <c r="H32" t="s">
        <v>38</v>
      </c>
      <c r="I32" t="s">
        <v>130</v>
      </c>
      <c r="J32" t="s">
        <v>123</v>
      </c>
    </row>
    <row r="33" spans="1:10">
      <c r="A33" t="s">
        <v>74</v>
      </c>
      <c r="B33" t="s">
        <v>75</v>
      </c>
      <c r="C33" t="s">
        <v>131</v>
      </c>
      <c r="D33" s="8">
        <v>2006</v>
      </c>
      <c r="E33" s="54">
        <v>13</v>
      </c>
      <c r="F33" t="s">
        <v>55</v>
      </c>
      <c r="G33" t="s">
        <v>60</v>
      </c>
      <c r="H33" t="s">
        <v>38</v>
      </c>
      <c r="I33" t="s">
        <v>132</v>
      </c>
      <c r="J33" s="55" t="s">
        <v>133</v>
      </c>
    </row>
    <row r="34" spans="1:10">
      <c r="A34" t="s">
        <v>86</v>
      </c>
      <c r="B34" t="s">
        <v>75</v>
      </c>
      <c r="C34" t="s">
        <v>131</v>
      </c>
      <c r="D34" s="8">
        <v>2006</v>
      </c>
      <c r="E34" s="54">
        <v>21.95</v>
      </c>
      <c r="F34" t="s">
        <v>55</v>
      </c>
      <c r="G34" t="s">
        <v>60</v>
      </c>
      <c r="H34" t="s">
        <v>38</v>
      </c>
      <c r="I34" t="s">
        <v>134</v>
      </c>
      <c r="J34" t="s">
        <v>133</v>
      </c>
    </row>
    <row r="35" spans="1:10">
      <c r="A35" t="s">
        <v>74</v>
      </c>
      <c r="B35" t="s">
        <v>75</v>
      </c>
      <c r="C35" t="s">
        <v>135</v>
      </c>
      <c r="D35" s="8">
        <v>2010</v>
      </c>
      <c r="E35" s="56">
        <v>17.299999999999997</v>
      </c>
      <c r="F35" t="s">
        <v>55</v>
      </c>
      <c r="G35" t="s">
        <v>60</v>
      </c>
      <c r="H35" t="s">
        <v>38</v>
      </c>
      <c r="I35" t="s">
        <v>136</v>
      </c>
      <c r="J35" s="55" t="s">
        <v>137</v>
      </c>
    </row>
    <row r="36" spans="1:10">
      <c r="A36" t="s">
        <v>74</v>
      </c>
      <c r="B36" t="s">
        <v>75</v>
      </c>
      <c r="C36" t="s">
        <v>113</v>
      </c>
      <c r="D36" s="8">
        <v>2010</v>
      </c>
      <c r="E36" s="56">
        <v>22.49</v>
      </c>
      <c r="F36" t="s">
        <v>55</v>
      </c>
      <c r="G36" t="s">
        <v>60</v>
      </c>
      <c r="H36" t="s">
        <v>38</v>
      </c>
      <c r="I36" t="s">
        <v>136</v>
      </c>
      <c r="J36" t="s">
        <v>138</v>
      </c>
    </row>
    <row r="37" spans="1:10">
      <c r="A37" t="s">
        <v>74</v>
      </c>
      <c r="B37" t="s">
        <v>75</v>
      </c>
      <c r="C37" t="s">
        <v>139</v>
      </c>
      <c r="D37" s="8">
        <v>2010</v>
      </c>
      <c r="E37" s="56">
        <v>22.49</v>
      </c>
      <c r="F37" t="s">
        <v>55</v>
      </c>
      <c r="G37" t="s">
        <v>60</v>
      </c>
      <c r="H37" t="s">
        <v>38</v>
      </c>
      <c r="I37" t="s">
        <v>136</v>
      </c>
      <c r="J37" t="s">
        <v>140</v>
      </c>
    </row>
    <row r="38" spans="1:10">
      <c r="A38" t="s">
        <v>74</v>
      </c>
      <c r="B38" t="s">
        <v>75</v>
      </c>
      <c r="C38" t="s">
        <v>141</v>
      </c>
      <c r="D38" s="8">
        <v>2010</v>
      </c>
      <c r="E38" s="56">
        <v>22.49</v>
      </c>
      <c r="F38" t="s">
        <v>55</v>
      </c>
      <c r="G38" t="s">
        <v>60</v>
      </c>
      <c r="H38" t="s">
        <v>38</v>
      </c>
      <c r="I38" t="s">
        <v>136</v>
      </c>
      <c r="J38" t="s">
        <v>142</v>
      </c>
    </row>
    <row r="39" spans="1:10">
      <c r="A39" t="s">
        <v>74</v>
      </c>
      <c r="B39" t="s">
        <v>75</v>
      </c>
      <c r="C39" t="s">
        <v>143</v>
      </c>
      <c r="D39" s="8">
        <v>2010</v>
      </c>
      <c r="E39" s="56">
        <v>22.49</v>
      </c>
      <c r="F39" t="s">
        <v>55</v>
      </c>
      <c r="G39" t="s">
        <v>60</v>
      </c>
      <c r="H39" t="s">
        <v>38</v>
      </c>
      <c r="I39" t="s">
        <v>136</v>
      </c>
      <c r="J39" t="s">
        <v>144</v>
      </c>
    </row>
    <row r="40" spans="1:10">
      <c r="A40" t="s">
        <v>74</v>
      </c>
      <c r="B40" t="s">
        <v>75</v>
      </c>
      <c r="C40" t="s">
        <v>145</v>
      </c>
      <c r="D40" s="8">
        <v>2010</v>
      </c>
      <c r="E40" s="56">
        <v>22.49</v>
      </c>
      <c r="F40" t="s">
        <v>55</v>
      </c>
      <c r="G40" t="s">
        <v>60</v>
      </c>
      <c r="H40" t="s">
        <v>38</v>
      </c>
      <c r="I40" t="s">
        <v>136</v>
      </c>
      <c r="J40" t="s">
        <v>146</v>
      </c>
    </row>
    <row r="41" spans="1:10">
      <c r="A41" t="s">
        <v>74</v>
      </c>
      <c r="B41" t="s">
        <v>75</v>
      </c>
      <c r="C41" t="s">
        <v>147</v>
      </c>
      <c r="D41" s="8">
        <v>2010</v>
      </c>
      <c r="E41" s="56">
        <v>17.299999999999997</v>
      </c>
      <c r="F41" t="s">
        <v>55</v>
      </c>
      <c r="G41" t="s">
        <v>60</v>
      </c>
      <c r="H41" t="s">
        <v>38</v>
      </c>
      <c r="I41" t="s">
        <v>136</v>
      </c>
      <c r="J41" t="s">
        <v>148</v>
      </c>
    </row>
    <row r="42" spans="1:10">
      <c r="A42" t="s">
        <v>74</v>
      </c>
      <c r="B42" t="s">
        <v>75</v>
      </c>
      <c r="C42" t="s">
        <v>149</v>
      </c>
      <c r="D42" s="8">
        <v>2010</v>
      </c>
      <c r="E42" s="56">
        <v>17.299999999999997</v>
      </c>
      <c r="F42" t="s">
        <v>55</v>
      </c>
      <c r="G42" t="s">
        <v>60</v>
      </c>
      <c r="H42" t="s">
        <v>38</v>
      </c>
      <c r="I42" t="s">
        <v>136</v>
      </c>
      <c r="J42" t="s">
        <v>150</v>
      </c>
    </row>
    <row r="43" spans="1:10">
      <c r="A43" t="s">
        <v>74</v>
      </c>
      <c r="B43" t="s">
        <v>75</v>
      </c>
      <c r="C43" t="s">
        <v>135</v>
      </c>
      <c r="D43" s="8">
        <v>2030</v>
      </c>
      <c r="E43" s="56">
        <v>12.11</v>
      </c>
      <c r="F43" t="s">
        <v>55</v>
      </c>
      <c r="G43" t="s">
        <v>60</v>
      </c>
      <c r="H43" t="s">
        <v>38</v>
      </c>
      <c r="I43" t="s">
        <v>136</v>
      </c>
      <c r="J43" t="s">
        <v>151</v>
      </c>
    </row>
    <row r="44" spans="1:10">
      <c r="A44" t="s">
        <v>74</v>
      </c>
      <c r="B44" t="s">
        <v>75</v>
      </c>
      <c r="C44" t="s">
        <v>113</v>
      </c>
      <c r="D44" s="8">
        <v>2030</v>
      </c>
      <c r="E44" s="56">
        <v>15.742999999999999</v>
      </c>
      <c r="F44" t="s">
        <v>55</v>
      </c>
      <c r="G44" t="s">
        <v>60</v>
      </c>
      <c r="H44" t="s">
        <v>38</v>
      </c>
      <c r="I44" t="s">
        <v>136</v>
      </c>
      <c r="J44" t="s">
        <v>152</v>
      </c>
    </row>
    <row r="45" spans="1:10">
      <c r="A45" t="s">
        <v>74</v>
      </c>
      <c r="B45" t="s">
        <v>75</v>
      </c>
      <c r="C45" t="s">
        <v>139</v>
      </c>
      <c r="D45" s="8">
        <v>2030</v>
      </c>
      <c r="E45" s="56">
        <v>15.742999999999999</v>
      </c>
      <c r="F45" t="s">
        <v>55</v>
      </c>
      <c r="G45" t="s">
        <v>60</v>
      </c>
      <c r="H45" t="s">
        <v>38</v>
      </c>
      <c r="I45" t="s">
        <v>136</v>
      </c>
      <c r="J45" t="s">
        <v>153</v>
      </c>
    </row>
    <row r="46" spans="1:10">
      <c r="A46" t="s">
        <v>74</v>
      </c>
      <c r="B46" t="s">
        <v>75</v>
      </c>
      <c r="C46" t="s">
        <v>141</v>
      </c>
      <c r="D46" s="8">
        <v>2030</v>
      </c>
      <c r="E46" s="56">
        <v>15.742999999999999</v>
      </c>
      <c r="F46" t="s">
        <v>55</v>
      </c>
      <c r="G46" t="s">
        <v>60</v>
      </c>
      <c r="H46" t="s">
        <v>38</v>
      </c>
      <c r="I46" t="s">
        <v>136</v>
      </c>
      <c r="J46" t="s">
        <v>154</v>
      </c>
    </row>
    <row r="47" spans="1:10">
      <c r="A47" t="s">
        <v>74</v>
      </c>
      <c r="B47" t="s">
        <v>75</v>
      </c>
      <c r="C47" t="s">
        <v>143</v>
      </c>
      <c r="D47" s="8">
        <v>2030</v>
      </c>
      <c r="E47" s="56">
        <v>15.742999999999999</v>
      </c>
      <c r="F47" t="s">
        <v>55</v>
      </c>
      <c r="G47" t="s">
        <v>60</v>
      </c>
      <c r="H47" t="s">
        <v>38</v>
      </c>
      <c r="I47" t="s">
        <v>136</v>
      </c>
      <c r="J47" t="s">
        <v>155</v>
      </c>
    </row>
    <row r="48" spans="1:10">
      <c r="A48" t="s">
        <v>74</v>
      </c>
      <c r="B48" t="s">
        <v>75</v>
      </c>
      <c r="C48" t="s">
        <v>145</v>
      </c>
      <c r="D48" s="8">
        <v>2030</v>
      </c>
      <c r="E48" s="56">
        <v>15.742999999999999</v>
      </c>
      <c r="F48" t="s">
        <v>55</v>
      </c>
      <c r="G48" t="s">
        <v>60</v>
      </c>
      <c r="H48" t="s">
        <v>38</v>
      </c>
      <c r="I48" t="s">
        <v>136</v>
      </c>
      <c r="J48" t="s">
        <v>156</v>
      </c>
    </row>
    <row r="49" spans="1:10">
      <c r="A49" t="s">
        <v>74</v>
      </c>
      <c r="B49" t="s">
        <v>75</v>
      </c>
      <c r="C49" t="s">
        <v>147</v>
      </c>
      <c r="D49" s="8">
        <v>2030</v>
      </c>
      <c r="E49" s="56">
        <v>12.282999999999999</v>
      </c>
      <c r="F49" t="s">
        <v>55</v>
      </c>
      <c r="G49" t="s">
        <v>60</v>
      </c>
      <c r="H49" t="s">
        <v>38</v>
      </c>
      <c r="I49" t="s">
        <v>136</v>
      </c>
      <c r="J49" t="s">
        <v>157</v>
      </c>
    </row>
    <row r="50" spans="1:10">
      <c r="A50" t="s">
        <v>74</v>
      </c>
      <c r="B50" t="s">
        <v>75</v>
      </c>
      <c r="C50" t="s">
        <v>149</v>
      </c>
      <c r="D50" s="8">
        <v>2030</v>
      </c>
      <c r="E50" s="56">
        <v>12.282999999999999</v>
      </c>
      <c r="F50" t="s">
        <v>55</v>
      </c>
      <c r="G50" t="s">
        <v>60</v>
      </c>
      <c r="H50" t="s">
        <v>38</v>
      </c>
      <c r="I50" t="s">
        <v>136</v>
      </c>
      <c r="J50" t="s">
        <v>158</v>
      </c>
    </row>
    <row r="51" spans="1:10">
      <c r="A51" t="s">
        <v>74</v>
      </c>
      <c r="B51" t="s">
        <v>75</v>
      </c>
      <c r="C51" t="s">
        <v>135</v>
      </c>
      <c r="D51" s="8">
        <v>2050</v>
      </c>
      <c r="E51" s="56">
        <v>9.5149999999999988</v>
      </c>
      <c r="F51" t="s">
        <v>55</v>
      </c>
      <c r="G51" t="s">
        <v>60</v>
      </c>
      <c r="H51" t="s">
        <v>38</v>
      </c>
      <c r="I51" t="s">
        <v>136</v>
      </c>
      <c r="J51" t="s">
        <v>159</v>
      </c>
    </row>
    <row r="52" spans="1:10">
      <c r="A52" t="s">
        <v>74</v>
      </c>
      <c r="B52" t="s">
        <v>75</v>
      </c>
      <c r="C52" t="s">
        <v>113</v>
      </c>
      <c r="D52" s="8">
        <v>2050</v>
      </c>
      <c r="E52" s="56">
        <v>12.369499999999999</v>
      </c>
      <c r="F52" t="s">
        <v>55</v>
      </c>
      <c r="G52" t="s">
        <v>60</v>
      </c>
      <c r="H52" t="s">
        <v>38</v>
      </c>
      <c r="I52" t="s">
        <v>136</v>
      </c>
      <c r="J52" t="s">
        <v>160</v>
      </c>
    </row>
    <row r="53" spans="1:10">
      <c r="A53" t="s">
        <v>74</v>
      </c>
      <c r="B53" t="s">
        <v>75</v>
      </c>
      <c r="C53" t="s">
        <v>139</v>
      </c>
      <c r="D53" s="8">
        <v>2050</v>
      </c>
      <c r="E53" s="56">
        <v>12.386799999999997</v>
      </c>
      <c r="F53" t="s">
        <v>55</v>
      </c>
      <c r="G53" t="s">
        <v>60</v>
      </c>
      <c r="H53" t="s">
        <v>38</v>
      </c>
      <c r="I53" t="s">
        <v>136</v>
      </c>
      <c r="J53" t="s">
        <v>161</v>
      </c>
    </row>
    <row r="54" spans="1:10">
      <c r="A54" t="s">
        <v>74</v>
      </c>
      <c r="B54" t="s">
        <v>75</v>
      </c>
      <c r="C54" t="s">
        <v>141</v>
      </c>
      <c r="D54" s="8">
        <v>2050</v>
      </c>
      <c r="E54" s="56">
        <v>12.386799999999997</v>
      </c>
      <c r="F54" t="s">
        <v>55</v>
      </c>
      <c r="G54" t="s">
        <v>60</v>
      </c>
      <c r="H54" t="s">
        <v>38</v>
      </c>
      <c r="I54" t="s">
        <v>136</v>
      </c>
      <c r="J54" t="s">
        <v>162</v>
      </c>
    </row>
    <row r="55" spans="1:10">
      <c r="A55" t="s">
        <v>74</v>
      </c>
      <c r="B55" t="s">
        <v>75</v>
      </c>
      <c r="C55" t="s">
        <v>143</v>
      </c>
      <c r="D55" s="8">
        <v>2050</v>
      </c>
      <c r="E55" s="56">
        <v>12.386799999999997</v>
      </c>
      <c r="F55" t="s">
        <v>55</v>
      </c>
      <c r="G55" t="s">
        <v>60</v>
      </c>
      <c r="H55" t="s">
        <v>38</v>
      </c>
      <c r="I55" t="s">
        <v>136</v>
      </c>
      <c r="J55" t="s">
        <v>163</v>
      </c>
    </row>
    <row r="56" spans="1:10">
      <c r="A56" t="s">
        <v>74</v>
      </c>
      <c r="B56" t="s">
        <v>75</v>
      </c>
      <c r="C56" t="s">
        <v>145</v>
      </c>
      <c r="D56" s="8">
        <v>2050</v>
      </c>
      <c r="E56" s="56">
        <v>12.386799999999997</v>
      </c>
      <c r="F56" t="s">
        <v>55</v>
      </c>
      <c r="G56" t="s">
        <v>60</v>
      </c>
      <c r="H56" t="s">
        <v>38</v>
      </c>
      <c r="I56" t="s">
        <v>136</v>
      </c>
      <c r="J56" t="s">
        <v>164</v>
      </c>
    </row>
    <row r="57" spans="1:10">
      <c r="A57" t="s">
        <v>74</v>
      </c>
      <c r="B57" t="s">
        <v>75</v>
      </c>
      <c r="C57" t="s">
        <v>147</v>
      </c>
      <c r="D57" s="8">
        <v>2050</v>
      </c>
      <c r="E57" s="56">
        <v>9.5149999999999988</v>
      </c>
      <c r="F57" t="s">
        <v>55</v>
      </c>
      <c r="G57" t="s">
        <v>60</v>
      </c>
      <c r="H57" t="s">
        <v>38</v>
      </c>
      <c r="I57" t="s">
        <v>136</v>
      </c>
      <c r="J57" t="s">
        <v>165</v>
      </c>
    </row>
    <row r="58" spans="1:10">
      <c r="A58" t="s">
        <v>74</v>
      </c>
      <c r="B58" t="s">
        <v>75</v>
      </c>
      <c r="C58" t="s">
        <v>149</v>
      </c>
      <c r="D58" s="8">
        <v>2050</v>
      </c>
      <c r="E58" s="56">
        <v>9.5149999999999988</v>
      </c>
      <c r="F58" t="s">
        <v>55</v>
      </c>
      <c r="G58" t="s">
        <v>60</v>
      </c>
      <c r="H58" t="s">
        <v>38</v>
      </c>
      <c r="I58" t="s">
        <v>136</v>
      </c>
      <c r="J58" t="s">
        <v>166</v>
      </c>
    </row>
    <row r="59" spans="1:10">
      <c r="A59" t="s">
        <v>74</v>
      </c>
      <c r="B59" t="s">
        <v>167</v>
      </c>
      <c r="C59" t="s">
        <v>135</v>
      </c>
      <c r="D59" t="s">
        <v>168</v>
      </c>
      <c r="E59" s="56">
        <v>193.76</v>
      </c>
      <c r="F59" t="s">
        <v>55</v>
      </c>
      <c r="G59" t="s">
        <v>60</v>
      </c>
      <c r="H59" t="s">
        <v>38</v>
      </c>
      <c r="I59" t="s">
        <v>169</v>
      </c>
      <c r="J59" t="s">
        <v>170</v>
      </c>
    </row>
    <row r="60" spans="1:10">
      <c r="A60" t="s">
        <v>74</v>
      </c>
      <c r="B60" t="s">
        <v>167</v>
      </c>
      <c r="C60" t="s">
        <v>113</v>
      </c>
      <c r="D60" t="s">
        <v>168</v>
      </c>
      <c r="E60" s="56">
        <v>194.76</v>
      </c>
      <c r="F60" t="s">
        <v>55</v>
      </c>
      <c r="G60" t="s">
        <v>60</v>
      </c>
      <c r="H60" t="s">
        <v>38</v>
      </c>
      <c r="I60" t="s">
        <v>169</v>
      </c>
      <c r="J60" t="s">
        <v>171</v>
      </c>
    </row>
    <row r="61" spans="1:10">
      <c r="A61" t="s">
        <v>74</v>
      </c>
      <c r="B61" t="s">
        <v>167</v>
      </c>
      <c r="C61" t="s">
        <v>139</v>
      </c>
      <c r="D61" t="s">
        <v>168</v>
      </c>
      <c r="E61" s="56">
        <v>195.76</v>
      </c>
      <c r="F61" t="s">
        <v>55</v>
      </c>
      <c r="G61" t="s">
        <v>60</v>
      </c>
      <c r="H61" t="s">
        <v>38</v>
      </c>
      <c r="I61" t="s">
        <v>169</v>
      </c>
      <c r="J61" t="s">
        <v>172</v>
      </c>
    </row>
    <row r="62" spans="1:10">
      <c r="A62" t="s">
        <v>74</v>
      </c>
      <c r="B62" t="s">
        <v>167</v>
      </c>
      <c r="C62" t="s">
        <v>141</v>
      </c>
      <c r="D62" t="s">
        <v>168</v>
      </c>
      <c r="E62" s="56">
        <v>196.76</v>
      </c>
      <c r="F62" t="s">
        <v>55</v>
      </c>
      <c r="G62" t="s">
        <v>60</v>
      </c>
      <c r="H62" t="s">
        <v>38</v>
      </c>
      <c r="I62" t="s">
        <v>169</v>
      </c>
      <c r="J62" t="s">
        <v>173</v>
      </c>
    </row>
    <row r="63" spans="1:10">
      <c r="A63" t="s">
        <v>74</v>
      </c>
      <c r="B63" t="s">
        <v>167</v>
      </c>
      <c r="C63" t="s">
        <v>143</v>
      </c>
      <c r="D63" t="s">
        <v>168</v>
      </c>
      <c r="E63" s="56">
        <v>197.76</v>
      </c>
      <c r="F63" t="s">
        <v>55</v>
      </c>
      <c r="G63" t="s">
        <v>60</v>
      </c>
      <c r="H63" t="s">
        <v>38</v>
      </c>
      <c r="I63" t="s">
        <v>169</v>
      </c>
      <c r="J63" t="s">
        <v>174</v>
      </c>
    </row>
    <row r="64" spans="1:10">
      <c r="A64" t="s">
        <v>74</v>
      </c>
      <c r="B64" t="s">
        <v>167</v>
      </c>
      <c r="C64" t="s">
        <v>145</v>
      </c>
      <c r="D64" t="s">
        <v>168</v>
      </c>
      <c r="E64" s="56">
        <v>198.76</v>
      </c>
      <c r="F64" t="s">
        <v>55</v>
      </c>
      <c r="G64" t="s">
        <v>60</v>
      </c>
      <c r="H64" t="s">
        <v>38</v>
      </c>
      <c r="I64" t="s">
        <v>169</v>
      </c>
      <c r="J64" t="s">
        <v>175</v>
      </c>
    </row>
    <row r="65" spans="1:10">
      <c r="A65" t="s">
        <v>74</v>
      </c>
      <c r="B65" t="s">
        <v>167</v>
      </c>
      <c r="C65" t="s">
        <v>147</v>
      </c>
      <c r="D65" t="s">
        <v>168</v>
      </c>
      <c r="E65" s="56">
        <v>199.76</v>
      </c>
      <c r="F65" t="s">
        <v>55</v>
      </c>
      <c r="G65" t="s">
        <v>60</v>
      </c>
      <c r="H65" t="s">
        <v>38</v>
      </c>
      <c r="I65" t="s">
        <v>169</v>
      </c>
      <c r="J65" t="s">
        <v>176</v>
      </c>
    </row>
    <row r="66" spans="1:10">
      <c r="A66" t="s">
        <v>74</v>
      </c>
      <c r="B66" t="s">
        <v>167</v>
      </c>
      <c r="C66" t="s">
        <v>149</v>
      </c>
      <c r="D66" t="s">
        <v>168</v>
      </c>
      <c r="E66" s="56">
        <v>200.76</v>
      </c>
      <c r="F66" t="s">
        <v>55</v>
      </c>
      <c r="G66" t="s">
        <v>60</v>
      </c>
      <c r="H66" t="s">
        <v>38</v>
      </c>
      <c r="I66" t="s">
        <v>169</v>
      </c>
      <c r="J66" t="s">
        <v>177</v>
      </c>
    </row>
    <row r="67" spans="1:10">
      <c r="A67" t="s">
        <v>87</v>
      </c>
      <c r="B67" t="s">
        <v>167</v>
      </c>
      <c r="C67" t="s">
        <v>135</v>
      </c>
      <c r="D67" s="8">
        <v>2010</v>
      </c>
      <c r="E67" s="56">
        <v>50.4</v>
      </c>
      <c r="F67" t="s">
        <v>55</v>
      </c>
      <c r="G67" t="s">
        <v>60</v>
      </c>
      <c r="H67" t="s">
        <v>38</v>
      </c>
      <c r="I67" t="s">
        <v>178</v>
      </c>
      <c r="J67" t="s">
        <v>179</v>
      </c>
    </row>
    <row r="68" spans="1:10">
      <c r="A68" t="s">
        <v>87</v>
      </c>
      <c r="B68" t="s">
        <v>167</v>
      </c>
      <c r="C68" t="s">
        <v>113</v>
      </c>
      <c r="D68" s="8">
        <v>2010</v>
      </c>
      <c r="E68" s="56">
        <v>50.4</v>
      </c>
      <c r="F68" t="s">
        <v>55</v>
      </c>
      <c r="G68" t="s">
        <v>60</v>
      </c>
      <c r="H68" t="s">
        <v>38</v>
      </c>
      <c r="I68" t="s">
        <v>180</v>
      </c>
      <c r="J68" t="s">
        <v>181</v>
      </c>
    </row>
    <row r="69" spans="1:10">
      <c r="A69" t="s">
        <v>87</v>
      </c>
      <c r="B69" t="s">
        <v>167</v>
      </c>
      <c r="C69" t="s">
        <v>139</v>
      </c>
      <c r="D69" s="8">
        <v>2010</v>
      </c>
      <c r="E69" s="56">
        <v>50.4</v>
      </c>
      <c r="F69" t="s">
        <v>55</v>
      </c>
      <c r="G69" t="s">
        <v>60</v>
      </c>
      <c r="H69" t="s">
        <v>38</v>
      </c>
      <c r="I69" t="s">
        <v>182</v>
      </c>
      <c r="J69" t="s">
        <v>183</v>
      </c>
    </row>
    <row r="70" spans="1:10">
      <c r="A70" t="s">
        <v>87</v>
      </c>
      <c r="B70" t="s">
        <v>167</v>
      </c>
      <c r="C70" t="s">
        <v>141</v>
      </c>
      <c r="D70" s="8">
        <v>2010</v>
      </c>
      <c r="E70" s="56">
        <v>50.4</v>
      </c>
      <c r="F70" t="s">
        <v>55</v>
      </c>
      <c r="G70" t="s">
        <v>60</v>
      </c>
      <c r="H70" t="s">
        <v>38</v>
      </c>
      <c r="I70" t="s">
        <v>184</v>
      </c>
      <c r="J70" t="s">
        <v>185</v>
      </c>
    </row>
    <row r="71" spans="1:10">
      <c r="A71" t="s">
        <v>87</v>
      </c>
      <c r="B71" t="s">
        <v>167</v>
      </c>
      <c r="C71" t="s">
        <v>143</v>
      </c>
      <c r="D71" s="8">
        <v>2010</v>
      </c>
      <c r="E71" s="56">
        <v>50.4</v>
      </c>
      <c r="F71" t="s">
        <v>55</v>
      </c>
      <c r="G71" t="s">
        <v>60</v>
      </c>
      <c r="H71" t="s">
        <v>38</v>
      </c>
      <c r="I71" t="s">
        <v>186</v>
      </c>
      <c r="J71" t="s">
        <v>187</v>
      </c>
    </row>
    <row r="72" spans="1:10">
      <c r="A72" t="s">
        <v>87</v>
      </c>
      <c r="B72" t="s">
        <v>167</v>
      </c>
      <c r="C72" t="s">
        <v>145</v>
      </c>
      <c r="D72" s="8">
        <v>2010</v>
      </c>
      <c r="E72" s="56">
        <v>50.4</v>
      </c>
      <c r="F72" t="s">
        <v>55</v>
      </c>
      <c r="G72" t="s">
        <v>60</v>
      </c>
      <c r="H72" t="s">
        <v>38</v>
      </c>
      <c r="I72" t="s">
        <v>188</v>
      </c>
      <c r="J72" t="s">
        <v>189</v>
      </c>
    </row>
    <row r="73" spans="1:10">
      <c r="A73" t="s">
        <v>87</v>
      </c>
      <c r="B73" t="s">
        <v>167</v>
      </c>
      <c r="C73" t="s">
        <v>147</v>
      </c>
      <c r="D73" s="8">
        <v>2010</v>
      </c>
      <c r="E73" s="56">
        <v>50.4</v>
      </c>
      <c r="F73" t="s">
        <v>55</v>
      </c>
      <c r="G73" t="s">
        <v>60</v>
      </c>
      <c r="H73" t="s">
        <v>38</v>
      </c>
      <c r="I73" t="s">
        <v>190</v>
      </c>
      <c r="J73" t="s">
        <v>191</v>
      </c>
    </row>
    <row r="74" spans="1:10">
      <c r="A74" t="s">
        <v>87</v>
      </c>
      <c r="B74" t="s">
        <v>167</v>
      </c>
      <c r="C74" t="s">
        <v>149</v>
      </c>
      <c r="D74" s="8">
        <v>2010</v>
      </c>
      <c r="E74" s="56">
        <v>50.4</v>
      </c>
      <c r="F74" t="s">
        <v>55</v>
      </c>
      <c r="G74" t="s">
        <v>60</v>
      </c>
      <c r="H74" t="s">
        <v>38</v>
      </c>
      <c r="I74" t="s">
        <v>192</v>
      </c>
      <c r="J74" t="s">
        <v>193</v>
      </c>
    </row>
    <row r="75" spans="1:10">
      <c r="A75" t="s">
        <v>87</v>
      </c>
      <c r="B75" t="s">
        <v>167</v>
      </c>
      <c r="C75" t="s">
        <v>135</v>
      </c>
      <c r="D75" s="8">
        <v>2030</v>
      </c>
      <c r="E75" s="56">
        <v>37.799999999999997</v>
      </c>
      <c r="F75" t="s">
        <v>55</v>
      </c>
      <c r="G75" t="s">
        <v>60</v>
      </c>
      <c r="H75" t="s">
        <v>38</v>
      </c>
      <c r="I75" t="s">
        <v>194</v>
      </c>
      <c r="J75" t="s">
        <v>195</v>
      </c>
    </row>
    <row r="76" spans="1:10">
      <c r="A76" t="s">
        <v>87</v>
      </c>
      <c r="B76" t="s">
        <v>167</v>
      </c>
      <c r="C76" t="s">
        <v>113</v>
      </c>
      <c r="D76" s="8">
        <v>2030</v>
      </c>
      <c r="E76" s="56">
        <v>37.799999999999997</v>
      </c>
      <c r="F76" t="s">
        <v>55</v>
      </c>
      <c r="G76" t="s">
        <v>60</v>
      </c>
      <c r="H76" t="s">
        <v>38</v>
      </c>
      <c r="I76" t="s">
        <v>196</v>
      </c>
      <c r="J76" t="s">
        <v>197</v>
      </c>
    </row>
    <row r="77" spans="1:10">
      <c r="A77" t="s">
        <v>87</v>
      </c>
      <c r="B77" t="s">
        <v>167</v>
      </c>
      <c r="C77" t="s">
        <v>139</v>
      </c>
      <c r="D77" s="8">
        <v>2030</v>
      </c>
      <c r="E77" s="56">
        <v>37.799999999999997</v>
      </c>
      <c r="F77" t="s">
        <v>55</v>
      </c>
      <c r="G77" t="s">
        <v>60</v>
      </c>
      <c r="H77" t="s">
        <v>38</v>
      </c>
      <c r="I77" t="s">
        <v>198</v>
      </c>
      <c r="J77" t="s">
        <v>199</v>
      </c>
    </row>
    <row r="78" spans="1:10">
      <c r="A78" t="s">
        <v>87</v>
      </c>
      <c r="B78" t="s">
        <v>167</v>
      </c>
      <c r="C78" t="s">
        <v>141</v>
      </c>
      <c r="D78" s="8">
        <v>2030</v>
      </c>
      <c r="E78" s="56">
        <v>37.799999999999997</v>
      </c>
      <c r="F78" t="s">
        <v>55</v>
      </c>
      <c r="G78" t="s">
        <v>60</v>
      </c>
      <c r="H78" t="s">
        <v>38</v>
      </c>
      <c r="I78" t="s">
        <v>200</v>
      </c>
      <c r="J78" t="s">
        <v>201</v>
      </c>
    </row>
    <row r="79" spans="1:10">
      <c r="A79" t="s">
        <v>87</v>
      </c>
      <c r="B79" t="s">
        <v>167</v>
      </c>
      <c r="C79" t="s">
        <v>143</v>
      </c>
      <c r="D79" s="8">
        <v>2030</v>
      </c>
      <c r="E79" s="56">
        <v>37.799999999999997</v>
      </c>
      <c r="F79" t="s">
        <v>55</v>
      </c>
      <c r="G79" t="s">
        <v>60</v>
      </c>
      <c r="H79" t="s">
        <v>38</v>
      </c>
      <c r="I79" t="s">
        <v>202</v>
      </c>
      <c r="J79" t="s">
        <v>203</v>
      </c>
    </row>
    <row r="80" spans="1:10">
      <c r="A80" t="s">
        <v>87</v>
      </c>
      <c r="B80" t="s">
        <v>167</v>
      </c>
      <c r="C80" t="s">
        <v>145</v>
      </c>
      <c r="D80" s="8">
        <v>2030</v>
      </c>
      <c r="E80" s="56">
        <v>37.799999999999997</v>
      </c>
      <c r="F80" t="s">
        <v>55</v>
      </c>
      <c r="G80" t="s">
        <v>60</v>
      </c>
      <c r="H80" t="s">
        <v>38</v>
      </c>
      <c r="I80" t="s">
        <v>204</v>
      </c>
      <c r="J80" t="s">
        <v>205</v>
      </c>
    </row>
    <row r="81" spans="1:10">
      <c r="A81" t="s">
        <v>87</v>
      </c>
      <c r="B81" t="s">
        <v>167</v>
      </c>
      <c r="C81" t="s">
        <v>147</v>
      </c>
      <c r="D81" s="8">
        <v>2030</v>
      </c>
      <c r="E81" s="56">
        <v>37.799999999999997</v>
      </c>
      <c r="F81" t="s">
        <v>55</v>
      </c>
      <c r="G81" t="s">
        <v>60</v>
      </c>
      <c r="H81" t="s">
        <v>38</v>
      </c>
      <c r="I81" t="s">
        <v>206</v>
      </c>
      <c r="J81" t="s">
        <v>207</v>
      </c>
    </row>
    <row r="82" spans="1:10">
      <c r="A82" t="s">
        <v>87</v>
      </c>
      <c r="B82" t="s">
        <v>167</v>
      </c>
      <c r="C82" t="s">
        <v>149</v>
      </c>
      <c r="D82" s="8">
        <v>2030</v>
      </c>
      <c r="E82" s="56">
        <v>37.799999999999997</v>
      </c>
      <c r="F82" t="s">
        <v>55</v>
      </c>
      <c r="G82" t="s">
        <v>60</v>
      </c>
      <c r="H82" t="s">
        <v>38</v>
      </c>
      <c r="I82" t="s">
        <v>208</v>
      </c>
      <c r="J82" t="s">
        <v>209</v>
      </c>
    </row>
    <row r="83" spans="1:10">
      <c r="A83" t="s">
        <v>87</v>
      </c>
      <c r="B83" t="s">
        <v>167</v>
      </c>
      <c r="C83" t="s">
        <v>135</v>
      </c>
      <c r="D83" s="8">
        <v>2050</v>
      </c>
      <c r="E83" s="56">
        <v>34.019999999999996</v>
      </c>
      <c r="F83" t="s">
        <v>55</v>
      </c>
      <c r="G83" t="s">
        <v>60</v>
      </c>
      <c r="H83" t="s">
        <v>38</v>
      </c>
      <c r="I83" t="s">
        <v>210</v>
      </c>
      <c r="J83" t="s">
        <v>211</v>
      </c>
    </row>
    <row r="84" spans="1:10">
      <c r="A84" t="s">
        <v>87</v>
      </c>
      <c r="B84" t="s">
        <v>167</v>
      </c>
      <c r="C84" t="s">
        <v>113</v>
      </c>
      <c r="D84" s="8">
        <v>2050</v>
      </c>
      <c r="E84" s="56">
        <v>34.019999999999996</v>
      </c>
      <c r="F84" t="s">
        <v>55</v>
      </c>
      <c r="G84" t="s">
        <v>60</v>
      </c>
      <c r="H84" t="s">
        <v>38</v>
      </c>
      <c r="I84" t="s">
        <v>212</v>
      </c>
      <c r="J84" t="s">
        <v>213</v>
      </c>
    </row>
    <row r="85" spans="1:10">
      <c r="A85" t="s">
        <v>87</v>
      </c>
      <c r="B85" t="s">
        <v>167</v>
      </c>
      <c r="C85" t="s">
        <v>139</v>
      </c>
      <c r="D85" s="8">
        <v>2050</v>
      </c>
      <c r="E85" s="56">
        <v>34.019999999999996</v>
      </c>
      <c r="F85" t="s">
        <v>55</v>
      </c>
      <c r="G85" t="s">
        <v>60</v>
      </c>
      <c r="H85" t="s">
        <v>38</v>
      </c>
      <c r="I85" t="s">
        <v>214</v>
      </c>
      <c r="J85" t="s">
        <v>215</v>
      </c>
    </row>
    <row r="86" spans="1:10">
      <c r="A86" t="s">
        <v>87</v>
      </c>
      <c r="B86" t="s">
        <v>167</v>
      </c>
      <c r="C86" t="s">
        <v>141</v>
      </c>
      <c r="D86" s="8">
        <v>2050</v>
      </c>
      <c r="E86" s="56">
        <v>34.019999999999996</v>
      </c>
      <c r="F86" t="s">
        <v>55</v>
      </c>
      <c r="G86" t="s">
        <v>60</v>
      </c>
      <c r="H86" t="s">
        <v>38</v>
      </c>
      <c r="I86" t="s">
        <v>216</v>
      </c>
      <c r="J86" t="s">
        <v>217</v>
      </c>
    </row>
    <row r="87" spans="1:10">
      <c r="A87" t="s">
        <v>87</v>
      </c>
      <c r="B87" t="s">
        <v>167</v>
      </c>
      <c r="C87" t="s">
        <v>143</v>
      </c>
      <c r="D87" s="8">
        <v>2050</v>
      </c>
      <c r="E87" s="56">
        <v>34.019999999999996</v>
      </c>
      <c r="F87" t="s">
        <v>55</v>
      </c>
      <c r="G87" t="s">
        <v>60</v>
      </c>
      <c r="H87" t="s">
        <v>38</v>
      </c>
      <c r="I87" t="s">
        <v>218</v>
      </c>
      <c r="J87" t="s">
        <v>219</v>
      </c>
    </row>
    <row r="88" spans="1:10">
      <c r="A88" t="s">
        <v>87</v>
      </c>
      <c r="B88" t="s">
        <v>167</v>
      </c>
      <c r="C88" t="s">
        <v>145</v>
      </c>
      <c r="D88" s="8">
        <v>2050</v>
      </c>
      <c r="E88" s="56">
        <v>34.019999999999996</v>
      </c>
      <c r="F88" t="s">
        <v>55</v>
      </c>
      <c r="G88" t="s">
        <v>60</v>
      </c>
      <c r="H88" t="s">
        <v>38</v>
      </c>
      <c r="I88" t="s">
        <v>220</v>
      </c>
      <c r="J88" t="s">
        <v>221</v>
      </c>
    </row>
    <row r="89" spans="1:10">
      <c r="A89" t="s">
        <v>87</v>
      </c>
      <c r="B89" t="s">
        <v>167</v>
      </c>
      <c r="C89" t="s">
        <v>147</v>
      </c>
      <c r="D89" s="8">
        <v>2050</v>
      </c>
      <c r="E89" s="56">
        <v>34.019999999999996</v>
      </c>
      <c r="F89" t="s">
        <v>55</v>
      </c>
      <c r="G89" t="s">
        <v>60</v>
      </c>
      <c r="H89" t="s">
        <v>38</v>
      </c>
      <c r="I89" t="s">
        <v>222</v>
      </c>
      <c r="J89" t="s">
        <v>223</v>
      </c>
    </row>
    <row r="90" spans="1:10">
      <c r="A90" t="s">
        <v>87</v>
      </c>
      <c r="B90" t="s">
        <v>167</v>
      </c>
      <c r="C90" t="s">
        <v>149</v>
      </c>
      <c r="D90" s="8">
        <v>2050</v>
      </c>
      <c r="E90" s="56">
        <v>34.019999999999996</v>
      </c>
      <c r="F90" t="s">
        <v>55</v>
      </c>
      <c r="G90" t="s">
        <v>60</v>
      </c>
      <c r="H90" t="s">
        <v>38</v>
      </c>
      <c r="I90" t="s">
        <v>222</v>
      </c>
      <c r="J90" t="s">
        <v>224</v>
      </c>
    </row>
    <row r="91" spans="1:10">
      <c r="A91" t="s">
        <v>87</v>
      </c>
      <c r="B91" t="s">
        <v>225</v>
      </c>
      <c r="C91" t="s">
        <v>135</v>
      </c>
      <c r="D91" s="8">
        <v>2010</v>
      </c>
      <c r="E91" s="56">
        <v>72</v>
      </c>
      <c r="F91" t="s">
        <v>55</v>
      </c>
      <c r="G91" t="s">
        <v>60</v>
      </c>
      <c r="H91" t="s">
        <v>38</v>
      </c>
      <c r="I91" t="s">
        <v>226</v>
      </c>
      <c r="J91" t="s">
        <v>227</v>
      </c>
    </row>
    <row r="92" spans="1:10">
      <c r="A92" t="s">
        <v>87</v>
      </c>
      <c r="B92" t="s">
        <v>225</v>
      </c>
      <c r="C92" t="s">
        <v>113</v>
      </c>
      <c r="D92" s="8">
        <v>2010</v>
      </c>
      <c r="E92" s="56">
        <v>72</v>
      </c>
      <c r="F92" t="s">
        <v>55</v>
      </c>
      <c r="G92" t="s">
        <v>60</v>
      </c>
      <c r="H92" t="s">
        <v>38</v>
      </c>
      <c r="I92" t="s">
        <v>226</v>
      </c>
      <c r="J92" t="s">
        <v>228</v>
      </c>
    </row>
    <row r="93" spans="1:10">
      <c r="A93" t="s">
        <v>87</v>
      </c>
      <c r="B93" t="s">
        <v>225</v>
      </c>
      <c r="C93" t="s">
        <v>139</v>
      </c>
      <c r="D93" s="8">
        <v>2010</v>
      </c>
      <c r="E93" s="56">
        <v>72</v>
      </c>
      <c r="F93" t="s">
        <v>55</v>
      </c>
      <c r="G93" t="s">
        <v>60</v>
      </c>
      <c r="H93" t="s">
        <v>38</v>
      </c>
      <c r="I93" t="s">
        <v>226</v>
      </c>
      <c r="J93" t="s">
        <v>229</v>
      </c>
    </row>
    <row r="94" spans="1:10">
      <c r="A94" t="s">
        <v>87</v>
      </c>
      <c r="B94" t="s">
        <v>225</v>
      </c>
      <c r="C94" t="s">
        <v>141</v>
      </c>
      <c r="D94" s="8">
        <v>2010</v>
      </c>
      <c r="E94" s="56">
        <v>72</v>
      </c>
      <c r="F94" t="s">
        <v>55</v>
      </c>
      <c r="G94" t="s">
        <v>60</v>
      </c>
      <c r="H94" t="s">
        <v>38</v>
      </c>
      <c r="I94" t="s">
        <v>226</v>
      </c>
      <c r="J94" t="s">
        <v>230</v>
      </c>
    </row>
    <row r="95" spans="1:10">
      <c r="A95" t="s">
        <v>87</v>
      </c>
      <c r="B95" t="s">
        <v>225</v>
      </c>
      <c r="C95" t="s">
        <v>143</v>
      </c>
      <c r="D95" s="8">
        <v>2010</v>
      </c>
      <c r="E95" s="56">
        <v>72</v>
      </c>
      <c r="F95" t="s">
        <v>55</v>
      </c>
      <c r="G95" t="s">
        <v>60</v>
      </c>
      <c r="H95" t="s">
        <v>38</v>
      </c>
      <c r="I95" t="s">
        <v>226</v>
      </c>
      <c r="J95" t="s">
        <v>231</v>
      </c>
    </row>
    <row r="96" spans="1:10">
      <c r="A96" t="s">
        <v>87</v>
      </c>
      <c r="B96" t="s">
        <v>225</v>
      </c>
      <c r="C96" t="s">
        <v>145</v>
      </c>
      <c r="D96" s="8">
        <v>2010</v>
      </c>
      <c r="E96" s="56">
        <v>72</v>
      </c>
      <c r="F96" t="s">
        <v>55</v>
      </c>
      <c r="G96" t="s">
        <v>60</v>
      </c>
      <c r="H96" t="s">
        <v>38</v>
      </c>
      <c r="I96" t="s">
        <v>226</v>
      </c>
      <c r="J96" t="s">
        <v>232</v>
      </c>
    </row>
    <row r="97" spans="1:10">
      <c r="A97" t="s">
        <v>87</v>
      </c>
      <c r="B97" t="s">
        <v>225</v>
      </c>
      <c r="C97" t="s">
        <v>147</v>
      </c>
      <c r="D97" s="8">
        <v>2010</v>
      </c>
      <c r="E97" s="56">
        <v>72</v>
      </c>
      <c r="F97" t="s">
        <v>55</v>
      </c>
      <c r="G97" t="s">
        <v>60</v>
      </c>
      <c r="H97" t="s">
        <v>38</v>
      </c>
      <c r="I97" t="s">
        <v>226</v>
      </c>
      <c r="J97" t="s">
        <v>233</v>
      </c>
    </row>
    <row r="98" spans="1:10">
      <c r="A98" t="s">
        <v>87</v>
      </c>
      <c r="B98" t="s">
        <v>225</v>
      </c>
      <c r="C98" t="s">
        <v>149</v>
      </c>
      <c r="D98" s="8">
        <v>2010</v>
      </c>
      <c r="E98" s="56">
        <v>72</v>
      </c>
      <c r="F98" t="s">
        <v>55</v>
      </c>
      <c r="G98" t="s">
        <v>60</v>
      </c>
      <c r="H98" t="s">
        <v>38</v>
      </c>
      <c r="I98" t="s">
        <v>226</v>
      </c>
      <c r="J98" t="s">
        <v>234</v>
      </c>
    </row>
    <row r="99" spans="1:10">
      <c r="A99" t="s">
        <v>87</v>
      </c>
      <c r="B99" t="s">
        <v>225</v>
      </c>
      <c r="C99" t="s">
        <v>135</v>
      </c>
      <c r="D99" s="8">
        <v>2030</v>
      </c>
      <c r="E99" s="56">
        <v>53.999999999999993</v>
      </c>
      <c r="F99" t="s">
        <v>55</v>
      </c>
      <c r="G99" t="s">
        <v>60</v>
      </c>
      <c r="H99" t="s">
        <v>38</v>
      </c>
      <c r="I99" t="s">
        <v>226</v>
      </c>
      <c r="J99" t="s">
        <v>235</v>
      </c>
    </row>
    <row r="100" spans="1:10">
      <c r="A100" t="s">
        <v>87</v>
      </c>
      <c r="B100" t="s">
        <v>225</v>
      </c>
      <c r="C100" t="s">
        <v>113</v>
      </c>
      <c r="D100" s="8">
        <v>2030</v>
      </c>
      <c r="E100" s="56">
        <v>53.999999999999993</v>
      </c>
      <c r="F100" t="s">
        <v>55</v>
      </c>
      <c r="G100" t="s">
        <v>60</v>
      </c>
      <c r="H100" t="s">
        <v>38</v>
      </c>
      <c r="I100" t="s">
        <v>226</v>
      </c>
      <c r="J100" t="s">
        <v>236</v>
      </c>
    </row>
    <row r="101" spans="1:10">
      <c r="A101" t="s">
        <v>87</v>
      </c>
      <c r="B101" t="s">
        <v>225</v>
      </c>
      <c r="C101" t="s">
        <v>139</v>
      </c>
      <c r="D101" s="8">
        <v>2030</v>
      </c>
      <c r="E101" s="56">
        <v>53.999999999999993</v>
      </c>
      <c r="F101" t="s">
        <v>55</v>
      </c>
      <c r="G101" t="s">
        <v>60</v>
      </c>
      <c r="H101" t="s">
        <v>38</v>
      </c>
      <c r="I101" t="s">
        <v>226</v>
      </c>
      <c r="J101" t="s">
        <v>237</v>
      </c>
    </row>
    <row r="102" spans="1:10">
      <c r="A102" t="s">
        <v>87</v>
      </c>
      <c r="B102" t="s">
        <v>225</v>
      </c>
      <c r="C102" t="s">
        <v>141</v>
      </c>
      <c r="D102" s="8">
        <v>2030</v>
      </c>
      <c r="E102" s="56">
        <v>53.999999999999993</v>
      </c>
      <c r="F102" t="s">
        <v>55</v>
      </c>
      <c r="G102" t="s">
        <v>60</v>
      </c>
      <c r="H102" t="s">
        <v>38</v>
      </c>
      <c r="I102" t="s">
        <v>226</v>
      </c>
      <c r="J102" t="s">
        <v>238</v>
      </c>
    </row>
    <row r="103" spans="1:10">
      <c r="A103" t="s">
        <v>87</v>
      </c>
      <c r="B103" t="s">
        <v>225</v>
      </c>
      <c r="C103" t="s">
        <v>143</v>
      </c>
      <c r="D103" s="8">
        <v>2030</v>
      </c>
      <c r="E103" s="56">
        <v>53.999999999999993</v>
      </c>
      <c r="F103" t="s">
        <v>55</v>
      </c>
      <c r="G103" t="s">
        <v>60</v>
      </c>
      <c r="H103" t="s">
        <v>38</v>
      </c>
      <c r="I103" t="s">
        <v>226</v>
      </c>
      <c r="J103" t="s">
        <v>239</v>
      </c>
    </row>
    <row r="104" spans="1:10">
      <c r="A104" t="s">
        <v>87</v>
      </c>
      <c r="B104" t="s">
        <v>225</v>
      </c>
      <c r="C104" t="s">
        <v>145</v>
      </c>
      <c r="D104" s="8">
        <v>2030</v>
      </c>
      <c r="E104" s="56">
        <v>53.999999999999993</v>
      </c>
      <c r="F104" t="s">
        <v>55</v>
      </c>
      <c r="G104" t="s">
        <v>60</v>
      </c>
      <c r="H104" t="s">
        <v>38</v>
      </c>
      <c r="I104" t="s">
        <v>226</v>
      </c>
      <c r="J104" t="s">
        <v>240</v>
      </c>
    </row>
    <row r="105" spans="1:10">
      <c r="A105" t="s">
        <v>87</v>
      </c>
      <c r="B105" t="s">
        <v>225</v>
      </c>
      <c r="C105" t="s">
        <v>147</v>
      </c>
      <c r="D105" s="8">
        <v>2030</v>
      </c>
      <c r="E105" s="56">
        <v>53.999999999999993</v>
      </c>
      <c r="F105" t="s">
        <v>55</v>
      </c>
      <c r="G105" t="s">
        <v>60</v>
      </c>
      <c r="H105" t="s">
        <v>38</v>
      </c>
      <c r="I105" t="s">
        <v>226</v>
      </c>
      <c r="J105" t="s">
        <v>241</v>
      </c>
    </row>
    <row r="106" spans="1:10">
      <c r="A106" t="s">
        <v>87</v>
      </c>
      <c r="B106" t="s">
        <v>225</v>
      </c>
      <c r="C106" t="s">
        <v>149</v>
      </c>
      <c r="D106" s="8">
        <v>2030</v>
      </c>
      <c r="E106" s="56">
        <v>53.999999999999993</v>
      </c>
      <c r="F106" t="s">
        <v>55</v>
      </c>
      <c r="G106" t="s">
        <v>60</v>
      </c>
      <c r="H106" t="s">
        <v>38</v>
      </c>
      <c r="I106" t="s">
        <v>226</v>
      </c>
      <c r="J106" t="s">
        <v>242</v>
      </c>
    </row>
    <row r="107" spans="1:10">
      <c r="A107" t="s">
        <v>87</v>
      </c>
      <c r="B107" t="s">
        <v>225</v>
      </c>
      <c r="C107" t="s">
        <v>135</v>
      </c>
      <c r="D107" s="8">
        <v>2050</v>
      </c>
      <c r="E107" s="56">
        <v>48.599999999999994</v>
      </c>
      <c r="F107" t="s">
        <v>55</v>
      </c>
      <c r="G107" t="s">
        <v>60</v>
      </c>
      <c r="H107" t="s">
        <v>38</v>
      </c>
      <c r="I107" t="s">
        <v>226</v>
      </c>
      <c r="J107" t="s">
        <v>243</v>
      </c>
    </row>
    <row r="108" spans="1:10">
      <c r="A108" t="s">
        <v>87</v>
      </c>
      <c r="B108" t="s">
        <v>225</v>
      </c>
      <c r="C108" t="s">
        <v>113</v>
      </c>
      <c r="D108" s="8">
        <v>2050</v>
      </c>
      <c r="E108" s="56">
        <v>48.599999999999994</v>
      </c>
      <c r="F108" t="s">
        <v>55</v>
      </c>
      <c r="G108" t="s">
        <v>60</v>
      </c>
      <c r="H108" t="s">
        <v>38</v>
      </c>
      <c r="I108" t="s">
        <v>226</v>
      </c>
      <c r="J108" t="s">
        <v>244</v>
      </c>
    </row>
    <row r="109" spans="1:10">
      <c r="A109" t="s">
        <v>87</v>
      </c>
      <c r="B109" t="s">
        <v>225</v>
      </c>
      <c r="C109" t="s">
        <v>139</v>
      </c>
      <c r="D109" s="8">
        <v>2050</v>
      </c>
      <c r="E109" s="56">
        <v>48.599999999999994</v>
      </c>
      <c r="F109" t="s">
        <v>55</v>
      </c>
      <c r="G109" t="s">
        <v>60</v>
      </c>
      <c r="H109" t="s">
        <v>38</v>
      </c>
      <c r="I109" t="s">
        <v>226</v>
      </c>
      <c r="J109" t="s">
        <v>245</v>
      </c>
    </row>
    <row r="110" spans="1:10">
      <c r="A110" t="s">
        <v>87</v>
      </c>
      <c r="B110" t="s">
        <v>225</v>
      </c>
      <c r="C110" t="s">
        <v>141</v>
      </c>
      <c r="D110" s="8">
        <v>2050</v>
      </c>
      <c r="E110" s="56">
        <v>48.599999999999994</v>
      </c>
      <c r="F110" t="s">
        <v>55</v>
      </c>
      <c r="G110" t="s">
        <v>60</v>
      </c>
      <c r="H110" t="s">
        <v>38</v>
      </c>
      <c r="I110" t="s">
        <v>226</v>
      </c>
      <c r="J110" t="s">
        <v>246</v>
      </c>
    </row>
    <row r="111" spans="1:10">
      <c r="A111" t="s">
        <v>87</v>
      </c>
      <c r="B111" t="s">
        <v>225</v>
      </c>
      <c r="C111" t="s">
        <v>143</v>
      </c>
      <c r="D111" s="8">
        <v>2050</v>
      </c>
      <c r="E111" s="56">
        <v>48.599999999999994</v>
      </c>
      <c r="F111" t="s">
        <v>55</v>
      </c>
      <c r="G111" t="s">
        <v>60</v>
      </c>
      <c r="H111" t="s">
        <v>38</v>
      </c>
      <c r="I111" t="s">
        <v>226</v>
      </c>
      <c r="J111" t="s">
        <v>247</v>
      </c>
    </row>
    <row r="112" spans="1:10">
      <c r="A112" t="s">
        <v>87</v>
      </c>
      <c r="B112" t="s">
        <v>225</v>
      </c>
      <c r="C112" t="s">
        <v>145</v>
      </c>
      <c r="D112" s="8">
        <v>2050</v>
      </c>
      <c r="E112" s="56">
        <v>48.599999999999994</v>
      </c>
      <c r="F112" t="s">
        <v>55</v>
      </c>
      <c r="G112" t="s">
        <v>60</v>
      </c>
      <c r="H112" t="s">
        <v>38</v>
      </c>
      <c r="I112" t="s">
        <v>226</v>
      </c>
      <c r="J112" t="s">
        <v>248</v>
      </c>
    </row>
    <row r="113" spans="1:10">
      <c r="A113" t="s">
        <v>87</v>
      </c>
      <c r="B113" t="s">
        <v>225</v>
      </c>
      <c r="C113" t="s">
        <v>147</v>
      </c>
      <c r="D113" s="8">
        <v>2050</v>
      </c>
      <c r="E113" s="56">
        <v>48.599999999999994</v>
      </c>
      <c r="F113" t="s">
        <v>55</v>
      </c>
      <c r="G113" t="s">
        <v>60</v>
      </c>
      <c r="H113" t="s">
        <v>38</v>
      </c>
      <c r="I113" t="s">
        <v>226</v>
      </c>
      <c r="J113" t="s">
        <v>249</v>
      </c>
    </row>
    <row r="114" spans="1:10">
      <c r="A114" t="s">
        <v>87</v>
      </c>
      <c r="B114" t="s">
        <v>225</v>
      </c>
      <c r="C114" t="s">
        <v>149</v>
      </c>
      <c r="D114" s="8">
        <v>2050</v>
      </c>
      <c r="E114" s="56">
        <v>48.599999999999994</v>
      </c>
      <c r="F114" t="s">
        <v>55</v>
      </c>
      <c r="G114" t="s">
        <v>60</v>
      </c>
      <c r="H114" t="s">
        <v>38</v>
      </c>
      <c r="I114" t="s">
        <v>226</v>
      </c>
      <c r="J114" t="s">
        <v>250</v>
      </c>
    </row>
    <row r="115" spans="1:10">
      <c r="A115" t="s">
        <v>74</v>
      </c>
      <c r="B115" t="s">
        <v>251</v>
      </c>
      <c r="C115" t="s">
        <v>135</v>
      </c>
      <c r="D115" s="8">
        <v>2010</v>
      </c>
      <c r="E115" s="56">
        <v>5.1899999999999995</v>
      </c>
      <c r="F115" t="s">
        <v>55</v>
      </c>
      <c r="G115" t="s">
        <v>60</v>
      </c>
      <c r="H115" t="s">
        <v>38</v>
      </c>
      <c r="I115" t="s">
        <v>252</v>
      </c>
      <c r="J115" t="s">
        <v>253</v>
      </c>
    </row>
    <row r="116" spans="1:10">
      <c r="A116" t="s">
        <v>74</v>
      </c>
      <c r="B116" t="s">
        <v>251</v>
      </c>
      <c r="C116" t="s">
        <v>113</v>
      </c>
      <c r="D116" s="8">
        <v>2010</v>
      </c>
      <c r="E116" s="56">
        <v>8.3039999999999985</v>
      </c>
      <c r="F116" t="s">
        <v>55</v>
      </c>
      <c r="G116" t="s">
        <v>60</v>
      </c>
      <c r="H116" t="s">
        <v>38</v>
      </c>
      <c r="I116" t="s">
        <v>252</v>
      </c>
      <c r="J116" t="s">
        <v>254</v>
      </c>
    </row>
    <row r="117" spans="1:10">
      <c r="A117" t="s">
        <v>74</v>
      </c>
      <c r="B117" t="s">
        <v>251</v>
      </c>
      <c r="C117" t="s">
        <v>139</v>
      </c>
      <c r="D117" s="8">
        <v>2010</v>
      </c>
      <c r="E117" s="56">
        <v>12.11</v>
      </c>
      <c r="F117" t="s">
        <v>55</v>
      </c>
      <c r="G117" t="s">
        <v>60</v>
      </c>
      <c r="H117" t="s">
        <v>38</v>
      </c>
      <c r="I117" t="s">
        <v>252</v>
      </c>
      <c r="J117" t="s">
        <v>255</v>
      </c>
    </row>
    <row r="118" spans="1:10">
      <c r="A118" t="s">
        <v>74</v>
      </c>
      <c r="B118" t="s">
        <v>251</v>
      </c>
      <c r="C118" t="s">
        <v>141</v>
      </c>
      <c r="D118" s="8">
        <v>2010</v>
      </c>
      <c r="E118" s="56">
        <v>12.11</v>
      </c>
      <c r="F118" t="s">
        <v>55</v>
      </c>
      <c r="G118" t="s">
        <v>60</v>
      </c>
      <c r="H118" t="s">
        <v>38</v>
      </c>
      <c r="I118" t="s">
        <v>252</v>
      </c>
      <c r="J118" t="s">
        <v>256</v>
      </c>
    </row>
    <row r="119" spans="1:10">
      <c r="A119" t="s">
        <v>74</v>
      </c>
      <c r="B119" t="s">
        <v>251</v>
      </c>
      <c r="C119" t="s">
        <v>143</v>
      </c>
      <c r="D119" s="8">
        <v>2010</v>
      </c>
      <c r="E119" s="56">
        <v>12.11</v>
      </c>
      <c r="F119" t="s">
        <v>55</v>
      </c>
      <c r="G119" t="s">
        <v>60</v>
      </c>
      <c r="H119" t="s">
        <v>38</v>
      </c>
      <c r="I119" t="s">
        <v>252</v>
      </c>
      <c r="J119" t="s">
        <v>257</v>
      </c>
    </row>
    <row r="120" spans="1:10">
      <c r="A120" t="s">
        <v>74</v>
      </c>
      <c r="B120" t="s">
        <v>251</v>
      </c>
      <c r="C120" t="s">
        <v>145</v>
      </c>
      <c r="D120" s="8">
        <v>2010</v>
      </c>
      <c r="E120" s="56">
        <v>12.11</v>
      </c>
      <c r="F120" t="s">
        <v>55</v>
      </c>
      <c r="G120" t="s">
        <v>60</v>
      </c>
      <c r="H120" t="s">
        <v>38</v>
      </c>
      <c r="I120" t="s">
        <v>252</v>
      </c>
      <c r="J120" t="s">
        <v>258</v>
      </c>
    </row>
    <row r="121" spans="1:10">
      <c r="A121" t="s">
        <v>74</v>
      </c>
      <c r="B121" t="s">
        <v>251</v>
      </c>
      <c r="C121" t="s">
        <v>147</v>
      </c>
      <c r="D121" s="8">
        <v>2010</v>
      </c>
      <c r="E121" s="56">
        <v>7.2659999999999991</v>
      </c>
      <c r="F121" t="s">
        <v>55</v>
      </c>
      <c r="G121" t="s">
        <v>60</v>
      </c>
      <c r="H121" t="s">
        <v>38</v>
      </c>
      <c r="I121" t="s">
        <v>252</v>
      </c>
      <c r="J121" t="s">
        <v>259</v>
      </c>
    </row>
    <row r="122" spans="1:10">
      <c r="A122" t="s">
        <v>74</v>
      </c>
      <c r="B122" t="s">
        <v>251</v>
      </c>
      <c r="C122" t="s">
        <v>149</v>
      </c>
      <c r="D122" s="8">
        <v>2010</v>
      </c>
      <c r="E122" s="56">
        <v>7.9579999999999993</v>
      </c>
      <c r="F122" t="s">
        <v>55</v>
      </c>
      <c r="G122" t="s">
        <v>60</v>
      </c>
      <c r="H122" t="s">
        <v>38</v>
      </c>
      <c r="I122" t="s">
        <v>252</v>
      </c>
      <c r="J122" t="s">
        <v>260</v>
      </c>
    </row>
    <row r="123" spans="1:10">
      <c r="A123" t="s">
        <v>74</v>
      </c>
      <c r="B123" t="s">
        <v>251</v>
      </c>
      <c r="C123" t="s">
        <v>135</v>
      </c>
      <c r="D123" s="8">
        <v>2030</v>
      </c>
      <c r="E123" s="56">
        <v>4.4979999999999993</v>
      </c>
      <c r="F123" t="s">
        <v>55</v>
      </c>
      <c r="G123" t="s">
        <v>60</v>
      </c>
      <c r="H123" t="s">
        <v>38</v>
      </c>
      <c r="I123" t="s">
        <v>252</v>
      </c>
      <c r="J123" t="s">
        <v>261</v>
      </c>
    </row>
    <row r="124" spans="1:10">
      <c r="A124" t="s">
        <v>74</v>
      </c>
      <c r="B124" t="s">
        <v>251</v>
      </c>
      <c r="C124" t="s">
        <v>113</v>
      </c>
      <c r="D124" s="8">
        <v>2030</v>
      </c>
      <c r="E124" s="56">
        <v>6.92</v>
      </c>
      <c r="F124" t="s">
        <v>55</v>
      </c>
      <c r="G124" t="s">
        <v>60</v>
      </c>
      <c r="H124" t="s">
        <v>38</v>
      </c>
      <c r="I124" t="s">
        <v>252</v>
      </c>
      <c r="J124" t="s">
        <v>262</v>
      </c>
    </row>
    <row r="125" spans="1:10">
      <c r="A125" t="s">
        <v>74</v>
      </c>
      <c r="B125" t="s">
        <v>251</v>
      </c>
      <c r="C125" t="s">
        <v>139</v>
      </c>
      <c r="D125" s="8">
        <v>2030</v>
      </c>
      <c r="E125" s="56">
        <v>7.9579999999999993</v>
      </c>
      <c r="F125" t="s">
        <v>55</v>
      </c>
      <c r="G125" t="s">
        <v>60</v>
      </c>
      <c r="H125" t="s">
        <v>38</v>
      </c>
      <c r="I125" t="s">
        <v>252</v>
      </c>
      <c r="J125" t="s">
        <v>263</v>
      </c>
    </row>
    <row r="126" spans="1:10">
      <c r="A126" t="s">
        <v>74</v>
      </c>
      <c r="B126" t="s">
        <v>251</v>
      </c>
      <c r="C126" t="s">
        <v>141</v>
      </c>
      <c r="D126" s="8">
        <v>2030</v>
      </c>
      <c r="E126" s="56">
        <v>7.9579999999999993</v>
      </c>
      <c r="F126" t="s">
        <v>55</v>
      </c>
      <c r="G126" t="s">
        <v>60</v>
      </c>
      <c r="H126" t="s">
        <v>38</v>
      </c>
      <c r="I126" t="s">
        <v>252</v>
      </c>
      <c r="J126" t="s">
        <v>264</v>
      </c>
    </row>
    <row r="127" spans="1:10">
      <c r="A127" t="s">
        <v>74</v>
      </c>
      <c r="B127" t="s">
        <v>251</v>
      </c>
      <c r="C127" t="s">
        <v>143</v>
      </c>
      <c r="D127" s="8">
        <v>2030</v>
      </c>
      <c r="E127" s="56">
        <v>7.9579999999999993</v>
      </c>
      <c r="F127" t="s">
        <v>55</v>
      </c>
      <c r="G127" t="s">
        <v>60</v>
      </c>
      <c r="H127" t="s">
        <v>38</v>
      </c>
      <c r="I127" t="s">
        <v>252</v>
      </c>
      <c r="J127" t="s">
        <v>265</v>
      </c>
    </row>
    <row r="128" spans="1:10">
      <c r="A128" t="s">
        <v>74</v>
      </c>
      <c r="B128" t="s">
        <v>251</v>
      </c>
      <c r="C128" t="s">
        <v>145</v>
      </c>
      <c r="D128" s="8">
        <v>2030</v>
      </c>
      <c r="E128" s="56">
        <v>7.9579999999999993</v>
      </c>
      <c r="F128" t="s">
        <v>55</v>
      </c>
      <c r="G128" t="s">
        <v>60</v>
      </c>
      <c r="H128" t="s">
        <v>38</v>
      </c>
      <c r="I128" t="s">
        <v>252</v>
      </c>
      <c r="J128" t="s">
        <v>266</v>
      </c>
    </row>
    <row r="129" spans="1:10">
      <c r="A129" t="s">
        <v>74</v>
      </c>
      <c r="B129" t="s">
        <v>251</v>
      </c>
      <c r="C129" t="s">
        <v>147</v>
      </c>
      <c r="D129" s="8">
        <v>2030</v>
      </c>
      <c r="E129" s="56">
        <v>6.2279999999999998</v>
      </c>
      <c r="F129" t="s">
        <v>55</v>
      </c>
      <c r="G129" t="s">
        <v>60</v>
      </c>
      <c r="H129" t="s">
        <v>38</v>
      </c>
      <c r="I129" t="s">
        <v>252</v>
      </c>
      <c r="J129" t="s">
        <v>267</v>
      </c>
    </row>
    <row r="130" spans="1:10">
      <c r="A130" t="s">
        <v>74</v>
      </c>
      <c r="B130" t="s">
        <v>251</v>
      </c>
      <c r="C130" t="s">
        <v>149</v>
      </c>
      <c r="D130" s="8">
        <v>2030</v>
      </c>
      <c r="E130" s="56">
        <v>6.92</v>
      </c>
      <c r="F130" t="s">
        <v>55</v>
      </c>
      <c r="G130" t="s">
        <v>60</v>
      </c>
      <c r="H130" t="s">
        <v>38</v>
      </c>
      <c r="I130" t="s">
        <v>252</v>
      </c>
      <c r="J130" t="s">
        <v>268</v>
      </c>
    </row>
    <row r="131" spans="1:10">
      <c r="A131" t="s">
        <v>74</v>
      </c>
      <c r="B131" t="s">
        <v>251</v>
      </c>
      <c r="C131" t="s">
        <v>135</v>
      </c>
      <c r="D131" s="8">
        <v>2050</v>
      </c>
      <c r="E131" s="56">
        <v>3.8059999999999996</v>
      </c>
      <c r="F131" t="s">
        <v>55</v>
      </c>
      <c r="G131" t="s">
        <v>60</v>
      </c>
      <c r="H131" t="s">
        <v>38</v>
      </c>
      <c r="I131" t="s">
        <v>252</v>
      </c>
      <c r="J131" t="s">
        <v>269</v>
      </c>
    </row>
    <row r="132" spans="1:10">
      <c r="A132" t="s">
        <v>74</v>
      </c>
      <c r="B132" t="s">
        <v>251</v>
      </c>
      <c r="C132" t="s">
        <v>113</v>
      </c>
      <c r="D132" s="8">
        <v>2050</v>
      </c>
      <c r="E132" s="56">
        <v>5.8819999999999997</v>
      </c>
      <c r="F132" t="s">
        <v>55</v>
      </c>
      <c r="G132" t="s">
        <v>60</v>
      </c>
      <c r="H132" t="s">
        <v>38</v>
      </c>
      <c r="I132" t="s">
        <v>252</v>
      </c>
      <c r="J132" t="s">
        <v>270</v>
      </c>
    </row>
    <row r="133" spans="1:10">
      <c r="A133" t="s">
        <v>74</v>
      </c>
      <c r="B133" t="s">
        <v>251</v>
      </c>
      <c r="C133" t="s">
        <v>139</v>
      </c>
      <c r="D133" s="8">
        <v>2050</v>
      </c>
      <c r="E133" s="56">
        <v>6.92</v>
      </c>
      <c r="F133" t="s">
        <v>55</v>
      </c>
      <c r="G133" t="s">
        <v>60</v>
      </c>
      <c r="H133" t="s">
        <v>38</v>
      </c>
      <c r="I133" t="s">
        <v>252</v>
      </c>
      <c r="J133" t="s">
        <v>271</v>
      </c>
    </row>
    <row r="134" spans="1:10">
      <c r="A134" t="s">
        <v>74</v>
      </c>
      <c r="B134" t="s">
        <v>251</v>
      </c>
      <c r="C134" t="s">
        <v>141</v>
      </c>
      <c r="D134" s="8">
        <v>2050</v>
      </c>
      <c r="E134" s="56">
        <v>6.92</v>
      </c>
      <c r="F134" t="s">
        <v>55</v>
      </c>
      <c r="G134" t="s">
        <v>60</v>
      </c>
      <c r="H134" t="s">
        <v>38</v>
      </c>
      <c r="I134" t="s">
        <v>252</v>
      </c>
      <c r="J134" t="s">
        <v>272</v>
      </c>
    </row>
    <row r="135" spans="1:10">
      <c r="A135" t="s">
        <v>74</v>
      </c>
      <c r="B135" t="s">
        <v>251</v>
      </c>
      <c r="C135" t="s">
        <v>143</v>
      </c>
      <c r="D135" s="8">
        <v>2050</v>
      </c>
      <c r="E135" s="56">
        <v>6.92</v>
      </c>
      <c r="F135" t="s">
        <v>55</v>
      </c>
      <c r="G135" t="s">
        <v>60</v>
      </c>
      <c r="H135" t="s">
        <v>38</v>
      </c>
      <c r="I135" t="s">
        <v>252</v>
      </c>
      <c r="J135" t="s">
        <v>273</v>
      </c>
    </row>
    <row r="136" spans="1:10">
      <c r="A136" t="s">
        <v>74</v>
      </c>
      <c r="B136" t="s">
        <v>251</v>
      </c>
      <c r="C136" t="s">
        <v>145</v>
      </c>
      <c r="D136" s="8">
        <v>2050</v>
      </c>
      <c r="E136" s="56">
        <v>6.92</v>
      </c>
      <c r="F136" t="s">
        <v>55</v>
      </c>
      <c r="G136" t="s">
        <v>60</v>
      </c>
      <c r="H136" t="s">
        <v>38</v>
      </c>
      <c r="I136" t="s">
        <v>252</v>
      </c>
      <c r="J136" t="s">
        <v>274</v>
      </c>
    </row>
    <row r="137" spans="1:10">
      <c r="A137" t="s">
        <v>74</v>
      </c>
      <c r="B137" t="s">
        <v>251</v>
      </c>
      <c r="C137" t="s">
        <v>147</v>
      </c>
      <c r="D137" s="8">
        <v>2050</v>
      </c>
      <c r="E137" s="56">
        <v>5.1899999999999995</v>
      </c>
      <c r="F137" t="s">
        <v>55</v>
      </c>
      <c r="G137" t="s">
        <v>60</v>
      </c>
      <c r="H137" t="s">
        <v>38</v>
      </c>
      <c r="I137" t="s">
        <v>252</v>
      </c>
      <c r="J137" t="s">
        <v>275</v>
      </c>
    </row>
    <row r="138" spans="1:10">
      <c r="A138" t="s">
        <v>74</v>
      </c>
      <c r="B138" t="s">
        <v>251</v>
      </c>
      <c r="C138" t="s">
        <v>149</v>
      </c>
      <c r="D138" s="8">
        <v>2050</v>
      </c>
      <c r="E138" s="56">
        <v>5.5359999999999996</v>
      </c>
      <c r="F138" t="s">
        <v>55</v>
      </c>
      <c r="G138" t="s">
        <v>60</v>
      </c>
      <c r="H138" t="s">
        <v>38</v>
      </c>
      <c r="I138" t="s">
        <v>252</v>
      </c>
      <c r="J138" t="s">
        <v>276</v>
      </c>
    </row>
    <row r="139" spans="1:10">
      <c r="A139" t="s">
        <v>74</v>
      </c>
      <c r="B139" t="s">
        <v>277</v>
      </c>
      <c r="C139" t="s">
        <v>135</v>
      </c>
      <c r="D139" s="8">
        <v>2010</v>
      </c>
      <c r="E139" s="56">
        <v>581.28</v>
      </c>
      <c r="F139" t="s">
        <v>55</v>
      </c>
      <c r="G139" t="s">
        <v>60</v>
      </c>
      <c r="H139" t="s">
        <v>38</v>
      </c>
      <c r="I139" t="s">
        <v>278</v>
      </c>
      <c r="J139" t="s">
        <v>279</v>
      </c>
    </row>
    <row r="140" spans="1:10">
      <c r="A140" t="s">
        <v>74</v>
      </c>
      <c r="B140" t="s">
        <v>277</v>
      </c>
      <c r="C140" t="s">
        <v>113</v>
      </c>
      <c r="D140" s="8">
        <v>2010</v>
      </c>
      <c r="E140" s="56">
        <v>581.28</v>
      </c>
      <c r="F140" t="s">
        <v>55</v>
      </c>
      <c r="G140" t="s">
        <v>60</v>
      </c>
      <c r="H140" t="s">
        <v>38</v>
      </c>
      <c r="I140" t="s">
        <v>278</v>
      </c>
      <c r="J140" t="s">
        <v>280</v>
      </c>
    </row>
    <row r="141" spans="1:10">
      <c r="A141" t="s">
        <v>74</v>
      </c>
      <c r="B141" t="s">
        <v>277</v>
      </c>
      <c r="C141" t="s">
        <v>139</v>
      </c>
      <c r="D141" s="8">
        <v>2010</v>
      </c>
      <c r="E141" s="56">
        <v>581.28</v>
      </c>
      <c r="F141" t="s">
        <v>55</v>
      </c>
      <c r="G141" t="s">
        <v>60</v>
      </c>
      <c r="H141" t="s">
        <v>38</v>
      </c>
      <c r="I141" t="s">
        <v>278</v>
      </c>
      <c r="J141" t="s">
        <v>281</v>
      </c>
    </row>
    <row r="142" spans="1:10">
      <c r="A142" t="s">
        <v>74</v>
      </c>
      <c r="B142" t="s">
        <v>277</v>
      </c>
      <c r="C142" t="s">
        <v>141</v>
      </c>
      <c r="D142" s="8">
        <v>2010</v>
      </c>
      <c r="E142" s="56">
        <v>581.28</v>
      </c>
      <c r="F142" t="s">
        <v>55</v>
      </c>
      <c r="G142" t="s">
        <v>60</v>
      </c>
      <c r="H142" t="s">
        <v>38</v>
      </c>
      <c r="I142" t="s">
        <v>278</v>
      </c>
      <c r="J142" t="s">
        <v>282</v>
      </c>
    </row>
    <row r="143" spans="1:10">
      <c r="A143" t="s">
        <v>74</v>
      </c>
      <c r="B143" t="s">
        <v>277</v>
      </c>
      <c r="C143" t="s">
        <v>143</v>
      </c>
      <c r="D143" s="8">
        <v>2010</v>
      </c>
      <c r="E143" s="56">
        <v>581.28</v>
      </c>
      <c r="F143" t="s">
        <v>55</v>
      </c>
      <c r="G143" t="s">
        <v>60</v>
      </c>
      <c r="H143" t="s">
        <v>38</v>
      </c>
      <c r="I143" t="s">
        <v>278</v>
      </c>
      <c r="J143" t="s">
        <v>283</v>
      </c>
    </row>
    <row r="144" spans="1:10">
      <c r="A144" t="s">
        <v>74</v>
      </c>
      <c r="B144" t="s">
        <v>277</v>
      </c>
      <c r="C144" t="s">
        <v>145</v>
      </c>
      <c r="D144" s="8">
        <v>2010</v>
      </c>
      <c r="E144" s="56">
        <v>581.28</v>
      </c>
      <c r="F144" t="s">
        <v>55</v>
      </c>
      <c r="G144" t="s">
        <v>60</v>
      </c>
      <c r="H144" t="s">
        <v>38</v>
      </c>
      <c r="I144" t="s">
        <v>278</v>
      </c>
      <c r="J144" t="s">
        <v>284</v>
      </c>
    </row>
    <row r="145" spans="1:10">
      <c r="A145" t="s">
        <v>74</v>
      </c>
      <c r="B145" t="s">
        <v>277</v>
      </c>
      <c r="C145" t="s">
        <v>147</v>
      </c>
      <c r="D145" s="8">
        <v>2010</v>
      </c>
      <c r="E145" s="56">
        <v>581.28</v>
      </c>
      <c r="F145" t="s">
        <v>55</v>
      </c>
      <c r="G145" t="s">
        <v>60</v>
      </c>
      <c r="H145" t="s">
        <v>38</v>
      </c>
      <c r="I145" t="s">
        <v>278</v>
      </c>
      <c r="J145" t="s">
        <v>285</v>
      </c>
    </row>
    <row r="146" spans="1:10">
      <c r="A146" t="s">
        <v>74</v>
      </c>
      <c r="B146" t="s">
        <v>277</v>
      </c>
      <c r="C146" t="s">
        <v>149</v>
      </c>
      <c r="D146" s="8">
        <v>2010</v>
      </c>
      <c r="E146" s="56">
        <v>581.28</v>
      </c>
      <c r="F146" t="s">
        <v>55</v>
      </c>
      <c r="G146" t="s">
        <v>60</v>
      </c>
      <c r="H146" t="s">
        <v>38</v>
      </c>
      <c r="I146" t="s">
        <v>278</v>
      </c>
      <c r="J146" t="s">
        <v>286</v>
      </c>
    </row>
    <row r="147" spans="1:10">
      <c r="A147" t="s">
        <v>74</v>
      </c>
      <c r="B147" t="s">
        <v>277</v>
      </c>
      <c r="C147" t="s">
        <v>135</v>
      </c>
      <c r="D147" s="8">
        <v>2030</v>
      </c>
      <c r="E147" s="56">
        <v>523.15199999999993</v>
      </c>
      <c r="F147" t="s">
        <v>55</v>
      </c>
      <c r="G147" t="s">
        <v>60</v>
      </c>
      <c r="H147" t="s">
        <v>38</v>
      </c>
      <c r="I147" t="s">
        <v>278</v>
      </c>
      <c r="J147" t="s">
        <v>287</v>
      </c>
    </row>
    <row r="148" spans="1:10">
      <c r="A148" t="s">
        <v>74</v>
      </c>
      <c r="B148" t="s">
        <v>277</v>
      </c>
      <c r="C148" t="s">
        <v>113</v>
      </c>
      <c r="D148" s="8">
        <v>2030</v>
      </c>
      <c r="E148" s="56">
        <v>523.15199999999993</v>
      </c>
      <c r="F148" t="s">
        <v>55</v>
      </c>
      <c r="G148" t="s">
        <v>60</v>
      </c>
      <c r="H148" t="s">
        <v>38</v>
      </c>
      <c r="I148" t="s">
        <v>278</v>
      </c>
      <c r="J148" t="s">
        <v>288</v>
      </c>
    </row>
    <row r="149" spans="1:10">
      <c r="A149" t="s">
        <v>74</v>
      </c>
      <c r="B149" t="s">
        <v>277</v>
      </c>
      <c r="C149" t="s">
        <v>139</v>
      </c>
      <c r="D149" s="8">
        <v>2030</v>
      </c>
      <c r="E149" s="56">
        <v>523.15199999999993</v>
      </c>
      <c r="F149" t="s">
        <v>55</v>
      </c>
      <c r="G149" t="s">
        <v>60</v>
      </c>
      <c r="H149" t="s">
        <v>38</v>
      </c>
      <c r="I149" t="s">
        <v>278</v>
      </c>
      <c r="J149" t="s">
        <v>289</v>
      </c>
    </row>
    <row r="150" spans="1:10">
      <c r="A150" t="s">
        <v>74</v>
      </c>
      <c r="B150" t="s">
        <v>277</v>
      </c>
      <c r="C150" t="s">
        <v>141</v>
      </c>
      <c r="D150" s="8">
        <v>2030</v>
      </c>
      <c r="E150" s="56">
        <v>523.15199999999993</v>
      </c>
      <c r="F150" t="s">
        <v>55</v>
      </c>
      <c r="G150" t="s">
        <v>60</v>
      </c>
      <c r="H150" t="s">
        <v>38</v>
      </c>
      <c r="I150" t="s">
        <v>278</v>
      </c>
      <c r="J150" t="s">
        <v>290</v>
      </c>
    </row>
    <row r="151" spans="1:10">
      <c r="A151" t="s">
        <v>74</v>
      </c>
      <c r="B151" t="s">
        <v>277</v>
      </c>
      <c r="C151" t="s">
        <v>143</v>
      </c>
      <c r="D151" s="8">
        <v>2030</v>
      </c>
      <c r="E151" s="56">
        <v>523.15199999999993</v>
      </c>
      <c r="F151" t="s">
        <v>55</v>
      </c>
      <c r="G151" t="s">
        <v>60</v>
      </c>
      <c r="H151" t="s">
        <v>38</v>
      </c>
      <c r="I151" t="s">
        <v>278</v>
      </c>
      <c r="J151" t="s">
        <v>291</v>
      </c>
    </row>
    <row r="152" spans="1:10">
      <c r="A152" t="s">
        <v>74</v>
      </c>
      <c r="B152" t="s">
        <v>277</v>
      </c>
      <c r="C152" t="s">
        <v>145</v>
      </c>
      <c r="D152" s="8">
        <v>2030</v>
      </c>
      <c r="E152" s="56">
        <v>523.15199999999993</v>
      </c>
      <c r="F152" t="s">
        <v>55</v>
      </c>
      <c r="G152" t="s">
        <v>60</v>
      </c>
      <c r="H152" t="s">
        <v>38</v>
      </c>
      <c r="I152" t="s">
        <v>278</v>
      </c>
      <c r="J152" t="s">
        <v>292</v>
      </c>
    </row>
    <row r="153" spans="1:10">
      <c r="A153" t="s">
        <v>74</v>
      </c>
      <c r="B153" t="s">
        <v>277</v>
      </c>
      <c r="C153" t="s">
        <v>147</v>
      </c>
      <c r="D153" s="8">
        <v>2030</v>
      </c>
      <c r="E153" s="56">
        <v>523.15199999999993</v>
      </c>
      <c r="F153" t="s">
        <v>55</v>
      </c>
      <c r="G153" t="s">
        <v>60</v>
      </c>
      <c r="H153" t="s">
        <v>38</v>
      </c>
      <c r="I153" t="s">
        <v>278</v>
      </c>
      <c r="J153" t="s">
        <v>293</v>
      </c>
    </row>
    <row r="154" spans="1:10">
      <c r="A154" t="s">
        <v>74</v>
      </c>
      <c r="B154" t="s">
        <v>277</v>
      </c>
      <c r="C154" t="s">
        <v>149</v>
      </c>
      <c r="D154" s="8">
        <v>2030</v>
      </c>
      <c r="E154" s="56">
        <v>523.15199999999993</v>
      </c>
      <c r="F154" t="s">
        <v>55</v>
      </c>
      <c r="G154" t="s">
        <v>60</v>
      </c>
      <c r="H154" t="s">
        <v>38</v>
      </c>
      <c r="I154" t="s">
        <v>278</v>
      </c>
      <c r="J154" t="s">
        <v>294</v>
      </c>
    </row>
    <row r="155" spans="1:10">
      <c r="A155" t="s">
        <v>74</v>
      </c>
      <c r="B155" t="s">
        <v>277</v>
      </c>
      <c r="C155" t="s">
        <v>135</v>
      </c>
      <c r="D155" s="8">
        <v>2050</v>
      </c>
      <c r="E155" s="56">
        <v>465.02399999999994</v>
      </c>
      <c r="F155" t="s">
        <v>55</v>
      </c>
      <c r="G155" t="s">
        <v>60</v>
      </c>
      <c r="H155" t="s">
        <v>38</v>
      </c>
      <c r="I155" t="s">
        <v>278</v>
      </c>
      <c r="J155" t="s">
        <v>295</v>
      </c>
    </row>
    <row r="156" spans="1:10">
      <c r="A156" t="s">
        <v>74</v>
      </c>
      <c r="B156" t="s">
        <v>277</v>
      </c>
      <c r="C156" t="s">
        <v>113</v>
      </c>
      <c r="D156" s="8">
        <v>2050</v>
      </c>
      <c r="E156" s="56">
        <v>465.02399999999994</v>
      </c>
      <c r="F156" t="s">
        <v>55</v>
      </c>
      <c r="G156" t="s">
        <v>60</v>
      </c>
      <c r="H156" t="s">
        <v>38</v>
      </c>
      <c r="I156" t="s">
        <v>278</v>
      </c>
      <c r="J156" t="s">
        <v>296</v>
      </c>
    </row>
    <row r="157" spans="1:10">
      <c r="A157" t="s">
        <v>74</v>
      </c>
      <c r="B157" t="s">
        <v>277</v>
      </c>
      <c r="C157" t="s">
        <v>139</v>
      </c>
      <c r="D157" s="8">
        <v>2050</v>
      </c>
      <c r="E157" s="56">
        <v>465.02399999999994</v>
      </c>
      <c r="F157" t="s">
        <v>55</v>
      </c>
      <c r="G157" t="s">
        <v>60</v>
      </c>
      <c r="H157" t="s">
        <v>38</v>
      </c>
      <c r="I157" t="s">
        <v>278</v>
      </c>
      <c r="J157" t="s">
        <v>297</v>
      </c>
    </row>
    <row r="158" spans="1:10">
      <c r="A158" t="s">
        <v>74</v>
      </c>
      <c r="B158" t="s">
        <v>277</v>
      </c>
      <c r="C158" t="s">
        <v>141</v>
      </c>
      <c r="D158" s="8">
        <v>2050</v>
      </c>
      <c r="E158" s="56">
        <v>465.02399999999994</v>
      </c>
      <c r="F158" t="s">
        <v>55</v>
      </c>
      <c r="G158" t="s">
        <v>60</v>
      </c>
      <c r="H158" t="s">
        <v>38</v>
      </c>
      <c r="I158" t="s">
        <v>278</v>
      </c>
      <c r="J158" t="s">
        <v>298</v>
      </c>
    </row>
    <row r="159" spans="1:10">
      <c r="A159" t="s">
        <v>74</v>
      </c>
      <c r="B159" t="s">
        <v>277</v>
      </c>
      <c r="C159" t="s">
        <v>143</v>
      </c>
      <c r="D159" s="8">
        <v>2050</v>
      </c>
      <c r="E159" s="56">
        <v>465.02399999999994</v>
      </c>
      <c r="F159" t="s">
        <v>55</v>
      </c>
      <c r="G159" t="s">
        <v>60</v>
      </c>
      <c r="H159" t="s">
        <v>38</v>
      </c>
      <c r="I159" t="s">
        <v>278</v>
      </c>
      <c r="J159" t="s">
        <v>299</v>
      </c>
    </row>
    <row r="160" spans="1:10">
      <c r="A160" t="s">
        <v>74</v>
      </c>
      <c r="B160" t="s">
        <v>277</v>
      </c>
      <c r="C160" t="s">
        <v>145</v>
      </c>
      <c r="D160" s="8">
        <v>2050</v>
      </c>
      <c r="E160" s="56">
        <v>465.02399999999994</v>
      </c>
      <c r="F160" t="s">
        <v>55</v>
      </c>
      <c r="G160" t="s">
        <v>60</v>
      </c>
      <c r="H160" t="s">
        <v>38</v>
      </c>
      <c r="I160" t="s">
        <v>278</v>
      </c>
      <c r="J160" t="s">
        <v>300</v>
      </c>
    </row>
    <row r="161" spans="1:10">
      <c r="A161" t="s">
        <v>74</v>
      </c>
      <c r="B161" t="s">
        <v>277</v>
      </c>
      <c r="C161" t="s">
        <v>147</v>
      </c>
      <c r="D161" s="8">
        <v>2050</v>
      </c>
      <c r="E161" s="56">
        <v>465.02399999999994</v>
      </c>
      <c r="F161" t="s">
        <v>55</v>
      </c>
      <c r="G161" t="s">
        <v>60</v>
      </c>
      <c r="H161" t="s">
        <v>38</v>
      </c>
      <c r="I161" t="s">
        <v>278</v>
      </c>
      <c r="J161" t="s">
        <v>301</v>
      </c>
    </row>
    <row r="162" spans="1:10">
      <c r="A162" t="s">
        <v>74</v>
      </c>
      <c r="B162" t="s">
        <v>277</v>
      </c>
      <c r="C162" t="s">
        <v>149</v>
      </c>
      <c r="D162" s="8">
        <v>2050</v>
      </c>
      <c r="E162" s="56">
        <v>465.02399999999994</v>
      </c>
      <c r="F162" t="s">
        <v>55</v>
      </c>
      <c r="G162" t="s">
        <v>60</v>
      </c>
      <c r="H162" t="s">
        <v>38</v>
      </c>
      <c r="I162" t="s">
        <v>278</v>
      </c>
      <c r="J162" t="s">
        <v>302</v>
      </c>
    </row>
    <row r="163" spans="1:10">
      <c r="A163" t="s">
        <v>87</v>
      </c>
      <c r="B163" t="s">
        <v>303</v>
      </c>
      <c r="C163" t="s">
        <v>304</v>
      </c>
      <c r="D163" s="8">
        <v>2018</v>
      </c>
      <c r="E163" s="54">
        <v>11.86</v>
      </c>
      <c r="F163" t="s">
        <v>55</v>
      </c>
      <c r="G163" t="s">
        <v>60</v>
      </c>
      <c r="H163" t="s">
        <v>305</v>
      </c>
      <c r="I163" t="s">
        <v>306</v>
      </c>
      <c r="J163" t="s">
        <v>307</v>
      </c>
    </row>
    <row r="164" spans="1:10">
      <c r="A164" t="s">
        <v>87</v>
      </c>
      <c r="B164" t="s">
        <v>308</v>
      </c>
      <c r="C164" t="s">
        <v>304</v>
      </c>
      <c r="D164" s="8">
        <v>2013</v>
      </c>
      <c r="E164" s="54">
        <v>28.55</v>
      </c>
      <c r="F164" t="s">
        <v>55</v>
      </c>
      <c r="G164" t="s">
        <v>60</v>
      </c>
      <c r="H164" t="s">
        <v>38</v>
      </c>
      <c r="I164" t="s">
        <v>306</v>
      </c>
      <c r="J164" t="s">
        <v>307</v>
      </c>
    </row>
    <row r="165" spans="1:10">
      <c r="A165" t="s">
        <v>87</v>
      </c>
      <c r="B165" t="s">
        <v>309</v>
      </c>
      <c r="C165" t="s">
        <v>310</v>
      </c>
      <c r="D165" s="8">
        <v>2005</v>
      </c>
      <c r="E165" s="54">
        <v>23.4</v>
      </c>
      <c r="F165" t="s">
        <v>55</v>
      </c>
      <c r="G165" t="s">
        <v>60</v>
      </c>
      <c r="H165" t="s">
        <v>38</v>
      </c>
      <c r="I165" t="s">
        <v>311</v>
      </c>
      <c r="J165" s="55" t="s">
        <v>312</v>
      </c>
    </row>
    <row r="166" spans="1:10">
      <c r="A166" t="s">
        <v>87</v>
      </c>
      <c r="B166" t="s">
        <v>309</v>
      </c>
      <c r="C166" t="s">
        <v>310</v>
      </c>
      <c r="D166" s="8">
        <v>2010</v>
      </c>
      <c r="E166" s="54">
        <v>24.12</v>
      </c>
      <c r="F166" t="s">
        <v>55</v>
      </c>
      <c r="G166" t="s">
        <v>60</v>
      </c>
      <c r="H166" t="s">
        <v>38</v>
      </c>
      <c r="I166" t="s">
        <v>311</v>
      </c>
      <c r="J166" s="55" t="s">
        <v>313</v>
      </c>
    </row>
    <row r="167" spans="1:10">
      <c r="A167" t="s">
        <v>87</v>
      </c>
      <c r="B167" t="s">
        <v>309</v>
      </c>
      <c r="C167" t="s">
        <v>310</v>
      </c>
      <c r="D167" s="8">
        <v>2016</v>
      </c>
      <c r="E167" s="54">
        <v>22.3</v>
      </c>
      <c r="F167" t="s">
        <v>55</v>
      </c>
      <c r="G167" t="s">
        <v>60</v>
      </c>
      <c r="H167" t="s">
        <v>38</v>
      </c>
      <c r="I167" t="s">
        <v>311</v>
      </c>
      <c r="J167" s="55" t="s">
        <v>314</v>
      </c>
    </row>
    <row r="168" spans="1:10">
      <c r="A168" t="s">
        <v>87</v>
      </c>
      <c r="B168" t="s">
        <v>315</v>
      </c>
      <c r="C168" t="s">
        <v>310</v>
      </c>
      <c r="D168" s="8">
        <v>2016</v>
      </c>
      <c r="E168" s="54">
        <v>1.23</v>
      </c>
      <c r="F168" t="s">
        <v>55</v>
      </c>
      <c r="G168" t="s">
        <v>60</v>
      </c>
      <c r="H168" t="s">
        <v>38</v>
      </c>
      <c r="I168" t="s">
        <v>311</v>
      </c>
      <c r="J168" t="s">
        <v>316</v>
      </c>
    </row>
    <row r="169" spans="1:10">
      <c r="A169" t="s">
        <v>87</v>
      </c>
      <c r="B169" t="s">
        <v>317</v>
      </c>
      <c r="C169" t="s">
        <v>310</v>
      </c>
      <c r="D169" s="8">
        <v>2017</v>
      </c>
      <c r="E169" s="54">
        <v>2.16</v>
      </c>
      <c r="F169" t="s">
        <v>55</v>
      </c>
      <c r="G169" t="s">
        <v>60</v>
      </c>
      <c r="H169" t="s">
        <v>38</v>
      </c>
      <c r="I169" t="s">
        <v>311</v>
      </c>
      <c r="J169" t="s">
        <v>318</v>
      </c>
    </row>
    <row r="170" spans="1:10">
      <c r="A170" t="s">
        <v>87</v>
      </c>
      <c r="B170" t="s">
        <v>71</v>
      </c>
      <c r="C170" t="s">
        <v>310</v>
      </c>
      <c r="D170" s="8">
        <v>2018</v>
      </c>
      <c r="E170" s="54">
        <v>3.5999999999999997E-2</v>
      </c>
      <c r="F170" t="s">
        <v>55</v>
      </c>
      <c r="G170" t="s">
        <v>60</v>
      </c>
      <c r="H170" t="s">
        <v>38</v>
      </c>
      <c r="I170" t="s">
        <v>311</v>
      </c>
      <c r="J170" t="s">
        <v>319</v>
      </c>
    </row>
    <row r="171" spans="1:10">
      <c r="A171" t="s">
        <v>87</v>
      </c>
      <c r="B171" t="s">
        <v>320</v>
      </c>
      <c r="C171" t="s">
        <v>113</v>
      </c>
      <c r="D171" s="8">
        <v>2009</v>
      </c>
      <c r="E171" s="54">
        <v>5.4</v>
      </c>
      <c r="F171" t="s">
        <v>55</v>
      </c>
      <c r="G171" t="s">
        <v>60</v>
      </c>
      <c r="H171" t="s">
        <v>38</v>
      </c>
      <c r="I171" t="s">
        <v>321</v>
      </c>
      <c r="J171" s="55" t="s">
        <v>322</v>
      </c>
    </row>
    <row r="172" spans="1:10">
      <c r="A172" t="s">
        <v>74</v>
      </c>
      <c r="B172" t="s">
        <v>320</v>
      </c>
      <c r="C172" t="s">
        <v>113</v>
      </c>
      <c r="D172" s="8">
        <v>2009</v>
      </c>
      <c r="E172" s="54">
        <v>16.12</v>
      </c>
      <c r="F172" t="s">
        <v>55</v>
      </c>
      <c r="G172" t="s">
        <v>60</v>
      </c>
      <c r="H172" t="s">
        <v>38</v>
      </c>
      <c r="I172" t="s">
        <v>321</v>
      </c>
      <c r="J172" t="s">
        <v>322</v>
      </c>
    </row>
    <row r="173" spans="1:10">
      <c r="A173" t="s">
        <v>323</v>
      </c>
      <c r="B173" t="s">
        <v>320</v>
      </c>
      <c r="C173" t="s">
        <v>113</v>
      </c>
      <c r="D173" s="8">
        <v>2009</v>
      </c>
      <c r="E173" s="54">
        <v>17.53</v>
      </c>
      <c r="F173" t="s">
        <v>55</v>
      </c>
      <c r="G173" t="s">
        <v>60</v>
      </c>
      <c r="H173" t="s">
        <v>38</v>
      </c>
      <c r="I173" t="s">
        <v>321</v>
      </c>
      <c r="J173" t="s">
        <v>322</v>
      </c>
    </row>
    <row r="174" spans="1:10">
      <c r="A174" t="s">
        <v>126</v>
      </c>
      <c r="B174" t="s">
        <v>320</v>
      </c>
      <c r="C174" t="s">
        <v>113</v>
      </c>
      <c r="D174" s="8">
        <v>2009</v>
      </c>
      <c r="E174" s="54">
        <v>13.02</v>
      </c>
      <c r="F174" t="s">
        <v>55</v>
      </c>
      <c r="G174" t="s">
        <v>60</v>
      </c>
      <c r="H174" t="s">
        <v>38</v>
      </c>
      <c r="I174" t="s">
        <v>324</v>
      </c>
      <c r="J174" t="s">
        <v>325</v>
      </c>
    </row>
    <row r="175" spans="1:10">
      <c r="A175" t="s">
        <v>126</v>
      </c>
      <c r="B175" t="s">
        <v>75</v>
      </c>
      <c r="C175" t="s">
        <v>326</v>
      </c>
      <c r="D175" s="8">
        <v>2008</v>
      </c>
      <c r="E175" s="54">
        <v>12.78</v>
      </c>
      <c r="F175" t="s">
        <v>55</v>
      </c>
      <c r="G175" t="s">
        <v>60</v>
      </c>
      <c r="H175" t="s">
        <v>38</v>
      </c>
      <c r="I175" t="s">
        <v>324</v>
      </c>
      <c r="J175" t="s">
        <v>325</v>
      </c>
    </row>
    <row r="176" spans="1:10">
      <c r="A176" t="s">
        <v>74</v>
      </c>
      <c r="B176" t="s">
        <v>75</v>
      </c>
      <c r="C176" t="s">
        <v>326</v>
      </c>
      <c r="D176" s="8">
        <v>2008</v>
      </c>
      <c r="E176" s="54">
        <v>17.286999999999999</v>
      </c>
      <c r="F176" t="s">
        <v>55</v>
      </c>
      <c r="G176" t="s">
        <v>60</v>
      </c>
      <c r="H176" t="s">
        <v>38</v>
      </c>
      <c r="I176" t="s">
        <v>324</v>
      </c>
      <c r="J176" t="s">
        <v>325</v>
      </c>
    </row>
    <row r="177" spans="1:10">
      <c r="A177" t="s">
        <v>87</v>
      </c>
      <c r="B177" t="s">
        <v>75</v>
      </c>
      <c r="C177" t="s">
        <v>326</v>
      </c>
      <c r="D177" s="8">
        <v>2008</v>
      </c>
      <c r="E177" s="54">
        <v>5.4</v>
      </c>
      <c r="F177" t="s">
        <v>55</v>
      </c>
      <c r="G177" t="s">
        <v>60</v>
      </c>
      <c r="H177" t="s">
        <v>38</v>
      </c>
      <c r="I177" t="s">
        <v>324</v>
      </c>
      <c r="J177" t="s">
        <v>325</v>
      </c>
    </row>
    <row r="178" spans="1:10">
      <c r="A178" t="s">
        <v>87</v>
      </c>
      <c r="B178" t="s">
        <v>327</v>
      </c>
      <c r="C178" t="s">
        <v>328</v>
      </c>
      <c r="D178" s="8">
        <v>2017</v>
      </c>
      <c r="E178" s="54">
        <v>0.1</v>
      </c>
      <c r="F178" t="s">
        <v>55</v>
      </c>
      <c r="G178" t="s">
        <v>60</v>
      </c>
      <c r="H178" t="s">
        <v>38</v>
      </c>
      <c r="I178" s="58" t="s">
        <v>329</v>
      </c>
      <c r="J178" s="55" t="s">
        <v>330</v>
      </c>
    </row>
    <row r="179" spans="1:10">
      <c r="A179" t="s">
        <v>323</v>
      </c>
      <c r="B179" t="s">
        <v>327</v>
      </c>
      <c r="C179" t="s">
        <v>328</v>
      </c>
      <c r="D179" s="8">
        <v>2017</v>
      </c>
      <c r="E179" s="54">
        <v>0.3</v>
      </c>
      <c r="F179" t="s">
        <v>55</v>
      </c>
      <c r="G179" t="s">
        <v>60</v>
      </c>
      <c r="H179" t="s">
        <v>38</v>
      </c>
      <c r="I179" s="58" t="s">
        <v>329</v>
      </c>
      <c r="J179" t="s">
        <v>330</v>
      </c>
    </row>
  </sheetData>
  <phoneticPr fontId="7" type="noConversion"/>
  <hyperlinks>
    <hyperlink ref="J22" r:id="rId1" xr:uid="{A80298B2-BCF1-1D48-B2DE-A5F6EFE286E6}"/>
    <hyperlink ref="J23:J24" r:id="rId2" display="http://www.trolley-project.eu/fileadmin/user_upload/download/TROLLEY_WP4_Report_on_feasability_study_on_network_extension_in_Eberswalde__in_German.pdf" xr:uid="{589A6F41-3F4D-3E42-9CD5-C34FC887D69F}"/>
    <hyperlink ref="J178" r:id="rId3" location=":~:text=The%20energy%20consumption%20of%20the,energy%20than%20the%20gasoline%20motorcycle." xr:uid="{08A199FF-688C-5444-9C9D-2F7FF686AB9F}"/>
    <hyperlink ref="J3" r:id="rId4" xr:uid="{FC972CB8-9384-2B4A-9A02-83ADA4BFC110}"/>
    <hyperlink ref="J25" r:id="rId5" xr:uid="{6128EB16-F0E2-614F-AD67-3EABCDE2CE87}"/>
    <hyperlink ref="J27" r:id="rId6" location="bib38" xr:uid="{C6902333-3070-B048-B475-5403063EE181}"/>
    <hyperlink ref="J35" r:id="rId7" xr:uid="{17482CEB-F842-6248-8FDE-E559C5931985}"/>
    <hyperlink ref="J171" r:id="rId8" xr:uid="{DA0B0BBF-2C6B-B441-B8D5-6969DB5ADDE0}"/>
    <hyperlink ref="J166" r:id="rId9" xr:uid="{BC67D270-72CE-7A41-8E83-13E76A468517}"/>
    <hyperlink ref="J165" r:id="rId10" xr:uid="{99A98049-B6FE-5146-8B67-4E2623A6DEC4}"/>
    <hyperlink ref="J167" r:id="rId11" xr:uid="{F7EAE6F2-8F13-F440-B568-F33A4099D32C}"/>
    <hyperlink ref="J33" r:id="rId12" xr:uid="{43926A88-9BC4-F745-9DC8-7B024F09BA60}"/>
    <hyperlink ref="J4" r:id="rId13" xr:uid="{2D91B3A8-2A40-1D48-8725-48E21E805958}"/>
    <hyperlink ref="J21" r:id="rId14" location="fullTextFileContent" xr:uid="{F110C842-823C-EE4D-8DCF-587D50832D63}"/>
    <hyperlink ref="J28" r:id="rId15" location="bib39" xr:uid="{86896FD1-46C3-CD46-80E5-B3F537A265A6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2641-5A63-4488-8E71-5CB7466EA362}">
  <dimension ref="A2:M17"/>
  <sheetViews>
    <sheetView workbookViewId="0">
      <selection activeCell="G28" sqref="G28"/>
    </sheetView>
  </sheetViews>
  <sheetFormatPr baseColWidth="10" defaultColWidth="11.5" defaultRowHeight="15"/>
  <sheetData>
    <row r="2" spans="1:13" ht="48">
      <c r="A2" s="59" t="s">
        <v>331</v>
      </c>
      <c r="B2" s="60" t="s">
        <v>332</v>
      </c>
      <c r="C2" s="61" t="s">
        <v>333</v>
      </c>
      <c r="D2" s="61" t="s">
        <v>334</v>
      </c>
      <c r="E2" s="60" t="s">
        <v>335</v>
      </c>
      <c r="F2" s="60" t="s">
        <v>336</v>
      </c>
      <c r="G2" s="60" t="s">
        <v>337</v>
      </c>
      <c r="H2" s="60" t="s">
        <v>338</v>
      </c>
      <c r="I2" s="60" t="s">
        <v>339</v>
      </c>
      <c r="J2" s="62" t="s">
        <v>340</v>
      </c>
      <c r="K2" s="63" t="s">
        <v>341</v>
      </c>
      <c r="L2" s="63" t="s">
        <v>342</v>
      </c>
      <c r="M2" s="63" t="s">
        <v>343</v>
      </c>
    </row>
    <row r="3" spans="1:13">
      <c r="A3" s="64" t="s">
        <v>344</v>
      </c>
      <c r="B3" s="65">
        <v>45283</v>
      </c>
      <c r="C3" s="7"/>
      <c r="D3" s="7" t="s">
        <v>35</v>
      </c>
      <c r="E3" s="66" t="s">
        <v>38</v>
      </c>
      <c r="F3" s="66" t="s">
        <v>345</v>
      </c>
      <c r="G3" t="s">
        <v>346</v>
      </c>
      <c r="H3" s="3" t="s">
        <v>347</v>
      </c>
      <c r="I3" s="9">
        <v>0</v>
      </c>
    </row>
    <row r="4" spans="1:13">
      <c r="H4" s="3"/>
      <c r="I4" s="9"/>
    </row>
    <row r="5" spans="1:13">
      <c r="A5" s="68" t="s">
        <v>348</v>
      </c>
      <c r="B5" s="69">
        <v>45408</v>
      </c>
      <c r="C5" s="68" t="s">
        <v>35</v>
      </c>
      <c r="D5" s="68" t="s">
        <v>35</v>
      </c>
      <c r="E5" s="70" t="s">
        <v>345</v>
      </c>
      <c r="F5" s="68" t="s">
        <v>25</v>
      </c>
      <c r="G5" t="s">
        <v>349</v>
      </c>
      <c r="H5" s="3" t="s">
        <v>350</v>
      </c>
      <c r="I5" s="9"/>
    </row>
    <row r="6" spans="1:13">
      <c r="H6" s="3"/>
      <c r="I6" s="9"/>
    </row>
    <row r="7" spans="1:13">
      <c r="H7" s="3" t="s">
        <v>351</v>
      </c>
      <c r="I7" s="75" t="s">
        <v>352</v>
      </c>
      <c r="J7" s="75" t="s">
        <v>353</v>
      </c>
    </row>
    <row r="8" spans="1:13">
      <c r="I8" s="75" t="s">
        <v>354</v>
      </c>
      <c r="J8" s="75" t="s">
        <v>355</v>
      </c>
    </row>
    <row r="9" spans="1:13">
      <c r="I9" s="75" t="s">
        <v>356</v>
      </c>
      <c r="J9" s="75" t="s">
        <v>357</v>
      </c>
    </row>
    <row r="10" spans="1:13">
      <c r="I10" s="75" t="s">
        <v>358</v>
      </c>
      <c r="J10" s="75" t="s">
        <v>359</v>
      </c>
    </row>
    <row r="13" spans="1:13">
      <c r="I13" s="75" t="s">
        <v>360</v>
      </c>
    </row>
    <row r="14" spans="1:13">
      <c r="I14" s="75" t="s">
        <v>361</v>
      </c>
    </row>
    <row r="16" spans="1:13">
      <c r="H16" s="76" t="s">
        <v>362</v>
      </c>
    </row>
    <row r="17" spans="8:8">
      <c r="H17" s="77" t="s">
        <v>363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E1D0-1FF1-4067-858F-90543BB66C9D}">
  <dimension ref="A1"/>
  <sheetViews>
    <sheetView workbookViewId="0">
      <selection activeCell="G12" sqref="G12"/>
    </sheetView>
  </sheetViews>
  <sheetFormatPr baseColWidth="10" defaultColWidth="11.5" defaultRowHeight="1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B51C-46DD-B149-8CF3-397DDE57BB5B}">
  <dimension ref="A1:R60"/>
  <sheetViews>
    <sheetView zoomScale="118" workbookViewId="0">
      <pane xSplit="3" topLeftCell="D1" activePane="topRight" state="frozen"/>
      <selection pane="topRight" activeCell="D35" sqref="D35"/>
    </sheetView>
  </sheetViews>
  <sheetFormatPr baseColWidth="10" defaultColWidth="11.5" defaultRowHeight="15"/>
  <cols>
    <col min="1" max="1" width="27.5" customWidth="1"/>
    <col min="2" max="2" width="12.33203125" customWidth="1"/>
    <col min="3" max="3" width="18.6640625" customWidth="1"/>
    <col min="4" max="4" width="18" customWidth="1"/>
    <col min="7" max="7" width="15.1640625" customWidth="1"/>
    <col min="10" max="10" width="20" customWidth="1"/>
    <col min="11" max="11" width="18.83203125" customWidth="1"/>
  </cols>
  <sheetData>
    <row r="1" spans="1:18">
      <c r="A1" t="s">
        <v>364</v>
      </c>
      <c r="B1" s="2" t="s">
        <v>48</v>
      </c>
      <c r="C1" s="2" t="s">
        <v>52</v>
      </c>
      <c r="D1" s="2">
        <v>2010</v>
      </c>
      <c r="E1" s="2">
        <v>2030</v>
      </c>
      <c r="F1" s="2">
        <v>2050</v>
      </c>
      <c r="G1" s="2" t="s">
        <v>365</v>
      </c>
      <c r="H1" s="2">
        <v>2010</v>
      </c>
      <c r="I1" s="2">
        <v>2030</v>
      </c>
      <c r="J1" s="2">
        <v>2050</v>
      </c>
      <c r="K1" s="2">
        <v>2010</v>
      </c>
      <c r="L1" s="2">
        <v>2030</v>
      </c>
      <c r="M1" s="2">
        <v>2050</v>
      </c>
      <c r="N1" s="2"/>
      <c r="O1" s="11">
        <v>2010</v>
      </c>
      <c r="P1" s="11">
        <v>2030</v>
      </c>
      <c r="Q1" s="11">
        <v>2050</v>
      </c>
      <c r="R1" s="11" t="s">
        <v>365</v>
      </c>
    </row>
    <row r="2" spans="1:18">
      <c r="B2" s="2"/>
      <c r="C2" s="2"/>
      <c r="D2" s="80" t="s">
        <v>366</v>
      </c>
      <c r="E2" s="80"/>
      <c r="F2" s="80"/>
      <c r="G2" s="80"/>
      <c r="H2" s="79" t="s">
        <v>367</v>
      </c>
      <c r="I2" s="79"/>
      <c r="J2" s="79"/>
      <c r="K2" s="79" t="s">
        <v>368</v>
      </c>
      <c r="L2" s="79"/>
      <c r="M2" s="79"/>
      <c r="O2" s="81" t="s">
        <v>353</v>
      </c>
      <c r="P2" s="81"/>
      <c r="Q2" s="81"/>
      <c r="R2" s="81"/>
    </row>
    <row r="3" spans="1:18">
      <c r="A3" t="s">
        <v>135</v>
      </c>
      <c r="B3" t="s">
        <v>369</v>
      </c>
      <c r="C3" t="s">
        <v>370</v>
      </c>
      <c r="D3" s="10">
        <v>50</v>
      </c>
      <c r="E3" s="10">
        <v>35</v>
      </c>
      <c r="F3" s="10">
        <v>27.5</v>
      </c>
      <c r="G3" s="10">
        <f>SUM(D3:F3)/3</f>
        <v>37.5</v>
      </c>
      <c r="H3" s="10">
        <f>D3*0.346</f>
        <v>17.299999999999997</v>
      </c>
      <c r="I3" s="10">
        <f>E3*0.346</f>
        <v>12.11</v>
      </c>
      <c r="J3" s="10">
        <f>F3*0.346</f>
        <v>9.5149999999999988</v>
      </c>
      <c r="K3">
        <v>16</v>
      </c>
      <c r="L3">
        <v>16</v>
      </c>
      <c r="M3">
        <v>16</v>
      </c>
      <c r="O3" s="12">
        <f t="shared" ref="O3:Q10" si="0">H3/K3</f>
        <v>1.0812499999999998</v>
      </c>
      <c r="P3" s="12">
        <f t="shared" si="0"/>
        <v>0.75687499999999996</v>
      </c>
      <c r="Q3" s="12">
        <f t="shared" si="0"/>
        <v>0.59468749999999992</v>
      </c>
      <c r="R3" s="13">
        <f>SUM(O3:Q3)/3</f>
        <v>0.81093749999999998</v>
      </c>
    </row>
    <row r="4" spans="1:18">
      <c r="A4" t="s">
        <v>113</v>
      </c>
      <c r="B4" t="s">
        <v>369</v>
      </c>
      <c r="C4" t="s">
        <v>370</v>
      </c>
      <c r="D4" s="10">
        <v>65</v>
      </c>
      <c r="E4" s="10">
        <v>45.5</v>
      </c>
      <c r="F4" s="10">
        <v>35.75</v>
      </c>
      <c r="G4" s="10">
        <f t="shared" ref="G4:G10" si="1">SUM(D4:F4)/3</f>
        <v>48.75</v>
      </c>
      <c r="H4" s="10">
        <f t="shared" ref="H4:H10" si="2">D4*0.346</f>
        <v>22.49</v>
      </c>
      <c r="I4" s="10">
        <f t="shared" ref="I4:I10" si="3">E4*0.346</f>
        <v>15.742999999999999</v>
      </c>
      <c r="J4" s="10">
        <f t="shared" ref="J4:J10" si="4">F4*0.346</f>
        <v>12.369499999999999</v>
      </c>
      <c r="K4">
        <v>22</v>
      </c>
      <c r="L4">
        <v>22</v>
      </c>
      <c r="M4">
        <v>22</v>
      </c>
      <c r="O4" s="12">
        <f t="shared" si="0"/>
        <v>1.0222727272727272</v>
      </c>
      <c r="P4" s="12">
        <f t="shared" si="0"/>
        <v>0.71559090909090906</v>
      </c>
      <c r="Q4" s="12">
        <f t="shared" si="0"/>
        <v>0.56224999999999992</v>
      </c>
      <c r="R4" s="13">
        <f t="shared" ref="R4:R10" si="5">SUM(O4:Q4)/3</f>
        <v>0.76670454545454536</v>
      </c>
    </row>
    <row r="5" spans="1:18">
      <c r="A5" t="s">
        <v>139</v>
      </c>
      <c r="B5" t="s">
        <v>369</v>
      </c>
      <c r="C5" t="s">
        <v>370</v>
      </c>
      <c r="D5" s="10">
        <v>65</v>
      </c>
      <c r="E5" s="10">
        <v>45.5</v>
      </c>
      <c r="F5" s="10">
        <v>35.799999999999997</v>
      </c>
      <c r="G5" s="10">
        <f t="shared" si="1"/>
        <v>48.766666666666673</v>
      </c>
      <c r="H5" s="10">
        <f t="shared" si="2"/>
        <v>22.49</v>
      </c>
      <c r="I5" s="10">
        <f t="shared" si="3"/>
        <v>15.742999999999999</v>
      </c>
      <c r="J5" s="10">
        <f t="shared" si="4"/>
        <v>12.386799999999997</v>
      </c>
      <c r="K5">
        <v>22</v>
      </c>
      <c r="L5">
        <v>22</v>
      </c>
      <c r="M5">
        <v>22</v>
      </c>
      <c r="O5" s="12">
        <f t="shared" si="0"/>
        <v>1.0222727272727272</v>
      </c>
      <c r="P5" s="12">
        <f t="shared" si="0"/>
        <v>0.71559090909090906</v>
      </c>
      <c r="Q5" s="12">
        <f t="shared" si="0"/>
        <v>0.56303636363636356</v>
      </c>
      <c r="R5" s="13">
        <f t="shared" si="5"/>
        <v>0.76696666666666669</v>
      </c>
    </row>
    <row r="6" spans="1:18">
      <c r="A6" t="s">
        <v>141</v>
      </c>
      <c r="B6" t="s">
        <v>369</v>
      </c>
      <c r="C6" t="s">
        <v>370</v>
      </c>
      <c r="D6" s="10">
        <v>65</v>
      </c>
      <c r="E6" s="10">
        <v>45.5</v>
      </c>
      <c r="F6" s="10">
        <v>35.799999999999997</v>
      </c>
      <c r="G6" s="10">
        <f t="shared" si="1"/>
        <v>48.766666666666673</v>
      </c>
      <c r="H6" s="10">
        <f t="shared" si="2"/>
        <v>22.49</v>
      </c>
      <c r="I6" s="10">
        <f t="shared" si="3"/>
        <v>15.742999999999999</v>
      </c>
      <c r="J6" s="10">
        <f t="shared" si="4"/>
        <v>12.386799999999997</v>
      </c>
      <c r="K6">
        <v>14</v>
      </c>
      <c r="L6">
        <v>14</v>
      </c>
      <c r="M6">
        <v>14</v>
      </c>
      <c r="O6" s="12">
        <f t="shared" si="0"/>
        <v>1.6064285714285713</v>
      </c>
      <c r="P6" s="12">
        <f t="shared" si="0"/>
        <v>1.1244999999999998</v>
      </c>
      <c r="Q6" s="12">
        <f t="shared" si="0"/>
        <v>0.88477142857142843</v>
      </c>
      <c r="R6" s="13">
        <f t="shared" si="5"/>
        <v>1.2052333333333332</v>
      </c>
    </row>
    <row r="7" spans="1:18">
      <c r="A7" t="s">
        <v>143</v>
      </c>
      <c r="B7" t="s">
        <v>369</v>
      </c>
      <c r="C7" t="s">
        <v>370</v>
      </c>
      <c r="D7" s="10">
        <v>65</v>
      </c>
      <c r="E7" s="10">
        <v>45.5</v>
      </c>
      <c r="F7" s="10">
        <v>35.799999999999997</v>
      </c>
      <c r="G7" s="10">
        <f t="shared" si="1"/>
        <v>48.766666666666673</v>
      </c>
      <c r="H7" s="10">
        <f t="shared" si="2"/>
        <v>22.49</v>
      </c>
      <c r="I7" s="10">
        <f t="shared" si="3"/>
        <v>15.742999999999999</v>
      </c>
      <c r="J7" s="10">
        <f t="shared" si="4"/>
        <v>12.386799999999997</v>
      </c>
      <c r="K7">
        <v>17</v>
      </c>
      <c r="L7">
        <v>17</v>
      </c>
      <c r="M7">
        <v>17</v>
      </c>
      <c r="O7" s="12">
        <f t="shared" si="0"/>
        <v>1.3229411764705881</v>
      </c>
      <c r="P7" s="12">
        <f t="shared" si="0"/>
        <v>0.92605882352941171</v>
      </c>
      <c r="Q7" s="12">
        <f t="shared" si="0"/>
        <v>0.72863529411764694</v>
      </c>
      <c r="R7" s="13">
        <f t="shared" si="5"/>
        <v>0.99254509803921553</v>
      </c>
    </row>
    <row r="8" spans="1:18">
      <c r="A8" t="s">
        <v>145</v>
      </c>
      <c r="B8" t="s">
        <v>369</v>
      </c>
      <c r="C8" t="s">
        <v>370</v>
      </c>
      <c r="D8" s="10">
        <v>65</v>
      </c>
      <c r="E8" s="10">
        <v>45.5</v>
      </c>
      <c r="F8" s="10">
        <v>35.799999999999997</v>
      </c>
      <c r="G8" s="10">
        <f t="shared" si="1"/>
        <v>48.766666666666673</v>
      </c>
      <c r="H8" s="10">
        <f t="shared" si="2"/>
        <v>22.49</v>
      </c>
      <c r="I8" s="10">
        <f t="shared" si="3"/>
        <v>15.742999999999999</v>
      </c>
      <c r="J8" s="10">
        <f t="shared" si="4"/>
        <v>12.386799999999997</v>
      </c>
      <c r="K8">
        <v>22</v>
      </c>
      <c r="L8">
        <v>22</v>
      </c>
      <c r="M8">
        <v>22</v>
      </c>
      <c r="O8" s="12">
        <f t="shared" si="0"/>
        <v>1.0222727272727272</v>
      </c>
      <c r="P8" s="12">
        <f t="shared" si="0"/>
        <v>0.71559090909090906</v>
      </c>
      <c r="Q8" s="12">
        <f t="shared" si="0"/>
        <v>0.56303636363636356</v>
      </c>
      <c r="R8" s="13">
        <f t="shared" si="5"/>
        <v>0.76696666666666669</v>
      </c>
    </row>
    <row r="9" spans="1:18">
      <c r="A9" t="s">
        <v>147</v>
      </c>
      <c r="B9" t="s">
        <v>369</v>
      </c>
      <c r="C9" t="s">
        <v>370</v>
      </c>
      <c r="D9" s="10">
        <v>50</v>
      </c>
      <c r="E9" s="10">
        <v>35.5</v>
      </c>
      <c r="F9" s="10">
        <v>27.5</v>
      </c>
      <c r="G9" s="10">
        <f t="shared" si="1"/>
        <v>37.666666666666664</v>
      </c>
      <c r="H9" s="10">
        <f t="shared" si="2"/>
        <v>17.299999999999997</v>
      </c>
      <c r="I9" s="10">
        <f t="shared" si="3"/>
        <v>12.282999999999999</v>
      </c>
      <c r="J9" s="10">
        <f t="shared" si="4"/>
        <v>9.5149999999999988</v>
      </c>
      <c r="K9">
        <v>14</v>
      </c>
      <c r="L9">
        <v>14</v>
      </c>
      <c r="M9">
        <v>14</v>
      </c>
      <c r="O9" s="12">
        <f t="shared" si="0"/>
        <v>1.2357142857142855</v>
      </c>
      <c r="P9" s="12">
        <f t="shared" si="0"/>
        <v>0.87735714285714284</v>
      </c>
      <c r="Q9" s="12">
        <f t="shared" si="0"/>
        <v>0.6796428571428571</v>
      </c>
      <c r="R9" s="13">
        <f t="shared" si="5"/>
        <v>0.93090476190476179</v>
      </c>
    </row>
    <row r="10" spans="1:18">
      <c r="A10" t="s">
        <v>149</v>
      </c>
      <c r="B10" t="s">
        <v>369</v>
      </c>
      <c r="C10" t="s">
        <v>370</v>
      </c>
      <c r="D10" s="10">
        <v>50</v>
      </c>
      <c r="E10" s="10">
        <v>35.5</v>
      </c>
      <c r="F10" s="10">
        <v>27.5</v>
      </c>
      <c r="G10" s="10">
        <f t="shared" si="1"/>
        <v>37.666666666666664</v>
      </c>
      <c r="H10" s="10">
        <f t="shared" si="2"/>
        <v>17.299999999999997</v>
      </c>
      <c r="I10" s="10">
        <f t="shared" si="3"/>
        <v>12.282999999999999</v>
      </c>
      <c r="J10" s="10">
        <f t="shared" si="4"/>
        <v>9.5149999999999988</v>
      </c>
      <c r="K10">
        <v>12</v>
      </c>
      <c r="L10">
        <v>12</v>
      </c>
      <c r="M10">
        <v>12</v>
      </c>
      <c r="O10" s="12">
        <f t="shared" si="0"/>
        <v>1.4416666666666664</v>
      </c>
      <c r="P10" s="12">
        <f t="shared" si="0"/>
        <v>1.0235833333333333</v>
      </c>
      <c r="Q10" s="12">
        <f t="shared" si="0"/>
        <v>0.7929166666666666</v>
      </c>
      <c r="R10" s="13">
        <f t="shared" si="5"/>
        <v>1.0860555555555556</v>
      </c>
    </row>
    <row r="11" spans="1:18">
      <c r="D11" s="79" t="s">
        <v>371</v>
      </c>
      <c r="E11" s="79"/>
      <c r="F11" s="79"/>
      <c r="G11" s="79"/>
      <c r="H11" s="79" t="s">
        <v>367</v>
      </c>
      <c r="I11" s="79"/>
      <c r="J11" s="79"/>
      <c r="K11" s="79" t="s">
        <v>368</v>
      </c>
      <c r="L11" s="79"/>
      <c r="M11" s="79"/>
      <c r="O11" s="81" t="s">
        <v>353</v>
      </c>
      <c r="P11" s="81"/>
      <c r="Q11" s="81"/>
      <c r="R11" s="81"/>
    </row>
    <row r="12" spans="1:18">
      <c r="A12" t="s">
        <v>135</v>
      </c>
      <c r="B12" t="s">
        <v>369</v>
      </c>
      <c r="C12" t="s">
        <v>167</v>
      </c>
      <c r="D12" s="10">
        <v>560</v>
      </c>
      <c r="E12" s="10">
        <v>560</v>
      </c>
      <c r="F12" s="10">
        <v>560</v>
      </c>
      <c r="G12" s="10">
        <v>560</v>
      </c>
      <c r="H12" s="10">
        <f>G12*0.346</f>
        <v>193.76</v>
      </c>
      <c r="I12" s="10">
        <v>193.76</v>
      </c>
      <c r="J12" s="10">
        <v>193.76</v>
      </c>
      <c r="K12">
        <v>221</v>
      </c>
      <c r="L12">
        <v>221</v>
      </c>
      <c r="M12">
        <v>221</v>
      </c>
      <c r="O12" s="12">
        <f t="shared" ref="O12:Q19" si="6">H12/K12</f>
        <v>0.87674208144796373</v>
      </c>
      <c r="P12" s="12">
        <f t="shared" si="6"/>
        <v>0.87674208144796373</v>
      </c>
      <c r="Q12" s="12">
        <f t="shared" si="6"/>
        <v>0.87674208144796373</v>
      </c>
      <c r="R12" s="13">
        <f>SUM(O12:Q12)/3</f>
        <v>0.87674208144796373</v>
      </c>
    </row>
    <row r="13" spans="1:18">
      <c r="A13" t="s">
        <v>113</v>
      </c>
      <c r="B13" t="s">
        <v>369</v>
      </c>
      <c r="C13" t="s">
        <v>167</v>
      </c>
      <c r="D13" s="10">
        <v>560</v>
      </c>
      <c r="E13" s="10">
        <v>560</v>
      </c>
      <c r="F13" s="10">
        <v>560</v>
      </c>
      <c r="G13" s="10">
        <v>560</v>
      </c>
      <c r="H13" s="10">
        <f t="shared" ref="H13:H19" si="7">G13*0.346</f>
        <v>193.76</v>
      </c>
      <c r="I13" s="10">
        <v>193.76</v>
      </c>
      <c r="J13" s="10">
        <v>193.76</v>
      </c>
      <c r="K13">
        <v>221</v>
      </c>
      <c r="L13">
        <v>221</v>
      </c>
      <c r="M13">
        <v>221</v>
      </c>
      <c r="O13" s="12">
        <f t="shared" si="6"/>
        <v>0.87674208144796373</v>
      </c>
      <c r="P13" s="12">
        <f t="shared" si="6"/>
        <v>0.87674208144796373</v>
      </c>
      <c r="Q13" s="12">
        <f t="shared" si="6"/>
        <v>0.87674208144796373</v>
      </c>
      <c r="R13" s="13">
        <f t="shared" ref="R13:R19" si="8">SUM(O13:Q13)/3</f>
        <v>0.87674208144796373</v>
      </c>
    </row>
    <row r="14" spans="1:18">
      <c r="A14" t="s">
        <v>139</v>
      </c>
      <c r="B14" t="s">
        <v>369</v>
      </c>
      <c r="C14" t="s">
        <v>167</v>
      </c>
      <c r="D14" s="10">
        <v>560</v>
      </c>
      <c r="E14" s="10">
        <v>560</v>
      </c>
      <c r="F14" s="10">
        <v>560</v>
      </c>
      <c r="G14" s="10">
        <v>560</v>
      </c>
      <c r="H14" s="10">
        <f t="shared" si="7"/>
        <v>193.76</v>
      </c>
      <c r="I14" s="10">
        <v>193.76</v>
      </c>
      <c r="J14" s="10">
        <v>193.76</v>
      </c>
      <c r="K14">
        <v>221</v>
      </c>
      <c r="L14">
        <v>221</v>
      </c>
      <c r="M14">
        <v>221</v>
      </c>
      <c r="O14" s="12">
        <f t="shared" si="6"/>
        <v>0.87674208144796373</v>
      </c>
      <c r="P14" s="12">
        <f t="shared" si="6"/>
        <v>0.87674208144796373</v>
      </c>
      <c r="Q14" s="12">
        <f t="shared" si="6"/>
        <v>0.87674208144796373</v>
      </c>
      <c r="R14" s="13">
        <f t="shared" si="8"/>
        <v>0.87674208144796373</v>
      </c>
    </row>
    <row r="15" spans="1:18">
      <c r="A15" t="s">
        <v>141</v>
      </c>
      <c r="B15" t="s">
        <v>369</v>
      </c>
      <c r="C15" t="s">
        <v>167</v>
      </c>
      <c r="D15" s="10">
        <v>560</v>
      </c>
      <c r="E15" s="10">
        <v>560</v>
      </c>
      <c r="F15" s="10">
        <v>560</v>
      </c>
      <c r="G15" s="10">
        <v>560</v>
      </c>
      <c r="H15" s="10">
        <f t="shared" si="7"/>
        <v>193.76</v>
      </c>
      <c r="I15" s="10">
        <v>193.76</v>
      </c>
      <c r="J15" s="10">
        <v>193.76</v>
      </c>
      <c r="K15">
        <v>221</v>
      </c>
      <c r="L15">
        <v>221</v>
      </c>
      <c r="M15">
        <v>221</v>
      </c>
      <c r="O15" s="12">
        <f t="shared" si="6"/>
        <v>0.87674208144796373</v>
      </c>
      <c r="P15" s="12">
        <f t="shared" si="6"/>
        <v>0.87674208144796373</v>
      </c>
      <c r="Q15" s="12">
        <f t="shared" si="6"/>
        <v>0.87674208144796373</v>
      </c>
      <c r="R15" s="13">
        <f t="shared" si="8"/>
        <v>0.87674208144796373</v>
      </c>
    </row>
    <row r="16" spans="1:18">
      <c r="A16" t="s">
        <v>143</v>
      </c>
      <c r="B16" t="s">
        <v>369</v>
      </c>
      <c r="C16" t="s">
        <v>167</v>
      </c>
      <c r="D16" s="10">
        <v>560</v>
      </c>
      <c r="E16" s="10">
        <v>560</v>
      </c>
      <c r="F16" s="10">
        <v>560</v>
      </c>
      <c r="G16" s="10">
        <v>560</v>
      </c>
      <c r="H16" s="10">
        <f t="shared" si="7"/>
        <v>193.76</v>
      </c>
      <c r="I16" s="10">
        <v>193.76</v>
      </c>
      <c r="J16" s="10">
        <v>193.76</v>
      </c>
      <c r="K16">
        <v>221</v>
      </c>
      <c r="L16">
        <v>221</v>
      </c>
      <c r="M16">
        <v>221</v>
      </c>
      <c r="O16" s="12">
        <f t="shared" si="6"/>
        <v>0.87674208144796373</v>
      </c>
      <c r="P16" s="12">
        <f t="shared" si="6"/>
        <v>0.87674208144796373</v>
      </c>
      <c r="Q16" s="12">
        <f t="shared" si="6"/>
        <v>0.87674208144796373</v>
      </c>
      <c r="R16" s="13">
        <f t="shared" si="8"/>
        <v>0.87674208144796373</v>
      </c>
    </row>
    <row r="17" spans="1:18">
      <c r="A17" t="s">
        <v>145</v>
      </c>
      <c r="B17" t="s">
        <v>369</v>
      </c>
      <c r="C17" t="s">
        <v>167</v>
      </c>
      <c r="D17" s="10">
        <v>560</v>
      </c>
      <c r="E17" s="10">
        <v>560</v>
      </c>
      <c r="F17" s="10">
        <v>560</v>
      </c>
      <c r="G17" s="10">
        <v>560</v>
      </c>
      <c r="H17" s="10">
        <f t="shared" si="7"/>
        <v>193.76</v>
      </c>
      <c r="I17" s="10">
        <v>193.76</v>
      </c>
      <c r="J17" s="10">
        <v>193.76</v>
      </c>
      <c r="K17">
        <v>221</v>
      </c>
      <c r="L17">
        <v>221</v>
      </c>
      <c r="M17">
        <v>221</v>
      </c>
      <c r="O17" s="12">
        <f t="shared" si="6"/>
        <v>0.87674208144796373</v>
      </c>
      <c r="P17" s="12">
        <f t="shared" si="6"/>
        <v>0.87674208144796373</v>
      </c>
      <c r="Q17" s="12">
        <f t="shared" si="6"/>
        <v>0.87674208144796373</v>
      </c>
      <c r="R17" s="13">
        <f t="shared" si="8"/>
        <v>0.87674208144796373</v>
      </c>
    </row>
    <row r="18" spans="1:18">
      <c r="A18" t="s">
        <v>147</v>
      </c>
      <c r="B18" t="s">
        <v>369</v>
      </c>
      <c r="C18" t="s">
        <v>167</v>
      </c>
      <c r="D18" s="10">
        <v>560</v>
      </c>
      <c r="E18" s="10">
        <v>560</v>
      </c>
      <c r="F18" s="10">
        <v>560</v>
      </c>
      <c r="G18" s="10">
        <v>560</v>
      </c>
      <c r="H18" s="10">
        <f t="shared" si="7"/>
        <v>193.76</v>
      </c>
      <c r="I18" s="10">
        <v>193.76</v>
      </c>
      <c r="J18" s="10">
        <v>193.76</v>
      </c>
      <c r="K18">
        <v>221</v>
      </c>
      <c r="L18">
        <v>221</v>
      </c>
      <c r="M18">
        <v>221</v>
      </c>
      <c r="O18" s="12">
        <f t="shared" si="6"/>
        <v>0.87674208144796373</v>
      </c>
      <c r="P18" s="12">
        <f t="shared" si="6"/>
        <v>0.87674208144796373</v>
      </c>
      <c r="Q18" s="12">
        <f t="shared" si="6"/>
        <v>0.87674208144796373</v>
      </c>
      <c r="R18" s="13">
        <f t="shared" si="8"/>
        <v>0.87674208144796373</v>
      </c>
    </row>
    <row r="19" spans="1:18">
      <c r="A19" t="s">
        <v>149</v>
      </c>
      <c r="B19" t="s">
        <v>369</v>
      </c>
      <c r="C19" t="s">
        <v>167</v>
      </c>
      <c r="D19" s="10">
        <v>560</v>
      </c>
      <c r="E19" s="10">
        <v>560</v>
      </c>
      <c r="F19" s="10">
        <v>560</v>
      </c>
      <c r="G19" s="10">
        <v>560</v>
      </c>
      <c r="H19" s="10">
        <f t="shared" si="7"/>
        <v>193.76</v>
      </c>
      <c r="I19" s="10">
        <v>193.76</v>
      </c>
      <c r="J19" s="10">
        <v>193.76</v>
      </c>
      <c r="K19">
        <v>221</v>
      </c>
      <c r="L19">
        <v>221</v>
      </c>
      <c r="M19">
        <v>221</v>
      </c>
      <c r="O19" s="12">
        <f t="shared" si="6"/>
        <v>0.87674208144796373</v>
      </c>
      <c r="P19" s="12">
        <f t="shared" si="6"/>
        <v>0.87674208144796373</v>
      </c>
      <c r="Q19" s="12">
        <f t="shared" si="6"/>
        <v>0.87674208144796373</v>
      </c>
      <c r="R19" s="13">
        <f t="shared" si="8"/>
        <v>0.87674208144796373</v>
      </c>
    </row>
    <row r="20" spans="1:18">
      <c r="D20" s="79" t="s">
        <v>371</v>
      </c>
      <c r="E20" s="79"/>
      <c r="F20" s="79"/>
      <c r="G20" s="79"/>
      <c r="H20" s="79" t="s">
        <v>367</v>
      </c>
      <c r="I20" s="79"/>
      <c r="J20" s="79"/>
      <c r="K20" s="79" t="s">
        <v>368</v>
      </c>
      <c r="L20" s="79"/>
      <c r="M20" s="79"/>
      <c r="O20" s="81" t="s">
        <v>353</v>
      </c>
      <c r="P20" s="81"/>
      <c r="Q20" s="81"/>
      <c r="R20" s="81"/>
    </row>
    <row r="21" spans="1:18">
      <c r="A21" t="s">
        <v>135</v>
      </c>
      <c r="B21" t="s">
        <v>372</v>
      </c>
      <c r="C21" t="s">
        <v>167</v>
      </c>
      <c r="D21" s="10">
        <v>1400</v>
      </c>
      <c r="E21" s="10">
        <v>1050</v>
      </c>
      <c r="F21" s="10">
        <v>945</v>
      </c>
      <c r="G21" s="10">
        <f>SUM(D21:F21)/3</f>
        <v>1131.6666666666667</v>
      </c>
      <c r="H21" s="10">
        <f>D21*0.036</f>
        <v>50.4</v>
      </c>
      <c r="I21">
        <f>E21*0.036</f>
        <v>37.799999999999997</v>
      </c>
      <c r="J21">
        <f>F21*0.036</f>
        <v>34.019999999999996</v>
      </c>
      <c r="K21">
        <v>221</v>
      </c>
      <c r="L21">
        <v>221</v>
      </c>
      <c r="M21">
        <v>221</v>
      </c>
      <c r="O21" s="12">
        <f t="shared" ref="O21:Q28" si="9">H21/K21</f>
        <v>0.22805429864253393</v>
      </c>
      <c r="P21" s="12">
        <f t="shared" si="9"/>
        <v>0.17104072398190043</v>
      </c>
      <c r="Q21" s="12">
        <f t="shared" si="9"/>
        <v>0.15393665158371039</v>
      </c>
      <c r="R21" s="13">
        <f>SUM(O21:Q21)/3</f>
        <v>0.1843438914027149</v>
      </c>
    </row>
    <row r="22" spans="1:18">
      <c r="A22" t="s">
        <v>113</v>
      </c>
      <c r="B22" t="s">
        <v>372</v>
      </c>
      <c r="C22" t="s">
        <v>167</v>
      </c>
      <c r="D22" s="10">
        <v>1400</v>
      </c>
      <c r="E22" s="10">
        <v>1050</v>
      </c>
      <c r="F22" s="10">
        <v>945</v>
      </c>
      <c r="G22" s="10">
        <f t="shared" ref="G22:G28" si="10">SUM(D22:F22)/3</f>
        <v>1131.6666666666667</v>
      </c>
      <c r="H22" s="10">
        <f t="shared" ref="H22:H28" si="11">D22*0.036</f>
        <v>50.4</v>
      </c>
      <c r="I22">
        <f t="shared" ref="I22:I28" si="12">E22*0.036</f>
        <v>37.799999999999997</v>
      </c>
      <c r="J22">
        <f t="shared" ref="J22:J28" si="13">F22*0.036</f>
        <v>34.019999999999996</v>
      </c>
      <c r="K22">
        <v>221</v>
      </c>
      <c r="L22">
        <v>221</v>
      </c>
      <c r="M22">
        <v>221</v>
      </c>
      <c r="O22" s="12">
        <f t="shared" si="9"/>
        <v>0.22805429864253393</v>
      </c>
      <c r="P22" s="12">
        <f t="shared" si="9"/>
        <v>0.17104072398190043</v>
      </c>
      <c r="Q22" s="12">
        <f t="shared" si="9"/>
        <v>0.15393665158371039</v>
      </c>
      <c r="R22" s="13">
        <f t="shared" ref="R22:R28" si="14">SUM(O22:Q22)/3</f>
        <v>0.1843438914027149</v>
      </c>
    </row>
    <row r="23" spans="1:18">
      <c r="A23" t="s">
        <v>139</v>
      </c>
      <c r="B23" t="s">
        <v>372</v>
      </c>
      <c r="C23" t="s">
        <v>167</v>
      </c>
      <c r="D23" s="10">
        <v>1400</v>
      </c>
      <c r="E23" s="10">
        <v>1050</v>
      </c>
      <c r="F23" s="10">
        <v>945</v>
      </c>
      <c r="G23" s="10">
        <f t="shared" si="10"/>
        <v>1131.6666666666667</v>
      </c>
      <c r="H23" s="10">
        <f t="shared" si="11"/>
        <v>50.4</v>
      </c>
      <c r="I23">
        <f t="shared" si="12"/>
        <v>37.799999999999997</v>
      </c>
      <c r="J23">
        <f t="shared" si="13"/>
        <v>34.019999999999996</v>
      </c>
      <c r="K23">
        <v>221</v>
      </c>
      <c r="L23">
        <v>221</v>
      </c>
      <c r="M23">
        <v>221</v>
      </c>
      <c r="O23" s="12">
        <f t="shared" si="9"/>
        <v>0.22805429864253393</v>
      </c>
      <c r="P23" s="12">
        <f t="shared" si="9"/>
        <v>0.17104072398190043</v>
      </c>
      <c r="Q23" s="12">
        <f t="shared" si="9"/>
        <v>0.15393665158371039</v>
      </c>
      <c r="R23" s="13">
        <f t="shared" si="14"/>
        <v>0.1843438914027149</v>
      </c>
    </row>
    <row r="24" spans="1:18">
      <c r="A24" t="s">
        <v>141</v>
      </c>
      <c r="B24" t="s">
        <v>372</v>
      </c>
      <c r="C24" t="s">
        <v>167</v>
      </c>
      <c r="D24" s="10">
        <v>1400</v>
      </c>
      <c r="E24" s="10">
        <v>1050</v>
      </c>
      <c r="F24" s="10">
        <v>945</v>
      </c>
      <c r="G24" s="10">
        <f t="shared" si="10"/>
        <v>1131.6666666666667</v>
      </c>
      <c r="H24" s="10">
        <f t="shared" si="11"/>
        <v>50.4</v>
      </c>
      <c r="I24">
        <f t="shared" si="12"/>
        <v>37.799999999999997</v>
      </c>
      <c r="J24">
        <f t="shared" si="13"/>
        <v>34.019999999999996</v>
      </c>
      <c r="K24">
        <v>221</v>
      </c>
      <c r="L24">
        <v>221</v>
      </c>
      <c r="M24">
        <v>221</v>
      </c>
      <c r="O24" s="12">
        <f t="shared" si="9"/>
        <v>0.22805429864253393</v>
      </c>
      <c r="P24" s="12">
        <f t="shared" si="9"/>
        <v>0.17104072398190043</v>
      </c>
      <c r="Q24" s="12">
        <f t="shared" si="9"/>
        <v>0.15393665158371039</v>
      </c>
      <c r="R24" s="13">
        <f t="shared" si="14"/>
        <v>0.1843438914027149</v>
      </c>
    </row>
    <row r="25" spans="1:18">
      <c r="A25" t="s">
        <v>143</v>
      </c>
      <c r="B25" t="s">
        <v>372</v>
      </c>
      <c r="C25" t="s">
        <v>167</v>
      </c>
      <c r="D25" s="10">
        <v>1400</v>
      </c>
      <c r="E25" s="10">
        <v>1050</v>
      </c>
      <c r="F25" s="10">
        <v>945</v>
      </c>
      <c r="G25" s="10">
        <f t="shared" si="10"/>
        <v>1131.6666666666667</v>
      </c>
      <c r="H25" s="10">
        <f t="shared" si="11"/>
        <v>50.4</v>
      </c>
      <c r="I25">
        <f t="shared" si="12"/>
        <v>37.799999999999997</v>
      </c>
      <c r="J25">
        <f t="shared" si="13"/>
        <v>34.019999999999996</v>
      </c>
      <c r="K25">
        <v>221</v>
      </c>
      <c r="L25">
        <v>221</v>
      </c>
      <c r="M25">
        <v>221</v>
      </c>
      <c r="O25" s="12">
        <f t="shared" si="9"/>
        <v>0.22805429864253393</v>
      </c>
      <c r="P25" s="12">
        <f t="shared" si="9"/>
        <v>0.17104072398190043</v>
      </c>
      <c r="Q25" s="12">
        <f t="shared" si="9"/>
        <v>0.15393665158371039</v>
      </c>
      <c r="R25" s="13">
        <f t="shared" si="14"/>
        <v>0.1843438914027149</v>
      </c>
    </row>
    <row r="26" spans="1:18">
      <c r="A26" t="s">
        <v>145</v>
      </c>
      <c r="B26" t="s">
        <v>372</v>
      </c>
      <c r="C26" t="s">
        <v>167</v>
      </c>
      <c r="D26" s="10">
        <v>1400</v>
      </c>
      <c r="E26" s="10">
        <v>1050</v>
      </c>
      <c r="F26" s="10">
        <v>945</v>
      </c>
      <c r="G26" s="10">
        <f t="shared" si="10"/>
        <v>1131.6666666666667</v>
      </c>
      <c r="H26" s="10">
        <f t="shared" si="11"/>
        <v>50.4</v>
      </c>
      <c r="I26">
        <f t="shared" si="12"/>
        <v>37.799999999999997</v>
      </c>
      <c r="J26">
        <f t="shared" si="13"/>
        <v>34.019999999999996</v>
      </c>
      <c r="K26">
        <v>221</v>
      </c>
      <c r="L26">
        <v>221</v>
      </c>
      <c r="M26">
        <v>221</v>
      </c>
      <c r="O26" s="12">
        <f t="shared" si="9"/>
        <v>0.22805429864253393</v>
      </c>
      <c r="P26" s="12">
        <f t="shared" si="9"/>
        <v>0.17104072398190043</v>
      </c>
      <c r="Q26" s="12">
        <f t="shared" si="9"/>
        <v>0.15393665158371039</v>
      </c>
      <c r="R26" s="13">
        <f t="shared" si="14"/>
        <v>0.1843438914027149</v>
      </c>
    </row>
    <row r="27" spans="1:18">
      <c r="A27" t="s">
        <v>147</v>
      </c>
      <c r="B27" t="s">
        <v>372</v>
      </c>
      <c r="C27" t="s">
        <v>167</v>
      </c>
      <c r="D27" s="10">
        <v>1400</v>
      </c>
      <c r="E27" s="10">
        <v>1050</v>
      </c>
      <c r="F27" s="10">
        <v>945</v>
      </c>
      <c r="G27" s="10">
        <f t="shared" si="10"/>
        <v>1131.6666666666667</v>
      </c>
      <c r="H27" s="10">
        <f t="shared" si="11"/>
        <v>50.4</v>
      </c>
      <c r="I27">
        <f t="shared" si="12"/>
        <v>37.799999999999997</v>
      </c>
      <c r="J27">
        <f t="shared" si="13"/>
        <v>34.019999999999996</v>
      </c>
      <c r="K27">
        <v>221</v>
      </c>
      <c r="L27">
        <v>221</v>
      </c>
      <c r="M27">
        <v>221</v>
      </c>
      <c r="O27" s="12">
        <f t="shared" si="9"/>
        <v>0.22805429864253393</v>
      </c>
      <c r="P27" s="12">
        <f t="shared" si="9"/>
        <v>0.17104072398190043</v>
      </c>
      <c r="Q27" s="12">
        <f t="shared" si="9"/>
        <v>0.15393665158371039</v>
      </c>
      <c r="R27" s="13">
        <f t="shared" si="14"/>
        <v>0.1843438914027149</v>
      </c>
    </row>
    <row r="28" spans="1:18">
      <c r="A28" t="s">
        <v>149</v>
      </c>
      <c r="B28" t="s">
        <v>372</v>
      </c>
      <c r="C28" t="s">
        <v>167</v>
      </c>
      <c r="D28" s="10">
        <v>1400</v>
      </c>
      <c r="E28" s="10">
        <v>1050</v>
      </c>
      <c r="F28" s="10">
        <v>945</v>
      </c>
      <c r="G28" s="10">
        <f t="shared" si="10"/>
        <v>1131.6666666666667</v>
      </c>
      <c r="H28" s="10">
        <f t="shared" si="11"/>
        <v>50.4</v>
      </c>
      <c r="I28">
        <f t="shared" si="12"/>
        <v>37.799999999999997</v>
      </c>
      <c r="J28">
        <f t="shared" si="13"/>
        <v>34.019999999999996</v>
      </c>
      <c r="K28">
        <v>221</v>
      </c>
      <c r="L28">
        <v>221</v>
      </c>
      <c r="M28">
        <v>221</v>
      </c>
      <c r="O28" s="12">
        <f t="shared" si="9"/>
        <v>0.22805429864253393</v>
      </c>
      <c r="P28" s="12">
        <f t="shared" si="9"/>
        <v>0.17104072398190043</v>
      </c>
      <c r="Q28" s="12">
        <f t="shared" si="9"/>
        <v>0.15393665158371039</v>
      </c>
      <c r="R28" s="13">
        <f t="shared" si="14"/>
        <v>0.1843438914027149</v>
      </c>
    </row>
    <row r="29" spans="1:18">
      <c r="D29" s="79" t="s">
        <v>371</v>
      </c>
      <c r="E29" s="79"/>
      <c r="F29" s="79"/>
      <c r="G29" s="79"/>
      <c r="H29" s="79" t="s">
        <v>367</v>
      </c>
      <c r="I29" s="79"/>
      <c r="J29" s="79"/>
      <c r="K29" s="79" t="s">
        <v>368</v>
      </c>
      <c r="L29" s="79"/>
      <c r="M29" s="79"/>
      <c r="O29" s="81" t="s">
        <v>353</v>
      </c>
      <c r="P29" s="81"/>
      <c r="Q29" s="81"/>
      <c r="R29" s="81"/>
    </row>
    <row r="30" spans="1:18">
      <c r="A30" t="s">
        <v>135</v>
      </c>
      <c r="B30" t="s">
        <v>372</v>
      </c>
      <c r="C30" t="s">
        <v>373</v>
      </c>
      <c r="D30" s="10">
        <v>2000</v>
      </c>
      <c r="E30" s="10">
        <v>1500</v>
      </c>
      <c r="F30" s="10">
        <v>1350</v>
      </c>
      <c r="G30" s="10">
        <f>SUM(D30:F30)/3</f>
        <v>1616.6666666666667</v>
      </c>
      <c r="H30">
        <f>D30*0.036</f>
        <v>72</v>
      </c>
      <c r="I30">
        <f>E30*0.036</f>
        <v>53.999999999999993</v>
      </c>
      <c r="J30">
        <f>F30*0.036</f>
        <v>48.599999999999994</v>
      </c>
      <c r="K30">
        <v>436</v>
      </c>
      <c r="L30">
        <v>436</v>
      </c>
      <c r="M30">
        <v>436</v>
      </c>
      <c r="O30" s="12">
        <f t="shared" ref="O30:Q37" si="15">H30/K30</f>
        <v>0.16513761467889909</v>
      </c>
      <c r="P30" s="12">
        <f t="shared" si="15"/>
        <v>0.12385321100917429</v>
      </c>
      <c r="Q30" s="12">
        <f t="shared" si="15"/>
        <v>0.11146788990825687</v>
      </c>
      <c r="R30" s="13" cm="1">
        <f t="array" ref="R30">SUM(O30:Q30/3)</f>
        <v>0.13348623853211009</v>
      </c>
    </row>
    <row r="31" spans="1:18">
      <c r="A31" t="s">
        <v>113</v>
      </c>
      <c r="B31" t="s">
        <v>372</v>
      </c>
      <c r="C31" t="s">
        <v>373</v>
      </c>
      <c r="D31" s="10">
        <v>2000</v>
      </c>
      <c r="E31" s="10">
        <v>1500</v>
      </c>
      <c r="F31" s="10">
        <v>1350</v>
      </c>
      <c r="G31" s="10">
        <f t="shared" ref="G31:G37" si="16">SUM(D31:F31)/3</f>
        <v>1616.6666666666667</v>
      </c>
      <c r="H31">
        <f t="shared" ref="H31:H37" si="17">D31*0.036</f>
        <v>72</v>
      </c>
      <c r="I31">
        <f t="shared" ref="I31:I37" si="18">E31*0.036</f>
        <v>53.999999999999993</v>
      </c>
      <c r="J31">
        <f t="shared" ref="J31:J37" si="19">F31*0.036</f>
        <v>48.599999999999994</v>
      </c>
      <c r="K31">
        <v>436</v>
      </c>
      <c r="L31">
        <v>436</v>
      </c>
      <c r="M31">
        <v>436</v>
      </c>
      <c r="O31" s="12">
        <f t="shared" si="15"/>
        <v>0.16513761467889909</v>
      </c>
      <c r="P31" s="12">
        <f t="shared" si="15"/>
        <v>0.12385321100917429</v>
      </c>
      <c r="Q31" s="12">
        <f t="shared" si="15"/>
        <v>0.11146788990825687</v>
      </c>
      <c r="R31" s="13" cm="1">
        <f t="array" ref="R31">SUM(O31:Q31/3)</f>
        <v>0.13348623853211009</v>
      </c>
    </row>
    <row r="32" spans="1:18">
      <c r="A32" t="s">
        <v>139</v>
      </c>
      <c r="B32" t="s">
        <v>372</v>
      </c>
      <c r="C32" t="s">
        <v>373</v>
      </c>
      <c r="D32" s="10">
        <v>2000</v>
      </c>
      <c r="E32" s="10">
        <v>1500</v>
      </c>
      <c r="F32" s="10">
        <v>1350</v>
      </c>
      <c r="G32" s="10">
        <f t="shared" si="16"/>
        <v>1616.6666666666667</v>
      </c>
      <c r="H32">
        <f t="shared" si="17"/>
        <v>72</v>
      </c>
      <c r="I32">
        <f t="shared" si="18"/>
        <v>53.999999999999993</v>
      </c>
      <c r="J32">
        <f t="shared" si="19"/>
        <v>48.599999999999994</v>
      </c>
      <c r="K32">
        <v>436</v>
      </c>
      <c r="L32">
        <v>436</v>
      </c>
      <c r="M32">
        <v>436</v>
      </c>
      <c r="O32" s="12">
        <f t="shared" si="15"/>
        <v>0.16513761467889909</v>
      </c>
      <c r="P32" s="12">
        <f t="shared" si="15"/>
        <v>0.12385321100917429</v>
      </c>
      <c r="Q32" s="12">
        <f t="shared" si="15"/>
        <v>0.11146788990825687</v>
      </c>
      <c r="R32" s="13" cm="1">
        <f t="array" ref="R32">SUM(O32:Q32/3)</f>
        <v>0.13348623853211009</v>
      </c>
    </row>
    <row r="33" spans="1:18">
      <c r="A33" t="s">
        <v>141</v>
      </c>
      <c r="B33" t="s">
        <v>372</v>
      </c>
      <c r="C33" t="s">
        <v>373</v>
      </c>
      <c r="D33" s="10">
        <v>2000</v>
      </c>
      <c r="E33" s="10">
        <v>1500</v>
      </c>
      <c r="F33" s="10">
        <v>1350</v>
      </c>
      <c r="G33" s="10">
        <f t="shared" si="16"/>
        <v>1616.6666666666667</v>
      </c>
      <c r="H33">
        <f t="shared" si="17"/>
        <v>72</v>
      </c>
      <c r="I33">
        <f t="shared" si="18"/>
        <v>53.999999999999993</v>
      </c>
      <c r="J33">
        <f t="shared" si="19"/>
        <v>48.599999999999994</v>
      </c>
      <c r="K33">
        <v>436</v>
      </c>
      <c r="L33">
        <v>436</v>
      </c>
      <c r="M33">
        <v>436</v>
      </c>
      <c r="O33" s="12">
        <f t="shared" si="15"/>
        <v>0.16513761467889909</v>
      </c>
      <c r="P33" s="12">
        <f t="shared" si="15"/>
        <v>0.12385321100917429</v>
      </c>
      <c r="Q33" s="12">
        <f t="shared" si="15"/>
        <v>0.11146788990825687</v>
      </c>
      <c r="R33" s="13" cm="1">
        <f t="array" ref="R33">SUM(O33:Q33/3)</f>
        <v>0.13348623853211009</v>
      </c>
    </row>
    <row r="34" spans="1:18">
      <c r="A34" t="s">
        <v>143</v>
      </c>
      <c r="B34" t="s">
        <v>372</v>
      </c>
      <c r="C34" t="s">
        <v>373</v>
      </c>
      <c r="D34" s="10">
        <v>2000</v>
      </c>
      <c r="E34" s="10">
        <v>1500</v>
      </c>
      <c r="F34" s="10">
        <v>1350</v>
      </c>
      <c r="G34" s="10">
        <f t="shared" si="16"/>
        <v>1616.6666666666667</v>
      </c>
      <c r="H34">
        <f t="shared" si="17"/>
        <v>72</v>
      </c>
      <c r="I34">
        <f t="shared" si="18"/>
        <v>53.999999999999993</v>
      </c>
      <c r="J34">
        <f t="shared" si="19"/>
        <v>48.599999999999994</v>
      </c>
      <c r="K34">
        <v>436</v>
      </c>
      <c r="L34">
        <v>436</v>
      </c>
      <c r="M34">
        <v>436</v>
      </c>
      <c r="O34" s="12">
        <f t="shared" si="15"/>
        <v>0.16513761467889909</v>
      </c>
      <c r="P34" s="12">
        <f t="shared" si="15"/>
        <v>0.12385321100917429</v>
      </c>
      <c r="Q34" s="12">
        <f t="shared" si="15"/>
        <v>0.11146788990825687</v>
      </c>
      <c r="R34" s="13" cm="1">
        <f t="array" ref="R34">SUM(O34:Q34/3)</f>
        <v>0.13348623853211009</v>
      </c>
    </row>
    <row r="35" spans="1:18">
      <c r="A35" t="s">
        <v>145</v>
      </c>
      <c r="B35" t="s">
        <v>372</v>
      </c>
      <c r="C35" t="s">
        <v>373</v>
      </c>
      <c r="D35" s="10">
        <v>2000</v>
      </c>
      <c r="E35" s="10">
        <v>1500</v>
      </c>
      <c r="F35" s="10">
        <v>1350</v>
      </c>
      <c r="G35" s="10">
        <f t="shared" si="16"/>
        <v>1616.6666666666667</v>
      </c>
      <c r="H35">
        <f t="shared" si="17"/>
        <v>72</v>
      </c>
      <c r="I35">
        <f t="shared" si="18"/>
        <v>53.999999999999993</v>
      </c>
      <c r="J35">
        <f t="shared" si="19"/>
        <v>48.599999999999994</v>
      </c>
      <c r="K35">
        <v>436</v>
      </c>
      <c r="L35">
        <v>436</v>
      </c>
      <c r="M35">
        <v>436</v>
      </c>
      <c r="O35" s="12">
        <f t="shared" si="15"/>
        <v>0.16513761467889909</v>
      </c>
      <c r="P35" s="12">
        <f t="shared" si="15"/>
        <v>0.12385321100917429</v>
      </c>
      <c r="Q35" s="12">
        <f t="shared" si="15"/>
        <v>0.11146788990825687</v>
      </c>
      <c r="R35" s="13" cm="1">
        <f t="array" ref="R35">SUM(O35:Q35/3)</f>
        <v>0.13348623853211009</v>
      </c>
    </row>
    <row r="36" spans="1:18">
      <c r="A36" t="s">
        <v>147</v>
      </c>
      <c r="B36" t="s">
        <v>372</v>
      </c>
      <c r="C36" t="s">
        <v>373</v>
      </c>
      <c r="D36" s="10">
        <v>2000</v>
      </c>
      <c r="E36" s="10">
        <v>1500</v>
      </c>
      <c r="F36" s="10">
        <v>1350</v>
      </c>
      <c r="G36" s="10">
        <f t="shared" si="16"/>
        <v>1616.6666666666667</v>
      </c>
      <c r="H36">
        <f t="shared" si="17"/>
        <v>72</v>
      </c>
      <c r="I36">
        <f t="shared" si="18"/>
        <v>53.999999999999993</v>
      </c>
      <c r="J36">
        <f t="shared" si="19"/>
        <v>48.599999999999994</v>
      </c>
      <c r="K36">
        <v>436</v>
      </c>
      <c r="L36">
        <v>436</v>
      </c>
      <c r="M36">
        <v>436</v>
      </c>
      <c r="O36" s="12">
        <f t="shared" si="15"/>
        <v>0.16513761467889909</v>
      </c>
      <c r="P36" s="12">
        <f t="shared" si="15"/>
        <v>0.12385321100917429</v>
      </c>
      <c r="Q36" s="12">
        <f t="shared" si="15"/>
        <v>0.11146788990825687</v>
      </c>
      <c r="R36" s="13" cm="1">
        <f t="array" ref="R36">SUM(O36:Q36/3)</f>
        <v>0.13348623853211009</v>
      </c>
    </row>
    <row r="37" spans="1:18">
      <c r="A37" t="s">
        <v>149</v>
      </c>
      <c r="B37" t="s">
        <v>372</v>
      </c>
      <c r="C37" t="s">
        <v>373</v>
      </c>
      <c r="D37" s="10">
        <v>2000</v>
      </c>
      <c r="E37" s="10">
        <v>1500</v>
      </c>
      <c r="F37" s="10">
        <v>1350</v>
      </c>
      <c r="G37" s="10">
        <f t="shared" si="16"/>
        <v>1616.6666666666667</v>
      </c>
      <c r="H37">
        <f t="shared" si="17"/>
        <v>72</v>
      </c>
      <c r="I37">
        <f t="shared" si="18"/>
        <v>53.999999999999993</v>
      </c>
      <c r="J37">
        <f t="shared" si="19"/>
        <v>48.599999999999994</v>
      </c>
      <c r="K37">
        <v>436</v>
      </c>
      <c r="L37">
        <v>436</v>
      </c>
      <c r="M37">
        <v>436</v>
      </c>
      <c r="O37" s="12">
        <f t="shared" si="15"/>
        <v>0.16513761467889909</v>
      </c>
      <c r="P37" s="12">
        <f t="shared" si="15"/>
        <v>0.12385321100917429</v>
      </c>
      <c r="Q37" s="12">
        <f t="shared" si="15"/>
        <v>0.11146788990825687</v>
      </c>
      <c r="R37" s="13" cm="1">
        <f t="array" ref="R37">SUM(O37:Q37/3)</f>
        <v>0.13348623853211009</v>
      </c>
    </row>
    <row r="38" spans="1:18">
      <c r="D38" s="79" t="s">
        <v>371</v>
      </c>
      <c r="E38" s="79"/>
      <c r="F38" s="79"/>
      <c r="G38" s="79"/>
      <c r="H38" s="79" t="s">
        <v>367</v>
      </c>
      <c r="I38" s="79"/>
      <c r="J38" s="79"/>
      <c r="K38" s="79" t="s">
        <v>374</v>
      </c>
      <c r="L38" s="79"/>
      <c r="M38" s="79"/>
      <c r="O38" s="81" t="s">
        <v>355</v>
      </c>
      <c r="P38" s="81"/>
      <c r="Q38" s="81"/>
      <c r="R38" s="81"/>
    </row>
    <row r="39" spans="1:18">
      <c r="A39" t="s">
        <v>135</v>
      </c>
      <c r="B39" t="s">
        <v>369</v>
      </c>
      <c r="C39" t="s">
        <v>251</v>
      </c>
      <c r="D39" s="10">
        <v>15</v>
      </c>
      <c r="E39" s="10">
        <v>13</v>
      </c>
      <c r="F39" s="10">
        <v>11</v>
      </c>
      <c r="G39" s="10">
        <f>SUM(D39:F39)/3</f>
        <v>13</v>
      </c>
      <c r="H39">
        <f>D39*0.346</f>
        <v>5.1899999999999995</v>
      </c>
      <c r="I39">
        <f>E39*0.346</f>
        <v>4.4979999999999993</v>
      </c>
      <c r="J39">
        <f>F39*0.346</f>
        <v>3.8059999999999996</v>
      </c>
      <c r="K39">
        <v>4.2</v>
      </c>
      <c r="L39">
        <v>4.2</v>
      </c>
      <c r="M39">
        <v>4.2</v>
      </c>
      <c r="O39" s="12">
        <f t="shared" ref="O39:Q46" si="20">H39/K39</f>
        <v>1.2357142857142855</v>
      </c>
      <c r="P39" s="12">
        <f t="shared" si="20"/>
        <v>1.0709523809523807</v>
      </c>
      <c r="Q39" s="12">
        <f t="shared" si="20"/>
        <v>0.9061904761904761</v>
      </c>
      <c r="R39" s="13">
        <f>SUM(O39:Q39)/3</f>
        <v>1.0709523809523807</v>
      </c>
    </row>
    <row r="40" spans="1:18">
      <c r="A40" t="s">
        <v>113</v>
      </c>
      <c r="B40" t="s">
        <v>369</v>
      </c>
      <c r="C40" t="s">
        <v>251</v>
      </c>
      <c r="D40" s="10">
        <v>24</v>
      </c>
      <c r="E40" s="10">
        <v>20</v>
      </c>
      <c r="F40" s="10">
        <v>17</v>
      </c>
      <c r="G40" s="10">
        <f t="shared" ref="G40:G46" si="21">SUM(D40:F40)/3</f>
        <v>20.333333333333332</v>
      </c>
      <c r="H40">
        <f t="shared" ref="H40:H46" si="22">D40*0.346</f>
        <v>8.3039999999999985</v>
      </c>
      <c r="I40">
        <f t="shared" ref="I40:I45" si="23">E40*0.346</f>
        <v>6.92</v>
      </c>
      <c r="J40">
        <f t="shared" ref="J40:J46" si="24">F40*0.346</f>
        <v>5.8819999999999997</v>
      </c>
      <c r="K40">
        <v>4.2</v>
      </c>
      <c r="L40">
        <v>4.2</v>
      </c>
      <c r="M40">
        <v>4.2</v>
      </c>
      <c r="O40" s="12">
        <f t="shared" si="20"/>
        <v>1.9771428571428566</v>
      </c>
      <c r="P40" s="12">
        <f t="shared" si="20"/>
        <v>1.6476190476190475</v>
      </c>
      <c r="Q40" s="12">
        <f t="shared" si="20"/>
        <v>1.4004761904761904</v>
      </c>
      <c r="R40" s="13">
        <f t="shared" ref="R40:R46" si="25">SUM(O40:Q40)/3</f>
        <v>1.6750793650793649</v>
      </c>
    </row>
    <row r="41" spans="1:18">
      <c r="A41" t="s">
        <v>139</v>
      </c>
      <c r="B41" t="s">
        <v>369</v>
      </c>
      <c r="C41" t="s">
        <v>251</v>
      </c>
      <c r="D41" s="10">
        <v>35</v>
      </c>
      <c r="E41" s="10">
        <v>23</v>
      </c>
      <c r="F41" s="10">
        <v>20</v>
      </c>
      <c r="G41" s="10">
        <f t="shared" si="21"/>
        <v>26</v>
      </c>
      <c r="H41">
        <f t="shared" si="22"/>
        <v>12.11</v>
      </c>
      <c r="I41">
        <f t="shared" si="23"/>
        <v>7.9579999999999993</v>
      </c>
      <c r="J41">
        <f t="shared" si="24"/>
        <v>6.92</v>
      </c>
      <c r="K41">
        <v>4.2</v>
      </c>
      <c r="L41">
        <v>4.2</v>
      </c>
      <c r="M41">
        <v>4.2</v>
      </c>
      <c r="O41" s="12">
        <f t="shared" si="20"/>
        <v>2.8833333333333329</v>
      </c>
      <c r="P41" s="12">
        <f t="shared" si="20"/>
        <v>1.8947619047619044</v>
      </c>
      <c r="Q41" s="12">
        <f t="shared" si="20"/>
        <v>1.6476190476190475</v>
      </c>
      <c r="R41" s="13">
        <f t="shared" si="25"/>
        <v>2.1419047619047618</v>
      </c>
    </row>
    <row r="42" spans="1:18">
      <c r="A42" t="s">
        <v>141</v>
      </c>
      <c r="B42" t="s">
        <v>369</v>
      </c>
      <c r="C42" t="s">
        <v>251</v>
      </c>
      <c r="D42" s="10">
        <v>35</v>
      </c>
      <c r="E42" s="10">
        <v>23</v>
      </c>
      <c r="F42" s="10">
        <v>20</v>
      </c>
      <c r="G42" s="10">
        <f t="shared" si="21"/>
        <v>26</v>
      </c>
      <c r="H42">
        <f t="shared" si="22"/>
        <v>12.11</v>
      </c>
      <c r="I42">
        <f t="shared" si="23"/>
        <v>7.9579999999999993</v>
      </c>
      <c r="J42">
        <f t="shared" si="24"/>
        <v>6.92</v>
      </c>
      <c r="K42">
        <v>4.2</v>
      </c>
      <c r="L42">
        <v>4.2</v>
      </c>
      <c r="M42">
        <v>4.2</v>
      </c>
      <c r="O42" s="12">
        <f t="shared" si="20"/>
        <v>2.8833333333333329</v>
      </c>
      <c r="P42" s="12">
        <f t="shared" si="20"/>
        <v>1.8947619047619044</v>
      </c>
      <c r="Q42" s="12">
        <f t="shared" si="20"/>
        <v>1.6476190476190475</v>
      </c>
      <c r="R42" s="13">
        <f t="shared" si="25"/>
        <v>2.1419047619047618</v>
      </c>
    </row>
    <row r="43" spans="1:18">
      <c r="A43" t="s">
        <v>143</v>
      </c>
      <c r="B43" t="s">
        <v>369</v>
      </c>
      <c r="C43" t="s">
        <v>251</v>
      </c>
      <c r="D43" s="10">
        <v>35</v>
      </c>
      <c r="E43" s="10">
        <v>23</v>
      </c>
      <c r="F43" s="10">
        <v>20</v>
      </c>
      <c r="G43" s="10">
        <f t="shared" si="21"/>
        <v>26</v>
      </c>
      <c r="H43">
        <f t="shared" si="22"/>
        <v>12.11</v>
      </c>
      <c r="I43">
        <f t="shared" si="23"/>
        <v>7.9579999999999993</v>
      </c>
      <c r="J43">
        <f t="shared" si="24"/>
        <v>6.92</v>
      </c>
      <c r="K43">
        <v>4.2</v>
      </c>
      <c r="L43">
        <v>4.2</v>
      </c>
      <c r="M43">
        <v>4.2</v>
      </c>
      <c r="O43" s="12">
        <f t="shared" si="20"/>
        <v>2.8833333333333329</v>
      </c>
      <c r="P43" s="12">
        <f t="shared" si="20"/>
        <v>1.8947619047619044</v>
      </c>
      <c r="Q43" s="12">
        <f t="shared" si="20"/>
        <v>1.6476190476190475</v>
      </c>
      <c r="R43" s="13">
        <f t="shared" si="25"/>
        <v>2.1419047619047618</v>
      </c>
    </row>
    <row r="44" spans="1:18">
      <c r="A44" t="s">
        <v>145</v>
      </c>
      <c r="B44" t="s">
        <v>369</v>
      </c>
      <c r="C44" t="s">
        <v>251</v>
      </c>
      <c r="D44" s="10">
        <v>35</v>
      </c>
      <c r="E44" s="10">
        <v>23</v>
      </c>
      <c r="F44" s="10">
        <v>20</v>
      </c>
      <c r="G44" s="10">
        <f t="shared" si="21"/>
        <v>26</v>
      </c>
      <c r="H44">
        <f t="shared" si="22"/>
        <v>12.11</v>
      </c>
      <c r="I44">
        <f t="shared" si="23"/>
        <v>7.9579999999999993</v>
      </c>
      <c r="J44">
        <f t="shared" si="24"/>
        <v>6.92</v>
      </c>
      <c r="K44">
        <v>4.2</v>
      </c>
      <c r="L44">
        <v>4.2</v>
      </c>
      <c r="M44">
        <v>4.2</v>
      </c>
      <c r="O44" s="12">
        <f t="shared" si="20"/>
        <v>2.8833333333333329</v>
      </c>
      <c r="P44" s="12">
        <f t="shared" si="20"/>
        <v>1.8947619047619044</v>
      </c>
      <c r="Q44" s="12">
        <f t="shared" si="20"/>
        <v>1.6476190476190475</v>
      </c>
      <c r="R44" s="13">
        <f t="shared" si="25"/>
        <v>2.1419047619047618</v>
      </c>
    </row>
    <row r="45" spans="1:18">
      <c r="A45" t="s">
        <v>147</v>
      </c>
      <c r="B45" t="s">
        <v>369</v>
      </c>
      <c r="C45" t="s">
        <v>251</v>
      </c>
      <c r="D45" s="10">
        <v>21</v>
      </c>
      <c r="E45" s="10">
        <v>18</v>
      </c>
      <c r="F45" s="10">
        <v>15</v>
      </c>
      <c r="G45" s="10">
        <f t="shared" si="21"/>
        <v>18</v>
      </c>
      <c r="H45">
        <f t="shared" si="22"/>
        <v>7.2659999999999991</v>
      </c>
      <c r="I45">
        <f t="shared" si="23"/>
        <v>6.2279999999999998</v>
      </c>
      <c r="J45">
        <f t="shared" si="24"/>
        <v>5.1899999999999995</v>
      </c>
      <c r="K45">
        <v>4.2</v>
      </c>
      <c r="L45">
        <v>4.2</v>
      </c>
      <c r="M45">
        <v>4.2</v>
      </c>
      <c r="O45" s="12">
        <f t="shared" si="20"/>
        <v>1.7299999999999998</v>
      </c>
      <c r="P45" s="12">
        <f t="shared" si="20"/>
        <v>1.4828571428571427</v>
      </c>
      <c r="Q45" s="12">
        <f t="shared" si="20"/>
        <v>1.2357142857142855</v>
      </c>
      <c r="R45" s="13">
        <f t="shared" si="25"/>
        <v>1.4828571428571429</v>
      </c>
    </row>
    <row r="46" spans="1:18">
      <c r="A46" t="s">
        <v>149</v>
      </c>
      <c r="B46" t="s">
        <v>369</v>
      </c>
      <c r="C46" t="s">
        <v>251</v>
      </c>
      <c r="D46" s="10">
        <v>23</v>
      </c>
      <c r="E46" s="10">
        <v>20</v>
      </c>
      <c r="F46" s="10">
        <v>16</v>
      </c>
      <c r="G46" s="10">
        <f t="shared" si="21"/>
        <v>19.666666666666668</v>
      </c>
      <c r="H46">
        <f t="shared" si="22"/>
        <v>7.9579999999999993</v>
      </c>
      <c r="I46">
        <f>E46*0.346</f>
        <v>6.92</v>
      </c>
      <c r="J46">
        <f t="shared" si="24"/>
        <v>5.5359999999999996</v>
      </c>
      <c r="K46">
        <v>4.2</v>
      </c>
      <c r="L46">
        <v>4.2</v>
      </c>
      <c r="M46">
        <v>4.2</v>
      </c>
      <c r="O46" s="12">
        <f t="shared" si="20"/>
        <v>1.8947619047619044</v>
      </c>
      <c r="P46" s="12">
        <f t="shared" si="20"/>
        <v>1.6476190476190475</v>
      </c>
      <c r="Q46" s="12">
        <f t="shared" si="20"/>
        <v>1.318095238095238</v>
      </c>
      <c r="R46" s="13">
        <f t="shared" si="25"/>
        <v>1.6201587301587299</v>
      </c>
    </row>
    <row r="47" spans="1:18">
      <c r="D47" s="79" t="s">
        <v>371</v>
      </c>
      <c r="E47" s="79"/>
      <c r="F47" s="79"/>
      <c r="G47" s="79"/>
      <c r="H47" s="79" t="s">
        <v>367</v>
      </c>
      <c r="I47" s="79"/>
      <c r="J47" s="79"/>
      <c r="K47" s="79" t="s">
        <v>374</v>
      </c>
      <c r="L47" s="79"/>
      <c r="M47" s="79"/>
      <c r="O47" s="81" t="s">
        <v>355</v>
      </c>
      <c r="P47" s="81"/>
      <c r="Q47" s="81"/>
      <c r="R47" s="81"/>
    </row>
    <row r="48" spans="1:18">
      <c r="A48" t="s">
        <v>135</v>
      </c>
      <c r="B48" t="s">
        <v>369</v>
      </c>
      <c r="C48" t="s">
        <v>277</v>
      </c>
      <c r="D48" s="10">
        <v>1680</v>
      </c>
      <c r="E48" s="10">
        <v>1512</v>
      </c>
      <c r="F48" s="10">
        <v>1344</v>
      </c>
      <c r="G48" s="10">
        <f>SUM(D48:F48)/3</f>
        <v>1512</v>
      </c>
      <c r="H48">
        <f>D48*0.346</f>
        <v>581.28</v>
      </c>
      <c r="I48">
        <f>E48*0.346</f>
        <v>523.15199999999993</v>
      </c>
      <c r="J48">
        <f>F48*0.346</f>
        <v>465.02399999999994</v>
      </c>
      <c r="K48">
        <v>2800</v>
      </c>
      <c r="L48">
        <v>2800</v>
      </c>
      <c r="M48">
        <v>2800</v>
      </c>
      <c r="O48" s="12">
        <f t="shared" ref="O48:Q55" si="26">H48/K48</f>
        <v>0.20759999999999998</v>
      </c>
      <c r="P48" s="12">
        <f t="shared" si="26"/>
        <v>0.18683999999999998</v>
      </c>
      <c r="Q48" s="12">
        <f t="shared" si="26"/>
        <v>0.16607999999999998</v>
      </c>
      <c r="R48" s="13">
        <f>SUM(O48:Q48)/3</f>
        <v>0.18683999999999998</v>
      </c>
    </row>
    <row r="49" spans="1:18">
      <c r="A49" t="s">
        <v>113</v>
      </c>
      <c r="B49" t="s">
        <v>369</v>
      </c>
      <c r="C49" t="s">
        <v>277</v>
      </c>
      <c r="D49" s="10">
        <v>1680</v>
      </c>
      <c r="E49" s="10">
        <v>1512</v>
      </c>
      <c r="F49" s="10">
        <v>1344</v>
      </c>
      <c r="G49" s="10">
        <f t="shared" ref="G49:G55" si="27">SUM(D49:F49)/3</f>
        <v>1512</v>
      </c>
      <c r="H49">
        <f t="shared" ref="H49:H55" si="28">D49*0.346</f>
        <v>581.28</v>
      </c>
      <c r="I49">
        <f t="shared" ref="I49:I54" si="29">E49*0.346</f>
        <v>523.15199999999993</v>
      </c>
      <c r="J49">
        <f t="shared" ref="J49:J55" si="30">F49*0.346</f>
        <v>465.02399999999994</v>
      </c>
      <c r="K49">
        <v>3300</v>
      </c>
      <c r="L49">
        <v>3300</v>
      </c>
      <c r="M49">
        <v>3300</v>
      </c>
      <c r="O49" s="12">
        <f t="shared" si="26"/>
        <v>0.17614545454545455</v>
      </c>
      <c r="P49" s="12">
        <f t="shared" si="26"/>
        <v>0.15853090909090908</v>
      </c>
      <c r="Q49" s="12">
        <f t="shared" si="26"/>
        <v>0.14091636363636362</v>
      </c>
      <c r="R49" s="13">
        <f t="shared" ref="R49:R55" si="31">SUM(O49:Q49)/3</f>
        <v>0.15853090909090908</v>
      </c>
    </row>
    <row r="50" spans="1:18">
      <c r="A50" t="s">
        <v>139</v>
      </c>
      <c r="B50" t="s">
        <v>369</v>
      </c>
      <c r="C50" t="s">
        <v>277</v>
      </c>
      <c r="D50" s="10">
        <v>1680</v>
      </c>
      <c r="E50" s="10">
        <v>1512</v>
      </c>
      <c r="F50" s="10">
        <v>1344</v>
      </c>
      <c r="G50" s="10">
        <f t="shared" si="27"/>
        <v>1512</v>
      </c>
      <c r="H50">
        <f t="shared" si="28"/>
        <v>581.28</v>
      </c>
      <c r="I50">
        <f t="shared" si="29"/>
        <v>523.15199999999993</v>
      </c>
      <c r="J50">
        <f t="shared" si="30"/>
        <v>465.02399999999994</v>
      </c>
      <c r="K50">
        <v>2800</v>
      </c>
      <c r="L50">
        <v>2800</v>
      </c>
      <c r="M50">
        <v>2800</v>
      </c>
      <c r="O50" s="12">
        <f t="shared" si="26"/>
        <v>0.20759999999999998</v>
      </c>
      <c r="P50" s="12">
        <f t="shared" si="26"/>
        <v>0.18683999999999998</v>
      </c>
      <c r="Q50" s="12">
        <f t="shared" si="26"/>
        <v>0.16607999999999998</v>
      </c>
      <c r="R50" s="13">
        <f t="shared" si="31"/>
        <v>0.18683999999999998</v>
      </c>
    </row>
    <row r="51" spans="1:18">
      <c r="A51" t="s">
        <v>141</v>
      </c>
      <c r="B51" t="s">
        <v>369</v>
      </c>
      <c r="C51" t="s">
        <v>277</v>
      </c>
      <c r="D51" s="10">
        <v>1680</v>
      </c>
      <c r="E51" s="10">
        <v>1512</v>
      </c>
      <c r="F51" s="10">
        <v>1344</v>
      </c>
      <c r="G51" s="10">
        <f t="shared" si="27"/>
        <v>1512</v>
      </c>
      <c r="H51">
        <f t="shared" si="28"/>
        <v>581.28</v>
      </c>
      <c r="I51">
        <f t="shared" si="29"/>
        <v>523.15199999999993</v>
      </c>
      <c r="J51">
        <f t="shared" si="30"/>
        <v>465.02399999999994</v>
      </c>
      <c r="K51">
        <v>2800</v>
      </c>
      <c r="L51">
        <v>2800</v>
      </c>
      <c r="M51">
        <v>2800</v>
      </c>
      <c r="O51" s="12">
        <f t="shared" si="26"/>
        <v>0.20759999999999998</v>
      </c>
      <c r="P51" s="12">
        <f t="shared" si="26"/>
        <v>0.18683999999999998</v>
      </c>
      <c r="Q51" s="12">
        <f t="shared" si="26"/>
        <v>0.16607999999999998</v>
      </c>
      <c r="R51" s="13">
        <f t="shared" si="31"/>
        <v>0.18683999999999998</v>
      </c>
    </row>
    <row r="52" spans="1:18">
      <c r="A52" t="s">
        <v>143</v>
      </c>
      <c r="B52" t="s">
        <v>369</v>
      </c>
      <c r="C52" t="s">
        <v>277</v>
      </c>
      <c r="D52" s="10">
        <v>1680</v>
      </c>
      <c r="E52" s="10">
        <v>1512</v>
      </c>
      <c r="F52" s="10">
        <v>1344</v>
      </c>
      <c r="G52" s="10">
        <f t="shared" si="27"/>
        <v>1512</v>
      </c>
      <c r="H52">
        <f t="shared" si="28"/>
        <v>581.28</v>
      </c>
      <c r="I52">
        <f t="shared" si="29"/>
        <v>523.15199999999993</v>
      </c>
      <c r="J52">
        <f t="shared" si="30"/>
        <v>465.02399999999994</v>
      </c>
      <c r="K52">
        <v>2800</v>
      </c>
      <c r="L52">
        <v>2800</v>
      </c>
      <c r="M52">
        <v>2800</v>
      </c>
      <c r="O52" s="12">
        <f t="shared" si="26"/>
        <v>0.20759999999999998</v>
      </c>
      <c r="P52" s="12">
        <f t="shared" si="26"/>
        <v>0.18683999999999998</v>
      </c>
      <c r="Q52" s="12">
        <f t="shared" si="26"/>
        <v>0.16607999999999998</v>
      </c>
      <c r="R52" s="13">
        <f t="shared" si="31"/>
        <v>0.18683999999999998</v>
      </c>
    </row>
    <row r="53" spans="1:18">
      <c r="A53" t="s">
        <v>145</v>
      </c>
      <c r="B53" t="s">
        <v>369</v>
      </c>
      <c r="C53" t="s">
        <v>277</v>
      </c>
      <c r="D53" s="10">
        <v>1680</v>
      </c>
      <c r="E53" s="10">
        <v>1512</v>
      </c>
      <c r="F53" s="10">
        <v>1344</v>
      </c>
      <c r="G53" s="10">
        <f t="shared" si="27"/>
        <v>1512</v>
      </c>
      <c r="H53">
        <f t="shared" si="28"/>
        <v>581.28</v>
      </c>
      <c r="I53">
        <f t="shared" si="29"/>
        <v>523.15199999999993</v>
      </c>
      <c r="J53">
        <f t="shared" si="30"/>
        <v>465.02399999999994</v>
      </c>
      <c r="K53">
        <v>2800</v>
      </c>
      <c r="L53">
        <v>2800</v>
      </c>
      <c r="M53">
        <v>2800</v>
      </c>
      <c r="O53" s="12">
        <f t="shared" si="26"/>
        <v>0.20759999999999998</v>
      </c>
      <c r="P53" s="12">
        <f t="shared" si="26"/>
        <v>0.18683999999999998</v>
      </c>
      <c r="Q53" s="12">
        <f t="shared" si="26"/>
        <v>0.16607999999999998</v>
      </c>
      <c r="R53" s="13">
        <f t="shared" si="31"/>
        <v>0.18683999999999998</v>
      </c>
    </row>
    <row r="54" spans="1:18">
      <c r="A54" t="s">
        <v>147</v>
      </c>
      <c r="B54" t="s">
        <v>369</v>
      </c>
      <c r="C54" t="s">
        <v>277</v>
      </c>
      <c r="D54" s="10">
        <v>1680</v>
      </c>
      <c r="E54" s="10">
        <v>1512</v>
      </c>
      <c r="F54" s="10">
        <v>1344</v>
      </c>
      <c r="G54" s="10">
        <f t="shared" si="27"/>
        <v>1512</v>
      </c>
      <c r="H54">
        <f t="shared" si="28"/>
        <v>581.28</v>
      </c>
      <c r="I54">
        <f t="shared" si="29"/>
        <v>523.15199999999993</v>
      </c>
      <c r="J54">
        <f t="shared" si="30"/>
        <v>465.02399999999994</v>
      </c>
      <c r="K54">
        <v>2800</v>
      </c>
      <c r="L54">
        <v>2800</v>
      </c>
      <c r="M54">
        <v>2800</v>
      </c>
      <c r="O54" s="12">
        <f t="shared" si="26"/>
        <v>0.20759999999999998</v>
      </c>
      <c r="P54" s="12">
        <f t="shared" si="26"/>
        <v>0.18683999999999998</v>
      </c>
      <c r="Q54" s="12">
        <f t="shared" si="26"/>
        <v>0.16607999999999998</v>
      </c>
      <c r="R54" s="13">
        <f t="shared" si="31"/>
        <v>0.18683999999999998</v>
      </c>
    </row>
    <row r="55" spans="1:18">
      <c r="A55" t="s">
        <v>149</v>
      </c>
      <c r="B55" t="s">
        <v>369</v>
      </c>
      <c r="C55" t="s">
        <v>277</v>
      </c>
      <c r="D55" s="10">
        <v>1680</v>
      </c>
      <c r="E55" s="10">
        <v>1512</v>
      </c>
      <c r="F55" s="10">
        <v>1344</v>
      </c>
      <c r="G55" s="10">
        <f t="shared" si="27"/>
        <v>1512</v>
      </c>
      <c r="H55">
        <f t="shared" si="28"/>
        <v>581.28</v>
      </c>
      <c r="I55">
        <f>E55*0.346</f>
        <v>523.15199999999993</v>
      </c>
      <c r="J55">
        <f t="shared" si="30"/>
        <v>465.02399999999994</v>
      </c>
      <c r="K55">
        <v>3500</v>
      </c>
      <c r="L55">
        <v>3500</v>
      </c>
      <c r="M55">
        <v>3500</v>
      </c>
      <c r="O55" s="12">
        <f t="shared" si="26"/>
        <v>0.16608000000000001</v>
      </c>
      <c r="P55" s="12">
        <f t="shared" si="26"/>
        <v>0.14947199999999999</v>
      </c>
      <c r="Q55" s="12">
        <f t="shared" si="26"/>
        <v>0.13286399999999998</v>
      </c>
      <c r="R55" s="13">
        <f t="shared" si="31"/>
        <v>0.14947199999999999</v>
      </c>
    </row>
    <row r="60" spans="1:18">
      <c r="H60">
        <f>28.75*0.346</f>
        <v>9.9474999999999998</v>
      </c>
    </row>
  </sheetData>
  <dataConsolidate/>
  <mergeCells count="24">
    <mergeCell ref="O47:R47"/>
    <mergeCell ref="O2:R2"/>
    <mergeCell ref="O11:R11"/>
    <mergeCell ref="O20:R20"/>
    <mergeCell ref="O29:R29"/>
    <mergeCell ref="O38:R38"/>
    <mergeCell ref="K2:M2"/>
    <mergeCell ref="K11:M11"/>
    <mergeCell ref="K20:M20"/>
    <mergeCell ref="D11:G11"/>
    <mergeCell ref="D20:G20"/>
    <mergeCell ref="H11:J11"/>
    <mergeCell ref="H20:J20"/>
    <mergeCell ref="D29:G29"/>
    <mergeCell ref="D38:G38"/>
    <mergeCell ref="D47:G47"/>
    <mergeCell ref="D2:G2"/>
    <mergeCell ref="H2:J2"/>
    <mergeCell ref="K29:M29"/>
    <mergeCell ref="K38:M38"/>
    <mergeCell ref="K47:M47"/>
    <mergeCell ref="H29:J29"/>
    <mergeCell ref="H38:J38"/>
    <mergeCell ref="H47:J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zoomScale="85" zoomScaleNormal="85" workbookViewId="0">
      <selection activeCell="A53" sqref="A53"/>
    </sheetView>
  </sheetViews>
  <sheetFormatPr baseColWidth="10" defaultColWidth="9.1640625" defaultRowHeight="15"/>
  <cols>
    <col min="1" max="1" width="36.6640625" bestFit="1" customWidth="1"/>
    <col min="2" max="2" width="37.1640625" customWidth="1"/>
    <col min="3" max="3" width="23.1640625" bestFit="1" customWidth="1"/>
    <col min="4" max="4" width="41" customWidth="1"/>
    <col min="5" max="6" width="11.6640625" bestFit="1" customWidth="1"/>
    <col min="7" max="7" width="6.5" customWidth="1"/>
    <col min="8" max="8" width="43" customWidth="1"/>
    <col min="9" max="9" width="3.5" customWidth="1"/>
    <col min="10" max="11" width="3.33203125" customWidth="1"/>
  </cols>
  <sheetData>
    <row r="1" spans="1:12">
      <c r="A1" s="71" t="s">
        <v>0</v>
      </c>
      <c r="E1" s="1" t="s">
        <v>1</v>
      </c>
      <c r="H1" s="3" t="s">
        <v>2</v>
      </c>
    </row>
    <row r="2" spans="1:12">
      <c r="A2" s="72" t="s">
        <v>3</v>
      </c>
      <c r="B2" s="1" t="s">
        <v>4</v>
      </c>
      <c r="E2" s="1" t="s">
        <v>1</v>
      </c>
      <c r="H2" s="67" t="s">
        <v>5</v>
      </c>
      <c r="L2" s="1"/>
    </row>
    <row r="3" spans="1:12">
      <c r="A3" s="72" t="s">
        <v>6</v>
      </c>
      <c r="B3" t="s">
        <v>7</v>
      </c>
      <c r="E3" s="1" t="s">
        <v>1</v>
      </c>
      <c r="H3" s="67" t="s">
        <v>8</v>
      </c>
      <c r="L3" s="1"/>
    </row>
    <row r="4" spans="1:12">
      <c r="A4" s="72" t="s">
        <v>9</v>
      </c>
      <c r="B4" t="s">
        <v>10</v>
      </c>
      <c r="E4" s="1" t="s">
        <v>1</v>
      </c>
      <c r="H4" t="s">
        <v>11</v>
      </c>
      <c r="L4" s="1"/>
    </row>
    <row r="5" spans="1:12">
      <c r="A5" s="72" t="s">
        <v>12</v>
      </c>
      <c r="B5" s="1" t="s">
        <v>13</v>
      </c>
      <c r="E5" s="1" t="s">
        <v>1</v>
      </c>
      <c r="H5" t="s">
        <v>14</v>
      </c>
      <c r="L5" s="1"/>
    </row>
    <row r="6" spans="1:12">
      <c r="A6" s="72" t="s">
        <v>15</v>
      </c>
      <c r="B6" s="1" t="s">
        <v>13</v>
      </c>
      <c r="E6" s="1" t="s">
        <v>1</v>
      </c>
      <c r="H6" t="s">
        <v>16</v>
      </c>
      <c r="L6" s="1"/>
    </row>
    <row r="7" spans="1:12">
      <c r="A7" s="72" t="s">
        <v>17</v>
      </c>
      <c r="B7" s="1" t="s">
        <v>13</v>
      </c>
      <c r="E7" s="1" t="s">
        <v>1</v>
      </c>
      <c r="H7" t="s">
        <v>18</v>
      </c>
      <c r="L7" s="1"/>
    </row>
    <row r="8" spans="1:12">
      <c r="A8" s="2" t="s">
        <v>19</v>
      </c>
      <c r="B8" t="s">
        <v>20</v>
      </c>
      <c r="E8" s="1" t="s">
        <v>1</v>
      </c>
      <c r="H8" t="s">
        <v>21</v>
      </c>
      <c r="L8" s="1"/>
    </row>
    <row r="9" spans="1:12">
      <c r="A9" s="2" t="s">
        <v>22</v>
      </c>
      <c r="B9" s="7" t="s">
        <v>7</v>
      </c>
      <c r="E9" s="1" t="s">
        <v>1</v>
      </c>
      <c r="H9" t="s">
        <v>23</v>
      </c>
      <c r="L9" s="1"/>
    </row>
    <row r="10" spans="1:12">
      <c r="A10" s="72" t="s">
        <v>24</v>
      </c>
      <c r="B10" t="s">
        <v>25</v>
      </c>
      <c r="E10" s="1" t="s">
        <v>1</v>
      </c>
      <c r="H10" t="s">
        <v>26</v>
      </c>
      <c r="L10" s="1"/>
    </row>
    <row r="11" spans="1:12">
      <c r="A11" s="2" t="s">
        <v>27</v>
      </c>
      <c r="B11" s="4">
        <v>45016</v>
      </c>
      <c r="E11" s="1" t="s">
        <v>1</v>
      </c>
      <c r="H11" t="s">
        <v>28</v>
      </c>
      <c r="L11" s="1"/>
    </row>
    <row r="12" spans="1:12">
      <c r="A12" s="72" t="s">
        <v>29</v>
      </c>
      <c r="B12" s="4">
        <v>45408</v>
      </c>
      <c r="E12" s="1" t="s">
        <v>1</v>
      </c>
      <c r="H12" t="s">
        <v>30</v>
      </c>
      <c r="L12" s="1"/>
    </row>
    <row r="13" spans="1:12">
      <c r="A13" s="72" t="s">
        <v>31</v>
      </c>
      <c r="B13" t="s">
        <v>32</v>
      </c>
      <c r="E13" s="1" t="s">
        <v>1</v>
      </c>
      <c r="H13" t="s">
        <v>33</v>
      </c>
      <c r="L13" s="1"/>
    </row>
    <row r="14" spans="1:12">
      <c r="A14" s="72" t="s">
        <v>34</v>
      </c>
      <c r="B14" s="6" t="s">
        <v>35</v>
      </c>
      <c r="E14" s="1" t="s">
        <v>1</v>
      </c>
      <c r="H14" t="s">
        <v>36</v>
      </c>
      <c r="L14" s="1"/>
    </row>
    <row r="15" spans="1:12">
      <c r="A15" s="72" t="s">
        <v>37</v>
      </c>
      <c r="B15" s="7" t="s">
        <v>38</v>
      </c>
      <c r="E15" s="1" t="s">
        <v>1</v>
      </c>
      <c r="H15" t="s">
        <v>39</v>
      </c>
      <c r="L15" s="1"/>
    </row>
    <row r="16" spans="1:12">
      <c r="A16" s="2" t="s">
        <v>40</v>
      </c>
      <c r="E16" s="1"/>
      <c r="L16" s="1"/>
    </row>
    <row r="17" spans="1:12">
      <c r="A17" s="2" t="s">
        <v>40</v>
      </c>
      <c r="E17" s="1"/>
      <c r="L17" s="1"/>
    </row>
    <row r="18" spans="1:12">
      <c r="A18" s="2" t="s">
        <v>40</v>
      </c>
      <c r="E18" s="1"/>
      <c r="L18" s="1"/>
    </row>
    <row r="19" spans="1:12">
      <c r="A19" s="2" t="s">
        <v>40</v>
      </c>
      <c r="E19" s="1"/>
      <c r="L19" s="1"/>
    </row>
    <row r="20" spans="1:12">
      <c r="A20" s="2" t="s">
        <v>40</v>
      </c>
      <c r="E20" s="1"/>
      <c r="L20" s="1"/>
    </row>
    <row r="21" spans="1:12">
      <c r="A21" s="72" t="s">
        <v>41</v>
      </c>
      <c r="B21" s="71" t="s">
        <v>13</v>
      </c>
      <c r="C21" s="73" t="s">
        <v>42</v>
      </c>
      <c r="D21" s="74">
        <v>178</v>
      </c>
      <c r="E21" s="1" t="s">
        <v>1</v>
      </c>
      <c r="H21" t="s">
        <v>43</v>
      </c>
      <c r="L21" s="1"/>
    </row>
    <row r="22" spans="1:12">
      <c r="A22" s="72" t="s">
        <v>44</v>
      </c>
      <c r="B22" s="72" t="s">
        <v>45</v>
      </c>
      <c r="C22" s="72" t="s">
        <v>46</v>
      </c>
      <c r="D22" s="72" t="s">
        <v>47</v>
      </c>
      <c r="E22" s="1" t="s">
        <v>1</v>
      </c>
      <c r="L22" s="1"/>
    </row>
    <row r="23" spans="1:12">
      <c r="A23" s="7" t="s">
        <v>48</v>
      </c>
      <c r="B23" t="s">
        <v>49</v>
      </c>
      <c r="C23" t="s">
        <v>50</v>
      </c>
      <c r="D23" t="s">
        <v>10</v>
      </c>
      <c r="E23" s="1" t="s">
        <v>1</v>
      </c>
      <c r="H23" t="s">
        <v>51</v>
      </c>
      <c r="L23" s="1"/>
    </row>
    <row r="24" spans="1:12">
      <c r="A24" s="7" t="s">
        <v>52</v>
      </c>
      <c r="B24" t="s">
        <v>53</v>
      </c>
      <c r="C24" t="s">
        <v>54</v>
      </c>
      <c r="D24" t="s">
        <v>55</v>
      </c>
      <c r="E24" s="1" t="s">
        <v>1</v>
      </c>
      <c r="H24" s="3" t="s">
        <v>56</v>
      </c>
      <c r="L24" s="1"/>
    </row>
    <row r="25" spans="1:12">
      <c r="A25" s="7" t="s">
        <v>57</v>
      </c>
      <c r="B25" t="s">
        <v>58</v>
      </c>
      <c r="C25" t="s">
        <v>59</v>
      </c>
      <c r="D25" t="s">
        <v>60</v>
      </c>
      <c r="E25" s="1" t="s">
        <v>1</v>
      </c>
      <c r="H25" s="3" t="s">
        <v>61</v>
      </c>
      <c r="L25" s="1"/>
    </row>
    <row r="26" spans="1:12">
      <c r="A26" s="7" t="s">
        <v>62</v>
      </c>
      <c r="B26" t="s">
        <v>63</v>
      </c>
      <c r="C26" t="s">
        <v>64</v>
      </c>
      <c r="D26" t="s">
        <v>65</v>
      </c>
      <c r="E26" s="1" t="s">
        <v>1</v>
      </c>
      <c r="H26" t="s">
        <v>66</v>
      </c>
      <c r="L26" s="1"/>
    </row>
    <row r="27" spans="1:12">
      <c r="C27" t="s">
        <v>67</v>
      </c>
      <c r="D27" t="s">
        <v>68</v>
      </c>
      <c r="E27" s="1" t="s">
        <v>1</v>
      </c>
      <c r="L27" s="1"/>
    </row>
    <row r="28" spans="1:12">
      <c r="C28" t="s">
        <v>69</v>
      </c>
      <c r="D28" t="s">
        <v>70</v>
      </c>
      <c r="E28" s="1" t="s">
        <v>1</v>
      </c>
      <c r="L28" s="1"/>
    </row>
    <row r="29" spans="1:12">
      <c r="E29" s="1" t="s">
        <v>1</v>
      </c>
    </row>
    <row r="30" spans="1:12">
      <c r="E30" s="1" t="s">
        <v>1</v>
      </c>
    </row>
    <row r="31" spans="1:12">
      <c r="E31" s="1" t="s">
        <v>1</v>
      </c>
    </row>
    <row r="32" spans="1:12">
      <c r="E32" s="1" t="s">
        <v>1</v>
      </c>
    </row>
    <row r="33" spans="5:5">
      <c r="E33" s="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CBC3-F824-EA45-8E13-C9B28194C627}">
  <dimension ref="A1:L34"/>
  <sheetViews>
    <sheetView topLeftCell="B1" zoomScale="200" workbookViewId="0">
      <selection activeCell="M1" sqref="M1"/>
    </sheetView>
  </sheetViews>
  <sheetFormatPr baseColWidth="10" defaultColWidth="11.5" defaultRowHeight="15"/>
  <cols>
    <col min="1" max="1" width="25.1640625" customWidth="1"/>
    <col min="2" max="2" width="0.33203125" customWidth="1"/>
    <col min="3" max="3" width="16.33203125" customWidth="1"/>
    <col min="4" max="4" width="7.33203125" customWidth="1"/>
    <col min="5" max="5" width="7" customWidth="1"/>
    <col min="6" max="6" width="6.83203125" customWidth="1"/>
    <col min="7" max="7" width="7.83203125" customWidth="1"/>
    <col min="8" max="8" width="7" customWidth="1"/>
    <col min="9" max="9" width="6.33203125" customWidth="1"/>
    <col min="10" max="10" width="7.33203125" customWidth="1"/>
  </cols>
  <sheetData>
    <row r="1" spans="1:12">
      <c r="B1" s="49"/>
      <c r="C1" s="49"/>
      <c r="D1" s="49"/>
      <c r="E1" s="49"/>
      <c r="F1" s="49"/>
      <c r="G1" s="49"/>
      <c r="H1" s="49"/>
      <c r="I1" s="49"/>
      <c r="J1" s="49" t="s">
        <v>375</v>
      </c>
      <c r="L1" t="s">
        <v>376</v>
      </c>
    </row>
    <row r="2" spans="1:12" ht="52">
      <c r="A2" s="52" t="s">
        <v>375</v>
      </c>
      <c r="B2" s="48"/>
      <c r="C2" s="45" t="s">
        <v>377</v>
      </c>
      <c r="D2" s="47" t="s">
        <v>378</v>
      </c>
      <c r="E2" s="47" t="s">
        <v>379</v>
      </c>
      <c r="F2" s="47" t="s">
        <v>380</v>
      </c>
      <c r="G2" s="46" t="s">
        <v>381</v>
      </c>
      <c r="H2" s="45" t="s">
        <v>382</v>
      </c>
      <c r="I2" s="44" t="s">
        <v>383</v>
      </c>
      <c r="J2" s="44" t="s">
        <v>384</v>
      </c>
      <c r="K2" s="50"/>
    </row>
    <row r="3" spans="1:12">
      <c r="A3" s="43" t="s">
        <v>385</v>
      </c>
      <c r="B3" s="18"/>
      <c r="C3" s="42" t="s">
        <v>386</v>
      </c>
      <c r="D3" s="40">
        <v>0.01</v>
      </c>
      <c r="E3" s="40">
        <v>0</v>
      </c>
      <c r="F3" s="39">
        <v>1E-3</v>
      </c>
      <c r="G3" s="41">
        <v>2E-3</v>
      </c>
      <c r="H3" s="40">
        <v>2E-3</v>
      </c>
      <c r="I3" s="39">
        <v>0</v>
      </c>
      <c r="J3" s="39">
        <v>0</v>
      </c>
    </row>
    <row r="4" spans="1:12">
      <c r="A4" s="19" t="s">
        <v>387</v>
      </c>
      <c r="B4" s="18"/>
      <c r="C4" s="17" t="s">
        <v>388</v>
      </c>
      <c r="D4" s="15">
        <v>3.0000000000000001E-3</v>
      </c>
      <c r="E4" s="15">
        <v>0</v>
      </c>
      <c r="F4" s="14">
        <v>1E-3</v>
      </c>
      <c r="G4" s="16">
        <v>7.0000000000000001E-3</v>
      </c>
      <c r="H4" s="15">
        <v>1.4E-2</v>
      </c>
      <c r="I4" s="14">
        <v>3.0000000000000001E-3</v>
      </c>
      <c r="J4" s="14">
        <v>0</v>
      </c>
    </row>
    <row r="5" spans="1:12">
      <c r="A5" s="19" t="s">
        <v>389</v>
      </c>
      <c r="B5" s="18"/>
      <c r="C5" s="17" t="s">
        <v>390</v>
      </c>
      <c r="D5" s="15">
        <v>2E-3</v>
      </c>
      <c r="E5" s="15">
        <v>0</v>
      </c>
      <c r="F5" s="14">
        <v>0</v>
      </c>
      <c r="G5" s="16">
        <v>1E-3</v>
      </c>
      <c r="H5" s="15">
        <v>7.0000000000000001E-3</v>
      </c>
      <c r="I5" s="14">
        <v>0</v>
      </c>
      <c r="J5" s="14">
        <v>0</v>
      </c>
    </row>
    <row r="6" spans="1:12">
      <c r="A6" s="19" t="s">
        <v>391</v>
      </c>
      <c r="B6" s="18"/>
      <c r="C6" s="17" t="s">
        <v>392</v>
      </c>
      <c r="D6" s="15">
        <v>0</v>
      </c>
      <c r="E6" s="15">
        <v>0</v>
      </c>
      <c r="F6" s="14">
        <v>0</v>
      </c>
      <c r="G6" s="16">
        <v>0</v>
      </c>
      <c r="H6" s="15">
        <v>0</v>
      </c>
      <c r="I6" s="14">
        <v>0</v>
      </c>
      <c r="J6" s="14">
        <v>0</v>
      </c>
    </row>
    <row r="7" spans="1:12">
      <c r="A7" s="19" t="s">
        <v>393</v>
      </c>
      <c r="B7" s="18"/>
      <c r="C7" s="17" t="s">
        <v>394</v>
      </c>
      <c r="D7" s="15">
        <v>1E-3</v>
      </c>
      <c r="E7" s="15">
        <v>0</v>
      </c>
      <c r="F7" s="14">
        <v>0</v>
      </c>
      <c r="G7" s="16">
        <v>8.0000000000000002E-3</v>
      </c>
      <c r="H7" s="15">
        <v>1E-3</v>
      </c>
      <c r="I7" s="14">
        <v>2E-3</v>
      </c>
      <c r="J7" s="14">
        <v>2.5999999999999999E-2</v>
      </c>
    </row>
    <row r="8" spans="1:12">
      <c r="A8" s="19" t="s">
        <v>395</v>
      </c>
      <c r="B8" s="18"/>
      <c r="C8" s="17" t="s">
        <v>396</v>
      </c>
      <c r="D8" s="15">
        <v>7.0000000000000001E-3</v>
      </c>
      <c r="E8" s="15">
        <v>2E-3</v>
      </c>
      <c r="F8" s="14">
        <v>6.0000000000000001E-3</v>
      </c>
      <c r="G8" s="16">
        <v>0</v>
      </c>
      <c r="H8" s="15">
        <v>0</v>
      </c>
      <c r="I8" s="14">
        <v>0</v>
      </c>
      <c r="J8" s="14">
        <v>0</v>
      </c>
    </row>
    <row r="9" spans="1:12">
      <c r="A9" s="19" t="s">
        <v>397</v>
      </c>
      <c r="B9" s="18"/>
      <c r="C9" s="17" t="s">
        <v>398</v>
      </c>
      <c r="D9" s="15">
        <v>1E-3</v>
      </c>
      <c r="E9" s="15">
        <v>0</v>
      </c>
      <c r="F9" s="14">
        <v>0</v>
      </c>
      <c r="G9" s="16">
        <v>4.0000000000000001E-3</v>
      </c>
      <c r="H9" s="15">
        <v>0</v>
      </c>
      <c r="I9" s="14">
        <v>0</v>
      </c>
      <c r="J9" s="14">
        <v>0</v>
      </c>
    </row>
    <row r="10" spans="1:12">
      <c r="A10" s="19" t="s">
        <v>399</v>
      </c>
      <c r="B10" s="18"/>
      <c r="C10" s="17" t="s">
        <v>400</v>
      </c>
      <c r="D10" s="15">
        <v>2E-3</v>
      </c>
      <c r="E10" s="15">
        <v>1E-3</v>
      </c>
      <c r="F10" s="14">
        <v>0</v>
      </c>
      <c r="G10" s="16">
        <v>3.0000000000000001E-3</v>
      </c>
      <c r="H10" s="15">
        <v>0</v>
      </c>
      <c r="I10" s="14">
        <v>0</v>
      </c>
      <c r="J10" s="14">
        <v>0</v>
      </c>
    </row>
    <row r="11" spans="1:12">
      <c r="A11" s="19" t="s">
        <v>401</v>
      </c>
      <c r="B11" s="18"/>
      <c r="C11" s="17" t="s">
        <v>402</v>
      </c>
      <c r="D11" s="15">
        <v>8.9999999999999993E-3</v>
      </c>
      <c r="E11" s="15">
        <v>0</v>
      </c>
      <c r="F11" s="14">
        <v>2E-3</v>
      </c>
      <c r="G11" s="16">
        <v>3.0000000000000001E-3</v>
      </c>
      <c r="H11" s="15">
        <v>0</v>
      </c>
      <c r="I11" s="14">
        <v>0</v>
      </c>
      <c r="J11" s="14">
        <v>0</v>
      </c>
    </row>
    <row r="12" spans="1:12">
      <c r="A12" s="19" t="s">
        <v>403</v>
      </c>
      <c r="B12" s="18"/>
      <c r="C12" s="17" t="s">
        <v>404</v>
      </c>
      <c r="D12" s="15">
        <v>1.4E-2</v>
      </c>
      <c r="E12" s="15">
        <v>0</v>
      </c>
      <c r="F12" s="14">
        <v>0</v>
      </c>
      <c r="G12" s="16">
        <v>4.0000000000000001E-3</v>
      </c>
      <c r="H12" s="15">
        <v>7.0000000000000001E-3</v>
      </c>
      <c r="I12" s="14">
        <v>0</v>
      </c>
      <c r="J12" s="14">
        <v>0</v>
      </c>
    </row>
    <row r="13" spans="1:12">
      <c r="A13" s="19" t="s">
        <v>405</v>
      </c>
      <c r="B13" s="18"/>
      <c r="C13" s="17" t="s">
        <v>406</v>
      </c>
      <c r="D13" s="15">
        <v>0</v>
      </c>
      <c r="E13" s="15">
        <v>0</v>
      </c>
      <c r="F13" s="14">
        <v>0</v>
      </c>
      <c r="G13" s="16">
        <v>1E-3</v>
      </c>
      <c r="H13" s="15">
        <v>0</v>
      </c>
      <c r="I13" s="14">
        <v>0</v>
      </c>
      <c r="J13" s="14">
        <v>0.19700000000000001</v>
      </c>
    </row>
    <row r="14" spans="1:12">
      <c r="A14" s="19" t="s">
        <v>407</v>
      </c>
      <c r="B14" s="18"/>
      <c r="C14" s="17" t="s">
        <v>408</v>
      </c>
      <c r="D14" s="15">
        <v>2E-3</v>
      </c>
      <c r="E14" s="15">
        <v>0</v>
      </c>
      <c r="F14" s="14">
        <v>0</v>
      </c>
      <c r="G14" s="16">
        <v>2E-3</v>
      </c>
      <c r="H14" s="15">
        <v>2E-3</v>
      </c>
      <c r="I14" s="14">
        <v>0</v>
      </c>
      <c r="J14" s="14">
        <v>0</v>
      </c>
    </row>
    <row r="15" spans="1:12">
      <c r="A15" s="19" t="s">
        <v>409</v>
      </c>
      <c r="B15" s="18"/>
      <c r="C15" s="17" t="s">
        <v>410</v>
      </c>
      <c r="D15" s="15">
        <v>5.0000000000000001E-3</v>
      </c>
      <c r="E15" s="15">
        <v>0</v>
      </c>
      <c r="F15" s="14">
        <v>8.0000000000000002E-3</v>
      </c>
      <c r="G15" s="16">
        <v>0</v>
      </c>
      <c r="H15" s="15">
        <v>0</v>
      </c>
      <c r="I15" s="14">
        <v>0</v>
      </c>
      <c r="J15" s="14">
        <v>0</v>
      </c>
    </row>
    <row r="16" spans="1:12">
      <c r="A16" s="19" t="s">
        <v>411</v>
      </c>
      <c r="B16" s="18"/>
      <c r="C16" s="17" t="s">
        <v>412</v>
      </c>
      <c r="D16" s="15">
        <v>2E-3</v>
      </c>
      <c r="E16" s="15">
        <v>0</v>
      </c>
      <c r="F16" s="14">
        <v>4.0000000000000001E-3</v>
      </c>
      <c r="G16" s="16">
        <v>2.3E-2</v>
      </c>
      <c r="H16" s="15">
        <v>1.4999999999999999E-2</v>
      </c>
      <c r="I16" s="14">
        <v>0</v>
      </c>
      <c r="J16" s="14">
        <v>0</v>
      </c>
    </row>
    <row r="17" spans="1:10">
      <c r="A17" s="19" t="s">
        <v>413</v>
      </c>
      <c r="B17" s="18"/>
      <c r="C17" s="17" t="s">
        <v>414</v>
      </c>
      <c r="D17" s="15">
        <v>1E-3</v>
      </c>
      <c r="E17" s="15">
        <v>0</v>
      </c>
      <c r="F17" s="14">
        <v>0</v>
      </c>
      <c r="G17" s="16">
        <v>0</v>
      </c>
      <c r="H17" s="17" t="s">
        <v>415</v>
      </c>
      <c r="I17" s="14">
        <v>1E-3</v>
      </c>
      <c r="J17" s="14">
        <v>4.0000000000000001E-3</v>
      </c>
    </row>
    <row r="18" spans="1:10">
      <c r="A18" s="19" t="s">
        <v>416</v>
      </c>
      <c r="B18" s="18"/>
      <c r="C18" s="17" t="s">
        <v>417</v>
      </c>
      <c r="D18" s="15">
        <v>3.0000000000000001E-3</v>
      </c>
      <c r="E18" s="15">
        <v>0</v>
      </c>
      <c r="F18" s="14">
        <v>0</v>
      </c>
      <c r="G18" s="16">
        <v>0</v>
      </c>
      <c r="H18" s="15">
        <v>1E-3</v>
      </c>
      <c r="I18" s="14">
        <v>1E-3</v>
      </c>
      <c r="J18" s="14">
        <v>1.4E-2</v>
      </c>
    </row>
    <row r="19" spans="1:10">
      <c r="A19" s="19" t="s">
        <v>418</v>
      </c>
      <c r="B19" s="18"/>
      <c r="C19" s="17" t="s">
        <v>402</v>
      </c>
      <c r="D19" s="15">
        <v>0.01</v>
      </c>
      <c r="E19" s="15">
        <v>0</v>
      </c>
      <c r="F19" s="14">
        <v>0</v>
      </c>
      <c r="G19" s="16">
        <v>1E-3</v>
      </c>
      <c r="H19" s="15">
        <v>2E-3</v>
      </c>
      <c r="I19" s="14">
        <v>0</v>
      </c>
      <c r="J19" s="14">
        <v>0</v>
      </c>
    </row>
    <row r="20" spans="1:10">
      <c r="A20" s="19" t="s">
        <v>419</v>
      </c>
      <c r="B20" s="18"/>
      <c r="C20" s="17" t="s">
        <v>420</v>
      </c>
      <c r="D20" s="15">
        <v>8.9999999999999993E-3</v>
      </c>
      <c r="E20" s="15">
        <v>0</v>
      </c>
      <c r="F20" s="14">
        <v>1E-3</v>
      </c>
      <c r="G20" s="16">
        <v>4.0000000000000001E-3</v>
      </c>
      <c r="H20" s="15">
        <v>0.02</v>
      </c>
      <c r="I20" s="14">
        <v>0</v>
      </c>
      <c r="J20" s="14">
        <v>0</v>
      </c>
    </row>
    <row r="21" spans="1:10">
      <c r="A21" s="19" t="s">
        <v>421</v>
      </c>
      <c r="B21" s="18"/>
      <c r="C21" s="17" t="s">
        <v>422</v>
      </c>
      <c r="D21" s="15">
        <v>1E-3</v>
      </c>
      <c r="E21" s="15">
        <v>0</v>
      </c>
      <c r="F21" s="14">
        <v>0</v>
      </c>
      <c r="G21" s="16">
        <v>1E-3</v>
      </c>
      <c r="H21" s="15">
        <v>4.3999999999999997E-2</v>
      </c>
      <c r="I21" s="14">
        <v>0</v>
      </c>
      <c r="J21" s="14">
        <v>2E-3</v>
      </c>
    </row>
    <row r="22" spans="1:10">
      <c r="A22" s="19" t="s">
        <v>423</v>
      </c>
      <c r="B22" s="18"/>
      <c r="C22" s="17" t="s">
        <v>424</v>
      </c>
      <c r="D22" s="15">
        <v>1E-3</v>
      </c>
      <c r="E22" s="15">
        <v>0</v>
      </c>
      <c r="F22" s="14">
        <v>0</v>
      </c>
      <c r="G22" s="16">
        <v>0</v>
      </c>
      <c r="H22" s="15">
        <v>0</v>
      </c>
      <c r="I22" s="14">
        <v>0</v>
      </c>
      <c r="J22" s="14">
        <v>0</v>
      </c>
    </row>
    <row r="23" spans="1:10">
      <c r="A23" s="19" t="s">
        <v>425</v>
      </c>
      <c r="B23" s="18"/>
      <c r="C23" s="17" t="s">
        <v>426</v>
      </c>
      <c r="D23" s="15">
        <v>0</v>
      </c>
      <c r="E23" s="15">
        <v>0</v>
      </c>
      <c r="F23" s="14">
        <v>0</v>
      </c>
      <c r="G23" s="16">
        <v>0</v>
      </c>
      <c r="H23" s="15">
        <v>0</v>
      </c>
      <c r="I23" s="14">
        <v>0</v>
      </c>
      <c r="J23" s="14">
        <v>0.04</v>
      </c>
    </row>
    <row r="24" spans="1:10">
      <c r="A24" s="19" t="s">
        <v>427</v>
      </c>
      <c r="B24" s="18"/>
      <c r="C24" s="17" t="s">
        <v>428</v>
      </c>
      <c r="D24" s="15">
        <v>1E-3</v>
      </c>
      <c r="E24" s="15">
        <v>0</v>
      </c>
      <c r="F24" s="14">
        <v>0</v>
      </c>
      <c r="G24" s="16">
        <v>2E-3</v>
      </c>
      <c r="H24" s="15">
        <v>1.0999999999999999E-2</v>
      </c>
      <c r="I24" s="14">
        <v>0</v>
      </c>
      <c r="J24" s="14">
        <v>1.7999999999999999E-2</v>
      </c>
    </row>
    <row r="25" spans="1:10">
      <c r="A25" s="19" t="s">
        <v>429</v>
      </c>
      <c r="B25" s="18"/>
      <c r="C25" s="17" t="s">
        <v>430</v>
      </c>
      <c r="D25" s="15">
        <v>3.0000000000000001E-3</v>
      </c>
      <c r="E25" s="15">
        <v>0</v>
      </c>
      <c r="F25" s="14">
        <v>0</v>
      </c>
      <c r="G25" s="16">
        <v>2E-3</v>
      </c>
      <c r="H25" s="15">
        <v>3.0000000000000001E-3</v>
      </c>
      <c r="I25" s="14">
        <v>0</v>
      </c>
      <c r="J25" s="14">
        <v>0</v>
      </c>
    </row>
    <row r="26" spans="1:10">
      <c r="A26" s="19" t="s">
        <v>431</v>
      </c>
      <c r="B26" s="18"/>
      <c r="C26" s="17" t="s">
        <v>432</v>
      </c>
      <c r="D26" s="15">
        <v>3.0000000000000001E-3</v>
      </c>
      <c r="E26" s="15">
        <v>0</v>
      </c>
      <c r="F26" s="14">
        <v>2E-3</v>
      </c>
      <c r="G26" s="16">
        <v>2E-3</v>
      </c>
      <c r="H26" s="15">
        <v>3.0000000000000001E-3</v>
      </c>
      <c r="I26" s="14">
        <v>0</v>
      </c>
      <c r="J26" s="14">
        <v>0</v>
      </c>
    </row>
    <row r="27" spans="1:10">
      <c r="A27" s="19" t="s">
        <v>433</v>
      </c>
      <c r="B27" s="18"/>
      <c r="C27" s="38" t="s">
        <v>434</v>
      </c>
      <c r="D27" s="36">
        <v>1.4E-2</v>
      </c>
      <c r="E27" s="36">
        <v>0</v>
      </c>
      <c r="F27" s="35">
        <v>0</v>
      </c>
      <c r="G27" s="37">
        <v>1.4999999999999999E-2</v>
      </c>
      <c r="H27" s="36">
        <v>0</v>
      </c>
      <c r="I27" s="35">
        <v>6.0000000000000001E-3</v>
      </c>
      <c r="J27" s="35">
        <v>0</v>
      </c>
    </row>
    <row r="28" spans="1:10">
      <c r="A28" s="34" t="s">
        <v>435</v>
      </c>
      <c r="B28" s="33"/>
      <c r="C28" s="32" t="s">
        <v>436</v>
      </c>
      <c r="D28" s="29">
        <v>6.0000000000000001E-3</v>
      </c>
      <c r="E28" s="31">
        <v>1E-4</v>
      </c>
      <c r="F28" s="27">
        <v>2E-3</v>
      </c>
      <c r="G28" s="30">
        <v>6.0000000000000001E-3</v>
      </c>
      <c r="H28" s="29">
        <v>8.0000000000000002E-3</v>
      </c>
      <c r="I28" s="28">
        <v>2.9999999999999997E-4</v>
      </c>
      <c r="J28" s="27">
        <v>8.0000000000000002E-3</v>
      </c>
    </row>
    <row r="29" spans="1:10">
      <c r="A29" s="26" t="s">
        <v>437</v>
      </c>
      <c r="B29" s="18"/>
      <c r="C29" s="25" t="s">
        <v>438</v>
      </c>
      <c r="D29" s="23">
        <v>1.2999999999999999E-2</v>
      </c>
      <c r="E29" s="23">
        <v>0</v>
      </c>
      <c r="F29" s="22">
        <v>0</v>
      </c>
      <c r="G29" s="24">
        <v>0.01</v>
      </c>
      <c r="H29" s="23">
        <v>0</v>
      </c>
      <c r="I29" s="22">
        <v>0</v>
      </c>
      <c r="J29" s="22">
        <v>0</v>
      </c>
    </row>
    <row r="30" spans="1:10">
      <c r="A30" s="21" t="s">
        <v>439</v>
      </c>
      <c r="B30" s="18"/>
      <c r="C30" s="17" t="s">
        <v>440</v>
      </c>
      <c r="D30" s="15">
        <v>2.8000000000000001E-2</v>
      </c>
      <c r="E30" s="15">
        <v>1E-3</v>
      </c>
      <c r="F30" s="14">
        <v>0</v>
      </c>
      <c r="G30" s="16">
        <v>1E-3</v>
      </c>
      <c r="H30" s="15">
        <v>0</v>
      </c>
      <c r="I30" s="14">
        <v>0</v>
      </c>
      <c r="J30" s="14">
        <v>0</v>
      </c>
    </row>
    <row r="31" spans="1:10">
      <c r="A31" s="20" t="s">
        <v>441</v>
      </c>
      <c r="B31" s="18"/>
      <c r="C31" s="17" t="s">
        <v>442</v>
      </c>
      <c r="D31" s="15">
        <v>8.0000000000000002E-3</v>
      </c>
      <c r="E31" s="15">
        <v>0</v>
      </c>
      <c r="F31" s="14">
        <v>1E-3</v>
      </c>
      <c r="G31" s="16">
        <v>6.0000000000000001E-3</v>
      </c>
      <c r="H31" s="15">
        <v>0</v>
      </c>
      <c r="I31" s="14">
        <v>0</v>
      </c>
      <c r="J31" s="14">
        <v>1E-3</v>
      </c>
    </row>
    <row r="32" spans="1:10">
      <c r="A32" s="19" t="s">
        <v>443</v>
      </c>
      <c r="B32" s="18"/>
      <c r="C32" s="17" t="s">
        <v>444</v>
      </c>
      <c r="D32" s="15">
        <v>6.0000000000000001E-3</v>
      </c>
      <c r="E32" s="15">
        <v>0</v>
      </c>
      <c r="F32" s="14">
        <v>2E-3</v>
      </c>
      <c r="G32" s="16">
        <v>0</v>
      </c>
      <c r="H32" s="15">
        <v>0</v>
      </c>
      <c r="I32" s="14">
        <v>1E-3</v>
      </c>
      <c r="J32" s="14">
        <v>0</v>
      </c>
    </row>
    <row r="33" spans="1:10">
      <c r="A33" s="49"/>
      <c r="B33" s="49"/>
      <c r="C33" s="49"/>
      <c r="D33" s="49"/>
      <c r="E33" s="49"/>
      <c r="F33" s="49"/>
      <c r="G33" s="49"/>
      <c r="H33" s="49"/>
      <c r="I33" s="49"/>
      <c r="J33" s="49"/>
    </row>
    <row r="34" spans="1:10">
      <c r="A34" s="49"/>
      <c r="B34" s="49"/>
      <c r="C34" s="49"/>
      <c r="D34" s="49"/>
      <c r="E34" s="49"/>
      <c r="F34" s="49"/>
      <c r="G34" s="49"/>
      <c r="H34" s="49"/>
      <c r="I34" s="49"/>
      <c r="J34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BEDF-2CD1-3D4A-B533-A4431AAB9FCF}">
  <dimension ref="A1:J33"/>
  <sheetViews>
    <sheetView workbookViewId="0">
      <selection activeCell="A2" sqref="A2"/>
    </sheetView>
  </sheetViews>
  <sheetFormatPr baseColWidth="10" defaultColWidth="11.5" defaultRowHeight="15"/>
  <cols>
    <col min="1" max="1" width="33.1640625" customWidth="1"/>
    <col min="2" max="2" width="0.33203125" customWidth="1"/>
    <col min="3" max="3" width="16.33203125" customWidth="1"/>
    <col min="4" max="5" width="7.1640625" customWidth="1"/>
    <col min="6" max="6" width="6.83203125" customWidth="1"/>
    <col min="7" max="7" width="7.83203125" customWidth="1"/>
    <col min="8" max="8" width="7.1640625" customWidth="1"/>
    <col min="9" max="9" width="6.1640625" customWidth="1"/>
    <col min="10" max="10" width="7.33203125" customWidth="1"/>
  </cols>
  <sheetData>
    <row r="1" spans="1:10">
      <c r="B1" s="49"/>
      <c r="C1" s="49"/>
      <c r="D1" s="49"/>
      <c r="E1" s="49"/>
      <c r="F1" s="49">
        <v>2021</v>
      </c>
      <c r="H1" t="s">
        <v>376</v>
      </c>
    </row>
    <row r="2" spans="1:10" ht="52">
      <c r="A2" s="53" t="s">
        <v>445</v>
      </c>
      <c r="B2" s="48"/>
      <c r="C2" s="45" t="s">
        <v>377</v>
      </c>
      <c r="D2" s="47" t="s">
        <v>378</v>
      </c>
      <c r="E2" s="47" t="s">
        <v>379</v>
      </c>
      <c r="F2" s="47" t="s">
        <v>380</v>
      </c>
      <c r="G2" s="46" t="s">
        <v>381</v>
      </c>
      <c r="H2" s="45" t="s">
        <v>382</v>
      </c>
      <c r="I2" s="44" t="s">
        <v>383</v>
      </c>
      <c r="J2" s="44" t="s">
        <v>384</v>
      </c>
    </row>
    <row r="3" spans="1:10">
      <c r="A3" s="43" t="s">
        <v>385</v>
      </c>
      <c r="B3" s="18"/>
      <c r="C3" s="42" t="s">
        <v>446</v>
      </c>
      <c r="D3" s="40">
        <v>0</v>
      </c>
      <c r="E3" s="40">
        <v>0</v>
      </c>
      <c r="F3" s="39">
        <v>0</v>
      </c>
      <c r="G3" s="41">
        <v>3.0000000000000001E-3</v>
      </c>
      <c r="H3" s="40">
        <v>0</v>
      </c>
      <c r="I3" s="39">
        <v>0</v>
      </c>
      <c r="J3" s="39">
        <v>0</v>
      </c>
    </row>
    <row r="4" spans="1:10">
      <c r="A4" s="19" t="s">
        <v>387</v>
      </c>
      <c r="B4" s="18"/>
      <c r="C4" s="17" t="s">
        <v>447</v>
      </c>
      <c r="D4" s="15">
        <v>0</v>
      </c>
      <c r="E4" s="15">
        <v>0</v>
      </c>
      <c r="F4" s="14">
        <v>0</v>
      </c>
      <c r="G4" s="16">
        <v>8.0000000000000002E-3</v>
      </c>
      <c r="H4" s="15">
        <v>1E-3</v>
      </c>
      <c r="I4" s="14">
        <v>2.7E-2</v>
      </c>
      <c r="J4" s="14">
        <v>0</v>
      </c>
    </row>
    <row r="5" spans="1:10">
      <c r="A5" s="19" t="s">
        <v>389</v>
      </c>
      <c r="B5" s="18"/>
      <c r="C5" s="17" t="s">
        <v>448</v>
      </c>
      <c r="D5" s="15">
        <v>0</v>
      </c>
      <c r="E5" s="15">
        <v>0</v>
      </c>
      <c r="F5" s="14">
        <v>0</v>
      </c>
      <c r="G5" s="16">
        <v>0</v>
      </c>
      <c r="H5" s="15">
        <v>0</v>
      </c>
      <c r="I5" s="14">
        <v>0</v>
      </c>
      <c r="J5" s="14">
        <v>0</v>
      </c>
    </row>
    <row r="6" spans="1:10">
      <c r="A6" s="19" t="s">
        <v>391</v>
      </c>
      <c r="B6" s="18"/>
      <c r="C6" s="17" t="s">
        <v>449</v>
      </c>
      <c r="D6" s="15">
        <v>0</v>
      </c>
      <c r="E6" s="15">
        <v>0</v>
      </c>
      <c r="F6" s="14">
        <v>0</v>
      </c>
      <c r="G6" s="16">
        <v>0</v>
      </c>
      <c r="H6" s="15">
        <v>0</v>
      </c>
      <c r="I6" s="14">
        <v>0</v>
      </c>
      <c r="J6" s="14">
        <v>0</v>
      </c>
    </row>
    <row r="7" spans="1:10">
      <c r="A7" s="19" t="s">
        <v>393</v>
      </c>
      <c r="B7" s="18"/>
      <c r="C7" s="17" t="s">
        <v>450</v>
      </c>
      <c r="D7" s="15">
        <v>2.7E-2</v>
      </c>
      <c r="E7" s="15">
        <v>0</v>
      </c>
      <c r="F7" s="14">
        <v>0</v>
      </c>
      <c r="G7" s="16">
        <v>3.0000000000000001E-3</v>
      </c>
      <c r="H7" s="15">
        <v>0</v>
      </c>
      <c r="I7" s="14">
        <v>0</v>
      </c>
      <c r="J7" s="14">
        <v>2.3E-2</v>
      </c>
    </row>
    <row r="8" spans="1:10">
      <c r="A8" s="19" t="s">
        <v>395</v>
      </c>
      <c r="B8" s="18"/>
      <c r="C8" s="17" t="s">
        <v>451</v>
      </c>
      <c r="D8" s="15">
        <v>1E-3</v>
      </c>
      <c r="E8" s="15">
        <v>0</v>
      </c>
      <c r="F8" s="14">
        <v>0</v>
      </c>
      <c r="G8" s="16">
        <v>8.0000000000000002E-3</v>
      </c>
      <c r="H8" s="15">
        <v>0</v>
      </c>
      <c r="I8" s="14">
        <v>0</v>
      </c>
      <c r="J8" s="14">
        <v>0</v>
      </c>
    </row>
    <row r="9" spans="1:10">
      <c r="A9" s="19" t="s">
        <v>397</v>
      </c>
      <c r="B9" s="18"/>
      <c r="C9" s="17" t="s">
        <v>452</v>
      </c>
      <c r="D9" s="15">
        <v>0</v>
      </c>
      <c r="E9" s="15">
        <v>0</v>
      </c>
      <c r="F9" s="14">
        <v>0</v>
      </c>
      <c r="G9" s="16">
        <v>2E-3</v>
      </c>
      <c r="H9" s="15">
        <v>0</v>
      </c>
      <c r="I9" s="14">
        <v>0</v>
      </c>
      <c r="J9" s="14">
        <v>0</v>
      </c>
    </row>
    <row r="10" spans="1:10">
      <c r="A10" s="19" t="s">
        <v>399</v>
      </c>
      <c r="B10" s="18"/>
      <c r="C10" s="17" t="s">
        <v>453</v>
      </c>
      <c r="D10" s="15">
        <v>0</v>
      </c>
      <c r="E10" s="15">
        <v>0</v>
      </c>
      <c r="F10" s="14">
        <v>0</v>
      </c>
      <c r="G10" s="16">
        <v>4.0000000000000001E-3</v>
      </c>
      <c r="H10" s="15">
        <v>0</v>
      </c>
      <c r="I10" s="14">
        <v>2E-3</v>
      </c>
      <c r="J10" s="14">
        <v>0</v>
      </c>
    </row>
    <row r="11" spans="1:10">
      <c r="A11" s="19" t="s">
        <v>401</v>
      </c>
      <c r="B11" s="18"/>
      <c r="C11" s="17" t="s">
        <v>454</v>
      </c>
      <c r="D11" s="15">
        <v>0</v>
      </c>
      <c r="E11" s="15">
        <v>0</v>
      </c>
      <c r="F11" s="14">
        <v>0</v>
      </c>
      <c r="G11" s="16">
        <v>1.4E-2</v>
      </c>
      <c r="H11" s="15">
        <v>0</v>
      </c>
      <c r="I11" s="14">
        <v>0</v>
      </c>
      <c r="J11" s="14">
        <v>0</v>
      </c>
    </row>
    <row r="12" spans="1:10">
      <c r="A12" s="19" t="s">
        <v>403</v>
      </c>
      <c r="B12" s="18"/>
      <c r="C12" s="17" t="s">
        <v>455</v>
      </c>
      <c r="D12" s="15">
        <v>1E-3</v>
      </c>
      <c r="E12" s="15">
        <v>0</v>
      </c>
      <c r="F12" s="14">
        <v>0</v>
      </c>
      <c r="G12" s="16">
        <v>2E-3</v>
      </c>
      <c r="H12" s="15">
        <v>0</v>
      </c>
      <c r="I12" s="14">
        <v>1E-3</v>
      </c>
      <c r="J12" s="14">
        <v>0</v>
      </c>
    </row>
    <row r="13" spans="1:10">
      <c r="A13" s="19" t="s">
        <v>405</v>
      </c>
      <c r="B13" s="18"/>
      <c r="C13" s="17" t="s">
        <v>456</v>
      </c>
      <c r="D13" s="15">
        <v>0</v>
      </c>
      <c r="E13" s="15">
        <v>0</v>
      </c>
      <c r="F13" s="14">
        <v>0</v>
      </c>
      <c r="G13" s="16">
        <v>0</v>
      </c>
      <c r="H13" s="15">
        <v>0</v>
      </c>
      <c r="I13" s="14">
        <v>0</v>
      </c>
      <c r="J13" s="14">
        <v>0.436</v>
      </c>
    </row>
    <row r="14" spans="1:10">
      <c r="A14" s="19" t="s">
        <v>407</v>
      </c>
      <c r="B14" s="18"/>
      <c r="C14" s="17" t="s">
        <v>457</v>
      </c>
      <c r="D14" s="15">
        <v>0</v>
      </c>
      <c r="E14" s="15">
        <v>0</v>
      </c>
      <c r="F14" s="14">
        <v>0</v>
      </c>
      <c r="G14" s="16">
        <v>1E-3</v>
      </c>
      <c r="H14" s="15">
        <v>0</v>
      </c>
      <c r="I14" s="14">
        <v>0</v>
      </c>
      <c r="J14" s="14">
        <v>0</v>
      </c>
    </row>
    <row r="15" spans="1:10">
      <c r="A15" s="19" t="s">
        <v>409</v>
      </c>
      <c r="B15" s="18"/>
      <c r="C15" s="17" t="s">
        <v>458</v>
      </c>
      <c r="D15" s="15">
        <v>0</v>
      </c>
      <c r="E15" s="15">
        <v>0</v>
      </c>
      <c r="F15" s="14">
        <v>0</v>
      </c>
      <c r="G15" s="16">
        <v>1E-3</v>
      </c>
      <c r="H15" s="15">
        <v>0</v>
      </c>
      <c r="I15" s="14">
        <v>0</v>
      </c>
      <c r="J15" s="14">
        <v>0</v>
      </c>
    </row>
    <row r="16" spans="1:10">
      <c r="A16" s="19" t="s">
        <v>411</v>
      </c>
      <c r="B16" s="18"/>
      <c r="C16" s="17" t="s">
        <v>459</v>
      </c>
      <c r="D16" s="15">
        <v>0</v>
      </c>
      <c r="E16" s="15">
        <v>0</v>
      </c>
      <c r="F16" s="14">
        <v>0</v>
      </c>
      <c r="G16" s="16">
        <v>7.0000000000000001E-3</v>
      </c>
      <c r="H16" s="15">
        <v>2E-3</v>
      </c>
      <c r="I16" s="14">
        <v>1E-3</v>
      </c>
      <c r="J16" s="14">
        <v>0</v>
      </c>
    </row>
    <row r="17" spans="1:10">
      <c r="A17" s="19" t="s">
        <v>413</v>
      </c>
      <c r="B17" s="18"/>
      <c r="C17" s="17" t="s">
        <v>460</v>
      </c>
      <c r="D17" s="15">
        <v>1E-3</v>
      </c>
      <c r="E17" s="15">
        <v>0</v>
      </c>
      <c r="F17" s="14">
        <v>0</v>
      </c>
      <c r="G17" s="16">
        <v>4.0000000000000001E-3</v>
      </c>
      <c r="H17" s="15">
        <v>0</v>
      </c>
      <c r="I17" s="14">
        <v>0</v>
      </c>
      <c r="J17" s="14">
        <v>8.9999999999999993E-3</v>
      </c>
    </row>
    <row r="18" spans="1:10">
      <c r="A18" s="19" t="s">
        <v>416</v>
      </c>
      <c r="B18" s="18"/>
      <c r="C18" s="17" t="s">
        <v>461</v>
      </c>
      <c r="D18" s="15">
        <v>0</v>
      </c>
      <c r="E18" s="15">
        <v>0</v>
      </c>
      <c r="F18" s="14">
        <v>0</v>
      </c>
      <c r="G18" s="16">
        <v>2E-3</v>
      </c>
      <c r="H18" s="15">
        <v>0</v>
      </c>
      <c r="I18" s="14">
        <v>0</v>
      </c>
      <c r="J18" s="14">
        <v>8.0000000000000002E-3</v>
      </c>
    </row>
    <row r="19" spans="1:10">
      <c r="A19" s="19" t="s">
        <v>418</v>
      </c>
      <c r="B19" s="18"/>
      <c r="C19" s="17" t="s">
        <v>462</v>
      </c>
      <c r="D19" s="15">
        <v>2E-3</v>
      </c>
      <c r="E19" s="15">
        <v>0</v>
      </c>
      <c r="F19" s="14">
        <v>0</v>
      </c>
      <c r="G19" s="16">
        <v>3.0000000000000001E-3</v>
      </c>
      <c r="H19" s="15">
        <v>2E-3</v>
      </c>
      <c r="I19" s="14">
        <v>0</v>
      </c>
      <c r="J19" s="14">
        <v>0</v>
      </c>
    </row>
    <row r="20" spans="1:10">
      <c r="A20" s="19" t="s">
        <v>419</v>
      </c>
      <c r="B20" s="18"/>
      <c r="C20" s="17" t="s">
        <v>463</v>
      </c>
      <c r="D20" s="15">
        <v>1E-3</v>
      </c>
      <c r="E20" s="15">
        <v>0</v>
      </c>
      <c r="F20" s="14">
        <v>0</v>
      </c>
      <c r="G20" s="16">
        <v>1.0999999999999999E-2</v>
      </c>
      <c r="H20" s="15">
        <v>2E-3</v>
      </c>
      <c r="I20" s="14">
        <v>0</v>
      </c>
      <c r="J20" s="14">
        <v>0</v>
      </c>
    </row>
    <row r="21" spans="1:10">
      <c r="A21" s="19" t="s">
        <v>421</v>
      </c>
      <c r="B21" s="18"/>
      <c r="C21" s="17" t="s">
        <v>464</v>
      </c>
      <c r="D21" s="15">
        <v>0</v>
      </c>
      <c r="E21" s="15">
        <v>0</v>
      </c>
      <c r="F21" s="14">
        <v>0</v>
      </c>
      <c r="G21" s="16">
        <v>1.4E-2</v>
      </c>
      <c r="H21" s="15">
        <v>2E-3</v>
      </c>
      <c r="I21" s="14">
        <v>0</v>
      </c>
      <c r="J21" s="14">
        <v>5.0000000000000001E-3</v>
      </c>
    </row>
    <row r="22" spans="1:10">
      <c r="A22" s="19" t="s">
        <v>423</v>
      </c>
      <c r="B22" s="18"/>
      <c r="C22" s="17" t="s">
        <v>465</v>
      </c>
      <c r="D22" s="15">
        <v>0</v>
      </c>
      <c r="E22" s="15">
        <v>0</v>
      </c>
      <c r="F22" s="14">
        <v>0</v>
      </c>
      <c r="G22" s="16">
        <v>3.0000000000000001E-3</v>
      </c>
      <c r="H22" s="15">
        <v>0</v>
      </c>
      <c r="I22" s="14">
        <v>0</v>
      </c>
      <c r="J22" s="14">
        <v>0</v>
      </c>
    </row>
    <row r="23" spans="1:10">
      <c r="A23" s="19" t="s">
        <v>425</v>
      </c>
      <c r="B23" s="18"/>
      <c r="C23" s="17" t="s">
        <v>466</v>
      </c>
      <c r="D23" s="15">
        <v>0</v>
      </c>
      <c r="E23" s="15">
        <v>0</v>
      </c>
      <c r="F23" s="14">
        <v>0</v>
      </c>
      <c r="G23" s="16">
        <v>1E-3</v>
      </c>
      <c r="H23" s="15">
        <v>0</v>
      </c>
      <c r="I23" s="14">
        <v>0</v>
      </c>
      <c r="J23" s="14">
        <v>0</v>
      </c>
    </row>
    <row r="24" spans="1:10">
      <c r="A24" s="19" t="s">
        <v>427</v>
      </c>
      <c r="B24" s="18"/>
      <c r="C24" s="17" t="s">
        <v>467</v>
      </c>
      <c r="D24" s="15">
        <v>0</v>
      </c>
      <c r="E24" s="15">
        <v>0</v>
      </c>
      <c r="F24" s="14">
        <v>0</v>
      </c>
      <c r="G24" s="16">
        <v>2E-3</v>
      </c>
      <c r="H24" s="15">
        <v>0</v>
      </c>
      <c r="I24" s="14">
        <v>0</v>
      </c>
      <c r="J24" s="14">
        <v>3.4000000000000002E-2</v>
      </c>
    </row>
    <row r="25" spans="1:10">
      <c r="A25" s="19" t="s">
        <v>429</v>
      </c>
      <c r="B25" s="18"/>
      <c r="C25" s="17" t="s">
        <v>468</v>
      </c>
      <c r="D25" s="15">
        <v>0</v>
      </c>
      <c r="E25" s="15">
        <v>0</v>
      </c>
      <c r="F25" s="14">
        <v>0</v>
      </c>
      <c r="G25" s="16">
        <v>4.0000000000000001E-3</v>
      </c>
      <c r="H25" s="15">
        <v>0</v>
      </c>
      <c r="I25" s="14">
        <v>0</v>
      </c>
      <c r="J25" s="14">
        <v>0</v>
      </c>
    </row>
    <row r="26" spans="1:10">
      <c r="A26" s="19" t="s">
        <v>431</v>
      </c>
      <c r="B26" s="18"/>
      <c r="C26" s="17" t="s">
        <v>469</v>
      </c>
      <c r="D26" s="15">
        <v>0</v>
      </c>
      <c r="E26" s="15">
        <v>0</v>
      </c>
      <c r="F26" s="14">
        <v>0</v>
      </c>
      <c r="G26" s="16">
        <v>8.0000000000000002E-3</v>
      </c>
      <c r="H26" s="15">
        <v>0</v>
      </c>
      <c r="I26" s="14">
        <v>0</v>
      </c>
      <c r="J26" s="14">
        <v>0</v>
      </c>
    </row>
    <row r="27" spans="1:10">
      <c r="A27" s="19" t="s">
        <v>433</v>
      </c>
      <c r="B27" s="18"/>
      <c r="C27" s="38" t="s">
        <v>470</v>
      </c>
      <c r="D27" s="36">
        <v>1E-3</v>
      </c>
      <c r="E27" s="36">
        <v>0</v>
      </c>
      <c r="F27" s="35">
        <v>0</v>
      </c>
      <c r="G27" s="37">
        <v>1.7000000000000001E-2</v>
      </c>
      <c r="H27" s="36">
        <v>0</v>
      </c>
      <c r="I27" s="35">
        <v>1E-3</v>
      </c>
      <c r="J27" s="35">
        <v>0</v>
      </c>
    </row>
    <row r="28" spans="1:10">
      <c r="A28" s="34" t="s">
        <v>435</v>
      </c>
      <c r="B28" s="33"/>
      <c r="C28" s="32" t="s">
        <v>471</v>
      </c>
      <c r="D28" s="29">
        <v>1E-3</v>
      </c>
      <c r="E28" s="51">
        <v>1.0000000000000001E-5</v>
      </c>
      <c r="F28" s="28">
        <v>2.0000000000000001E-4</v>
      </c>
      <c r="G28" s="30">
        <v>7.0000000000000001E-3</v>
      </c>
      <c r="H28" s="29">
        <v>1E-3</v>
      </c>
      <c r="I28" s="27">
        <v>1E-3</v>
      </c>
      <c r="J28" s="27">
        <v>2.1000000000000001E-2</v>
      </c>
    </row>
    <row r="29" spans="1:10">
      <c r="A29" s="26" t="s">
        <v>437</v>
      </c>
      <c r="B29" s="18"/>
      <c r="C29" s="25" t="s">
        <v>472</v>
      </c>
      <c r="D29" s="23">
        <v>0</v>
      </c>
      <c r="E29" s="23">
        <v>0</v>
      </c>
      <c r="F29" s="22">
        <v>0</v>
      </c>
      <c r="G29" s="24">
        <v>2E-3</v>
      </c>
      <c r="H29" s="23">
        <v>0</v>
      </c>
      <c r="I29" s="22">
        <v>0</v>
      </c>
      <c r="J29" s="22">
        <v>0</v>
      </c>
    </row>
    <row r="30" spans="1:10">
      <c r="A30" s="21" t="s">
        <v>439</v>
      </c>
      <c r="B30" s="18"/>
      <c r="C30" s="17" t="s">
        <v>473</v>
      </c>
      <c r="D30" s="15">
        <v>1E-3</v>
      </c>
      <c r="E30" s="15">
        <v>0</v>
      </c>
      <c r="F30" s="14">
        <v>0</v>
      </c>
      <c r="G30" s="16">
        <v>7.0000000000000001E-3</v>
      </c>
      <c r="H30" s="15">
        <v>0</v>
      </c>
      <c r="I30" s="14">
        <v>1E-3</v>
      </c>
      <c r="J30" s="14">
        <v>0</v>
      </c>
    </row>
    <row r="31" spans="1:10">
      <c r="A31" s="20" t="s">
        <v>441</v>
      </c>
      <c r="B31" s="18"/>
      <c r="C31" s="17" t="s">
        <v>474</v>
      </c>
      <c r="D31" s="15">
        <v>2E-3</v>
      </c>
      <c r="E31" s="15">
        <v>0</v>
      </c>
      <c r="F31" s="14">
        <v>0</v>
      </c>
      <c r="G31" s="16">
        <v>3.0000000000000001E-3</v>
      </c>
      <c r="H31" s="15">
        <v>0</v>
      </c>
      <c r="I31" s="14">
        <v>1E-3</v>
      </c>
      <c r="J31" s="14">
        <v>1E-3</v>
      </c>
    </row>
    <row r="32" spans="1:10">
      <c r="A32" s="19" t="s">
        <v>443</v>
      </c>
      <c r="B32" s="18"/>
      <c r="C32" s="17" t="s">
        <v>475</v>
      </c>
      <c r="D32" s="15">
        <v>1E-3</v>
      </c>
      <c r="E32" s="15">
        <v>0</v>
      </c>
      <c r="F32" s="14">
        <v>2E-3</v>
      </c>
      <c r="G32" s="16">
        <v>2E-3</v>
      </c>
      <c r="H32" s="15">
        <v>0</v>
      </c>
      <c r="I32" s="14">
        <v>0</v>
      </c>
      <c r="J32" s="14">
        <v>0</v>
      </c>
    </row>
    <row r="33" spans="1:10">
      <c r="A33" s="49"/>
      <c r="B33" s="49"/>
      <c r="C33" s="49"/>
      <c r="D33" s="49"/>
      <c r="E33" s="49"/>
      <c r="F33" s="49"/>
      <c r="G33" s="49"/>
      <c r="H33" s="49"/>
      <c r="I33" s="49"/>
      <c r="J33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5583-E6D2-EB45-8148-0244FE46F67A}">
  <dimension ref="A1:J33"/>
  <sheetViews>
    <sheetView topLeftCell="A2" zoomScale="161" workbookViewId="0">
      <selection activeCell="H36" sqref="H36"/>
    </sheetView>
  </sheetViews>
  <sheetFormatPr baseColWidth="10" defaultColWidth="11.5" defaultRowHeight="15"/>
  <cols>
    <col min="1" max="1" width="26.33203125" customWidth="1"/>
    <col min="2" max="2" width="0.33203125" customWidth="1"/>
    <col min="3" max="3" width="16.33203125" customWidth="1"/>
    <col min="4" max="4" width="7.33203125" customWidth="1"/>
    <col min="5" max="5" width="7" customWidth="1"/>
    <col min="6" max="6" width="6.83203125" customWidth="1"/>
    <col min="7" max="7" width="7.83203125" customWidth="1"/>
    <col min="8" max="8" width="7.1640625" customWidth="1"/>
    <col min="9" max="9" width="6.1640625" customWidth="1"/>
    <col min="10" max="10" width="7.33203125" customWidth="1"/>
  </cols>
  <sheetData>
    <row r="1" spans="1:10">
      <c r="B1" s="49"/>
      <c r="C1" s="49"/>
      <c r="D1" s="49"/>
      <c r="E1" s="49"/>
      <c r="F1" s="49"/>
      <c r="G1" s="49"/>
      <c r="H1" s="49">
        <v>2021</v>
      </c>
      <c r="J1" t="s">
        <v>376</v>
      </c>
    </row>
    <row r="2" spans="1:10" ht="52">
      <c r="A2" s="52" t="s">
        <v>476</v>
      </c>
      <c r="B2" s="48"/>
      <c r="C2" s="45" t="s">
        <v>377</v>
      </c>
      <c r="D2" s="47" t="s">
        <v>378</v>
      </c>
      <c r="E2" s="47" t="s">
        <v>379</v>
      </c>
      <c r="F2" s="47" t="s">
        <v>380</v>
      </c>
      <c r="G2" s="46" t="s">
        <v>381</v>
      </c>
      <c r="H2" s="45" t="s">
        <v>382</v>
      </c>
      <c r="I2" s="44" t="s">
        <v>383</v>
      </c>
      <c r="J2" s="44" t="s">
        <v>384</v>
      </c>
    </row>
    <row r="3" spans="1:10">
      <c r="A3" s="43" t="s">
        <v>385</v>
      </c>
      <c r="B3" s="18"/>
      <c r="C3" s="42" t="s">
        <v>477</v>
      </c>
      <c r="D3" s="40">
        <v>1.7000000000000001E-2</v>
      </c>
      <c r="E3" s="40">
        <v>0</v>
      </c>
      <c r="F3" s="39">
        <v>1.7999999999999999E-2</v>
      </c>
      <c r="G3" s="40">
        <v>1.2E-2</v>
      </c>
      <c r="H3" s="40">
        <v>0</v>
      </c>
      <c r="I3" s="39">
        <v>2E-3</v>
      </c>
      <c r="J3" s="39">
        <v>0</v>
      </c>
    </row>
    <row r="4" spans="1:10">
      <c r="A4" s="19" t="s">
        <v>387</v>
      </c>
      <c r="B4" s="18"/>
      <c r="C4" s="17" t="s">
        <v>478</v>
      </c>
      <c r="D4" s="15">
        <v>6.0000000000000001E-3</v>
      </c>
      <c r="E4" s="15">
        <v>0</v>
      </c>
      <c r="F4" s="14">
        <v>0.1</v>
      </c>
      <c r="G4" s="15">
        <v>2E-3</v>
      </c>
      <c r="H4" s="15">
        <v>0</v>
      </c>
      <c r="I4" s="14">
        <v>5.0000000000000001E-3</v>
      </c>
      <c r="J4" s="14">
        <v>0</v>
      </c>
    </row>
    <row r="5" spans="1:10">
      <c r="A5" s="19" t="s">
        <v>389</v>
      </c>
      <c r="B5" s="18"/>
      <c r="C5" s="17" t="s">
        <v>479</v>
      </c>
      <c r="D5" s="15">
        <v>1E-3</v>
      </c>
      <c r="E5" s="15">
        <v>0</v>
      </c>
      <c r="F5" s="14">
        <v>0</v>
      </c>
      <c r="G5" s="15">
        <v>2.7E-2</v>
      </c>
      <c r="H5" s="15">
        <v>1E-3</v>
      </c>
      <c r="I5" s="14">
        <v>0</v>
      </c>
      <c r="J5" s="14">
        <v>0</v>
      </c>
    </row>
    <row r="6" spans="1:10">
      <c r="A6" s="19" t="s">
        <v>391</v>
      </c>
      <c r="B6" s="18"/>
      <c r="C6" s="17" t="s">
        <v>449</v>
      </c>
      <c r="D6" s="15">
        <v>0</v>
      </c>
      <c r="E6" s="15">
        <v>0</v>
      </c>
      <c r="F6" s="14">
        <v>0</v>
      </c>
      <c r="G6" s="15">
        <v>0</v>
      </c>
      <c r="H6" s="15">
        <v>0</v>
      </c>
      <c r="I6" s="14">
        <v>0</v>
      </c>
      <c r="J6" s="14">
        <v>0</v>
      </c>
    </row>
    <row r="7" spans="1:10">
      <c r="A7" s="19" t="s">
        <v>393</v>
      </c>
      <c r="B7" s="18"/>
      <c r="C7" s="17" t="s">
        <v>480</v>
      </c>
      <c r="D7" s="15">
        <v>4.0000000000000001E-3</v>
      </c>
      <c r="E7" s="15">
        <v>0</v>
      </c>
      <c r="F7" s="14">
        <v>0</v>
      </c>
      <c r="G7" s="15">
        <v>8.8999999999999996E-2</v>
      </c>
      <c r="H7" s="15">
        <v>1E-3</v>
      </c>
      <c r="I7" s="14">
        <v>3.0000000000000001E-3</v>
      </c>
      <c r="J7" s="14">
        <v>2.7E-2</v>
      </c>
    </row>
    <row r="8" spans="1:10">
      <c r="A8" s="19" t="s">
        <v>395</v>
      </c>
      <c r="B8" s="18"/>
      <c r="C8" s="17" t="s">
        <v>481</v>
      </c>
      <c r="D8" s="15">
        <v>3.5000000000000003E-2</v>
      </c>
      <c r="E8" s="15">
        <v>3.0000000000000001E-3</v>
      </c>
      <c r="F8" s="14">
        <v>0</v>
      </c>
      <c r="G8" s="15">
        <v>0.02</v>
      </c>
      <c r="H8" s="15">
        <v>0</v>
      </c>
      <c r="I8" s="14">
        <v>0</v>
      </c>
      <c r="J8" s="14">
        <v>0</v>
      </c>
    </row>
    <row r="9" spans="1:10">
      <c r="A9" s="19" t="s">
        <v>397</v>
      </c>
      <c r="B9" s="18"/>
      <c r="C9" s="17" t="s">
        <v>482</v>
      </c>
      <c r="D9" s="15">
        <v>0</v>
      </c>
      <c r="E9" s="15">
        <v>0</v>
      </c>
      <c r="F9" s="14">
        <v>8.0000000000000002E-3</v>
      </c>
      <c r="G9" s="15">
        <v>8.2000000000000003E-2</v>
      </c>
      <c r="H9" s="15">
        <v>0</v>
      </c>
      <c r="I9" s="14">
        <v>0</v>
      </c>
      <c r="J9" s="14">
        <v>0</v>
      </c>
    </row>
    <row r="10" spans="1:10">
      <c r="A10" s="19" t="s">
        <v>399</v>
      </c>
      <c r="B10" s="18"/>
      <c r="C10" s="17" t="s">
        <v>483</v>
      </c>
      <c r="D10" s="15">
        <v>2.5999999999999999E-2</v>
      </c>
      <c r="E10" s="15">
        <v>0</v>
      </c>
      <c r="F10" s="14">
        <v>0</v>
      </c>
      <c r="G10" s="15">
        <v>5.0000000000000001E-3</v>
      </c>
      <c r="H10" s="15">
        <v>0</v>
      </c>
      <c r="I10" s="14">
        <v>0</v>
      </c>
      <c r="J10" s="14">
        <v>0</v>
      </c>
    </row>
    <row r="11" spans="1:10">
      <c r="A11" s="19" t="s">
        <v>401</v>
      </c>
      <c r="B11" s="18"/>
      <c r="C11" s="17" t="s">
        <v>484</v>
      </c>
      <c r="D11" s="15">
        <v>1.6E-2</v>
      </c>
      <c r="E11" s="15">
        <v>1E-3</v>
      </c>
      <c r="F11" s="14">
        <v>2.5999999999999999E-2</v>
      </c>
      <c r="G11" s="15">
        <v>0.06</v>
      </c>
      <c r="H11" s="15">
        <v>0</v>
      </c>
      <c r="I11" s="14">
        <v>0</v>
      </c>
      <c r="J11" s="14">
        <v>1E-3</v>
      </c>
    </row>
    <row r="12" spans="1:10">
      <c r="A12" s="19" t="s">
        <v>403</v>
      </c>
      <c r="B12" s="18"/>
      <c r="C12" s="17" t="s">
        <v>485</v>
      </c>
      <c r="D12" s="15">
        <v>1.6E-2</v>
      </c>
      <c r="E12" s="15">
        <v>0</v>
      </c>
      <c r="F12" s="14">
        <v>4.4999999999999998E-2</v>
      </c>
      <c r="G12" s="15">
        <v>1.0999999999999999E-2</v>
      </c>
      <c r="H12" s="15">
        <v>0</v>
      </c>
      <c r="I12" s="14">
        <v>1E-3</v>
      </c>
      <c r="J12" s="14">
        <v>0</v>
      </c>
    </row>
    <row r="13" spans="1:10">
      <c r="A13" s="19" t="s">
        <v>405</v>
      </c>
      <c r="B13" s="18"/>
      <c r="C13" s="17" t="s">
        <v>486</v>
      </c>
      <c r="D13" s="15">
        <v>0</v>
      </c>
      <c r="E13" s="15">
        <v>0</v>
      </c>
      <c r="F13" s="14">
        <v>0</v>
      </c>
      <c r="G13" s="15">
        <v>5.1999999999999998E-2</v>
      </c>
      <c r="H13" s="15">
        <v>0</v>
      </c>
      <c r="I13" s="14">
        <v>0</v>
      </c>
      <c r="J13" s="14">
        <v>7.0000000000000001E-3</v>
      </c>
    </row>
    <row r="14" spans="1:10">
      <c r="A14" s="19" t="s">
        <v>407</v>
      </c>
      <c r="B14" s="18"/>
      <c r="C14" s="17" t="s">
        <v>487</v>
      </c>
      <c r="D14" s="15">
        <v>5.0000000000000001E-3</v>
      </c>
      <c r="E14" s="15">
        <v>0</v>
      </c>
      <c r="F14" s="14">
        <v>5.0000000000000001E-3</v>
      </c>
      <c r="G14" s="15">
        <v>1.2999999999999999E-2</v>
      </c>
      <c r="H14" s="15">
        <v>2E-3</v>
      </c>
      <c r="I14" s="14">
        <v>0</v>
      </c>
      <c r="J14" s="14">
        <v>0</v>
      </c>
    </row>
    <row r="15" spans="1:10">
      <c r="A15" s="19" t="s">
        <v>409</v>
      </c>
      <c r="B15" s="18"/>
      <c r="C15" s="17" t="s">
        <v>488</v>
      </c>
      <c r="D15" s="15">
        <v>0</v>
      </c>
      <c r="E15" s="15">
        <v>0</v>
      </c>
      <c r="F15" s="14">
        <v>3.5000000000000003E-2</v>
      </c>
      <c r="G15" s="15">
        <v>0</v>
      </c>
      <c r="H15" s="15">
        <v>0</v>
      </c>
      <c r="I15" s="14">
        <v>0</v>
      </c>
      <c r="J15" s="14">
        <v>0</v>
      </c>
    </row>
    <row r="16" spans="1:10">
      <c r="A16" s="19" t="s">
        <v>411</v>
      </c>
      <c r="B16" s="18"/>
      <c r="C16" s="17" t="s">
        <v>489</v>
      </c>
      <c r="D16" s="15">
        <v>7.0000000000000001E-3</v>
      </c>
      <c r="E16" s="15">
        <v>0</v>
      </c>
      <c r="F16" s="14">
        <v>3.0000000000000001E-3</v>
      </c>
      <c r="G16" s="15">
        <v>4.9000000000000002E-2</v>
      </c>
      <c r="H16" s="15">
        <v>3.0000000000000001E-3</v>
      </c>
      <c r="I16" s="14">
        <v>1E-3</v>
      </c>
      <c r="J16" s="14">
        <v>0</v>
      </c>
    </row>
    <row r="17" spans="1:10">
      <c r="A17" s="19" t="s">
        <v>413</v>
      </c>
      <c r="B17" s="18"/>
      <c r="C17" s="17" t="s">
        <v>490</v>
      </c>
      <c r="D17" s="15">
        <v>1.0999999999999999E-2</v>
      </c>
      <c r="E17" s="15">
        <v>0</v>
      </c>
      <c r="F17" s="14">
        <v>3.0000000000000001E-3</v>
      </c>
      <c r="G17" s="15">
        <v>2E-3</v>
      </c>
      <c r="H17" s="15">
        <v>0</v>
      </c>
      <c r="I17" s="14">
        <v>0</v>
      </c>
      <c r="J17" s="14">
        <v>0</v>
      </c>
    </row>
    <row r="18" spans="1:10">
      <c r="A18" s="19" t="s">
        <v>416</v>
      </c>
      <c r="B18" s="18"/>
      <c r="C18" s="17" t="s">
        <v>491</v>
      </c>
      <c r="D18" s="15">
        <v>5.2999999999999999E-2</v>
      </c>
      <c r="E18" s="15">
        <v>0</v>
      </c>
      <c r="F18" s="14">
        <v>1.4999999999999999E-2</v>
      </c>
      <c r="G18" s="15">
        <v>3.4000000000000002E-2</v>
      </c>
      <c r="H18" s="15">
        <v>1.0999999999999999E-2</v>
      </c>
      <c r="I18" s="14">
        <v>2E-3</v>
      </c>
      <c r="J18" s="14">
        <v>3.0000000000000001E-3</v>
      </c>
    </row>
    <row r="19" spans="1:10">
      <c r="A19" s="19" t="s">
        <v>418</v>
      </c>
      <c r="B19" s="18"/>
      <c r="C19" s="17" t="s">
        <v>492</v>
      </c>
      <c r="D19" s="15">
        <v>7.8E-2</v>
      </c>
      <c r="E19" s="15">
        <v>0</v>
      </c>
      <c r="F19" s="14">
        <v>6.5000000000000002E-2</v>
      </c>
      <c r="G19" s="15">
        <v>2.5999999999999999E-2</v>
      </c>
      <c r="H19" s="15">
        <v>0</v>
      </c>
      <c r="I19" s="14">
        <v>0</v>
      </c>
      <c r="J19" s="14">
        <v>0</v>
      </c>
    </row>
    <row r="20" spans="1:10">
      <c r="A20" s="19" t="s">
        <v>419</v>
      </c>
      <c r="B20" s="18"/>
      <c r="C20" s="17" t="s">
        <v>493</v>
      </c>
      <c r="D20" s="15">
        <v>0.14499999999999999</v>
      </c>
      <c r="E20" s="15">
        <v>0</v>
      </c>
      <c r="F20" s="14">
        <v>2.3E-2</v>
      </c>
      <c r="G20" s="15">
        <v>5.7000000000000002E-2</v>
      </c>
      <c r="H20" s="15">
        <v>0</v>
      </c>
      <c r="I20" s="14">
        <v>4.0000000000000001E-3</v>
      </c>
      <c r="J20" s="14">
        <v>0</v>
      </c>
    </row>
    <row r="21" spans="1:10">
      <c r="A21" s="19" t="s">
        <v>421</v>
      </c>
      <c r="B21" s="18"/>
      <c r="C21" s="17" t="s">
        <v>494</v>
      </c>
      <c r="D21" s="15">
        <v>8.0000000000000002E-3</v>
      </c>
      <c r="E21" s="15">
        <v>0</v>
      </c>
      <c r="F21" s="14">
        <v>6.0000000000000001E-3</v>
      </c>
      <c r="G21" s="15">
        <v>1.2999999999999999E-2</v>
      </c>
      <c r="H21" s="15">
        <v>1E-3</v>
      </c>
      <c r="I21" s="14">
        <v>2E-3</v>
      </c>
      <c r="J21" s="14">
        <v>3.0000000000000001E-3</v>
      </c>
    </row>
    <row r="22" spans="1:10">
      <c r="A22" s="19" t="s">
        <v>423</v>
      </c>
      <c r="B22" s="18"/>
      <c r="C22" s="17" t="s">
        <v>495</v>
      </c>
      <c r="D22" s="15">
        <v>7.0000000000000001E-3</v>
      </c>
      <c r="E22" s="15">
        <v>0</v>
      </c>
      <c r="F22" s="14">
        <v>1E-3</v>
      </c>
      <c r="G22" s="15">
        <v>4.2999999999999997E-2</v>
      </c>
      <c r="H22" s="15">
        <v>0</v>
      </c>
      <c r="I22" s="14">
        <v>0</v>
      </c>
      <c r="J22" s="14">
        <v>0</v>
      </c>
    </row>
    <row r="23" spans="1:10">
      <c r="A23" s="19" t="s">
        <v>425</v>
      </c>
      <c r="B23" s="18"/>
      <c r="C23" s="17" t="s">
        <v>496</v>
      </c>
      <c r="D23" s="15">
        <v>5.0000000000000001E-3</v>
      </c>
      <c r="E23" s="15">
        <v>0</v>
      </c>
      <c r="F23" s="14">
        <v>5.0000000000000001E-3</v>
      </c>
      <c r="G23" s="15">
        <v>0</v>
      </c>
      <c r="H23" s="15">
        <v>0</v>
      </c>
      <c r="I23" s="14">
        <v>0</v>
      </c>
      <c r="J23" s="14">
        <v>2E-3</v>
      </c>
    </row>
    <row r="24" spans="1:10">
      <c r="A24" s="19" t="s">
        <v>427</v>
      </c>
      <c r="B24" s="18"/>
      <c r="C24" s="17" t="s">
        <v>497</v>
      </c>
      <c r="D24" s="15">
        <v>6.0000000000000001E-3</v>
      </c>
      <c r="E24" s="15">
        <v>0</v>
      </c>
      <c r="F24" s="14">
        <v>0</v>
      </c>
      <c r="G24" s="15">
        <v>3.2000000000000001E-2</v>
      </c>
      <c r="H24" s="15">
        <v>0</v>
      </c>
      <c r="I24" s="14">
        <v>0</v>
      </c>
      <c r="J24" s="14">
        <v>3.5000000000000003E-2</v>
      </c>
    </row>
    <row r="25" spans="1:10">
      <c r="A25" s="19" t="s">
        <v>429</v>
      </c>
      <c r="B25" s="18"/>
      <c r="C25" s="17" t="s">
        <v>477</v>
      </c>
      <c r="D25" s="15">
        <v>2E-3</v>
      </c>
      <c r="E25" s="15">
        <v>0</v>
      </c>
      <c r="F25" s="14">
        <v>0</v>
      </c>
      <c r="G25" s="15">
        <v>4.8000000000000001E-2</v>
      </c>
      <c r="H25" s="15">
        <v>0</v>
      </c>
      <c r="I25" s="14">
        <v>0</v>
      </c>
      <c r="J25" s="14">
        <v>0</v>
      </c>
    </row>
    <row r="26" spans="1:10">
      <c r="A26" s="19" t="s">
        <v>431</v>
      </c>
      <c r="B26" s="18"/>
      <c r="C26" s="17" t="s">
        <v>498</v>
      </c>
      <c r="D26" s="15">
        <v>5.0000000000000001E-3</v>
      </c>
      <c r="E26" s="15">
        <v>2E-3</v>
      </c>
      <c r="F26" s="14">
        <v>3.1E-2</v>
      </c>
      <c r="G26" s="15">
        <v>5.5E-2</v>
      </c>
      <c r="H26" s="15">
        <v>0</v>
      </c>
      <c r="I26" s="14">
        <v>0</v>
      </c>
      <c r="J26" s="14">
        <v>0</v>
      </c>
    </row>
    <row r="27" spans="1:10">
      <c r="A27" s="19" t="s">
        <v>433</v>
      </c>
      <c r="B27" s="18"/>
      <c r="C27" s="38" t="s">
        <v>499</v>
      </c>
      <c r="D27" s="36">
        <v>4.9000000000000002E-2</v>
      </c>
      <c r="E27" s="36">
        <v>1.2E-2</v>
      </c>
      <c r="F27" s="35">
        <v>0</v>
      </c>
      <c r="G27" s="36">
        <v>0.20300000000000001</v>
      </c>
      <c r="H27" s="36">
        <v>0</v>
      </c>
      <c r="I27" s="35">
        <v>7.0000000000000001E-3</v>
      </c>
      <c r="J27" s="35">
        <v>0</v>
      </c>
    </row>
    <row r="28" spans="1:10">
      <c r="A28" s="34" t="s">
        <v>435</v>
      </c>
      <c r="B28" s="33"/>
      <c r="C28" s="32" t="s">
        <v>500</v>
      </c>
      <c r="D28" s="29">
        <v>1.2999999999999999E-2</v>
      </c>
      <c r="E28" s="29">
        <v>1E-3</v>
      </c>
      <c r="F28" s="27">
        <v>1.7999999999999999E-2</v>
      </c>
      <c r="G28" s="29">
        <v>3.6999999999999998E-2</v>
      </c>
      <c r="H28" s="29">
        <v>1E-3</v>
      </c>
      <c r="I28" s="27">
        <v>1E-3</v>
      </c>
      <c r="J28" s="27">
        <v>2E-3</v>
      </c>
    </row>
    <row r="29" spans="1:10">
      <c r="A29" s="26" t="s">
        <v>437</v>
      </c>
      <c r="B29" s="18"/>
      <c r="C29" s="25" t="s">
        <v>501</v>
      </c>
      <c r="D29" s="23">
        <v>8.9999999999999993E-3</v>
      </c>
      <c r="E29" s="23">
        <v>0</v>
      </c>
      <c r="F29" s="22">
        <v>0</v>
      </c>
      <c r="G29" s="23">
        <v>6.0000000000000001E-3</v>
      </c>
      <c r="H29" s="23">
        <v>0</v>
      </c>
      <c r="I29" s="22">
        <v>0</v>
      </c>
      <c r="J29" s="22">
        <v>2E-3</v>
      </c>
    </row>
    <row r="30" spans="1:10">
      <c r="A30" s="21" t="s">
        <v>439</v>
      </c>
      <c r="B30" s="18"/>
      <c r="C30" s="17" t="s">
        <v>502</v>
      </c>
      <c r="D30" s="15">
        <v>3.4000000000000002E-2</v>
      </c>
      <c r="E30" s="15">
        <v>0</v>
      </c>
      <c r="F30" s="14">
        <v>0</v>
      </c>
      <c r="G30" s="15">
        <v>0.05</v>
      </c>
      <c r="H30" s="15">
        <v>0</v>
      </c>
      <c r="I30" s="14">
        <v>0</v>
      </c>
      <c r="J30" s="14">
        <v>0</v>
      </c>
    </row>
    <row r="31" spans="1:10">
      <c r="A31" s="20" t="s">
        <v>441</v>
      </c>
      <c r="B31" s="18"/>
      <c r="C31" s="17" t="s">
        <v>503</v>
      </c>
      <c r="D31" s="15">
        <v>1.0999999999999999E-2</v>
      </c>
      <c r="E31" s="15">
        <v>0</v>
      </c>
      <c r="F31" s="14">
        <v>0.06</v>
      </c>
      <c r="G31" s="15">
        <v>1.4E-2</v>
      </c>
      <c r="H31" s="15">
        <v>0</v>
      </c>
      <c r="I31" s="14">
        <v>2E-3</v>
      </c>
      <c r="J31" s="14">
        <v>2E-3</v>
      </c>
    </row>
    <row r="32" spans="1:10">
      <c r="A32" s="19" t="s">
        <v>443</v>
      </c>
      <c r="B32" s="18"/>
      <c r="C32" s="17" t="s">
        <v>504</v>
      </c>
      <c r="D32" s="15">
        <v>1.6E-2</v>
      </c>
      <c r="E32" s="15">
        <v>0</v>
      </c>
      <c r="F32" s="14">
        <v>0</v>
      </c>
      <c r="G32" s="15">
        <v>5.0000000000000001E-3</v>
      </c>
      <c r="H32" s="15">
        <v>0</v>
      </c>
      <c r="I32" s="14">
        <v>0</v>
      </c>
      <c r="J32" s="14">
        <v>0</v>
      </c>
    </row>
    <row r="33" spans="1:10">
      <c r="A33" s="49"/>
      <c r="B33" s="49"/>
      <c r="C33" s="49"/>
      <c r="D33" s="49"/>
      <c r="E33" s="49"/>
      <c r="F33" s="49"/>
      <c r="G33" s="49"/>
      <c r="H33" s="49"/>
      <c r="I33" s="49"/>
      <c r="J33" s="4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2210-FD19-174C-9FEA-810D403F987E}">
  <dimension ref="B2:I31"/>
  <sheetViews>
    <sheetView workbookViewId="0">
      <selection activeCell="K31" sqref="K31"/>
    </sheetView>
  </sheetViews>
  <sheetFormatPr baseColWidth="10" defaultColWidth="11.5" defaultRowHeight="15"/>
  <cols>
    <col min="2" max="2" width="20.83203125" customWidth="1"/>
    <col min="7" max="7" width="14" customWidth="1"/>
    <col min="8" max="8" width="16.83203125" customWidth="1"/>
    <col min="9" max="9" width="16" customWidth="1"/>
  </cols>
  <sheetData>
    <row r="2" spans="2:8">
      <c r="B2" s="2" t="s">
        <v>48</v>
      </c>
      <c r="C2" s="2" t="s">
        <v>52</v>
      </c>
      <c r="D2" s="2" t="s">
        <v>57</v>
      </c>
      <c r="E2" s="2" t="s">
        <v>62</v>
      </c>
      <c r="F2" s="5" t="s">
        <v>50</v>
      </c>
      <c r="G2" s="5" t="s">
        <v>54</v>
      </c>
      <c r="H2" s="5" t="s">
        <v>59</v>
      </c>
    </row>
    <row r="3" spans="2:8">
      <c r="B3" t="s">
        <v>74</v>
      </c>
      <c r="C3" t="s">
        <v>505</v>
      </c>
      <c r="D3" t="s">
        <v>109</v>
      </c>
      <c r="E3" t="s">
        <v>506</v>
      </c>
      <c r="F3" s="9" t="s">
        <v>507</v>
      </c>
      <c r="G3" t="s">
        <v>55</v>
      </c>
      <c r="H3" t="s">
        <v>508</v>
      </c>
    </row>
    <row r="4" spans="2:8">
      <c r="B4" t="s">
        <v>509</v>
      </c>
      <c r="C4" t="s">
        <v>505</v>
      </c>
      <c r="D4" t="s">
        <v>109</v>
      </c>
      <c r="E4" t="s">
        <v>506</v>
      </c>
      <c r="F4">
        <v>0.09</v>
      </c>
      <c r="G4" t="s">
        <v>55</v>
      </c>
      <c r="H4" t="s">
        <v>508</v>
      </c>
    </row>
    <row r="5" spans="2:8">
      <c r="B5" t="s">
        <v>510</v>
      </c>
      <c r="C5" t="s">
        <v>505</v>
      </c>
      <c r="D5" t="s">
        <v>109</v>
      </c>
      <c r="E5" t="s">
        <v>511</v>
      </c>
      <c r="F5">
        <v>0.15</v>
      </c>
      <c r="G5" t="s">
        <v>55</v>
      </c>
      <c r="H5" t="s">
        <v>508</v>
      </c>
    </row>
    <row r="6" spans="2:8">
      <c r="B6" t="s">
        <v>512</v>
      </c>
      <c r="C6" t="s">
        <v>505</v>
      </c>
      <c r="D6" t="s">
        <v>109</v>
      </c>
      <c r="E6" t="s">
        <v>506</v>
      </c>
      <c r="F6">
        <v>0.03</v>
      </c>
      <c r="G6" t="s">
        <v>55</v>
      </c>
      <c r="H6" t="s">
        <v>508</v>
      </c>
    </row>
    <row r="7" spans="2:8">
      <c r="B7" t="s">
        <v>513</v>
      </c>
      <c r="C7" t="s">
        <v>505</v>
      </c>
      <c r="D7" t="s">
        <v>109</v>
      </c>
      <c r="E7" t="s">
        <v>514</v>
      </c>
      <c r="F7">
        <v>0.02</v>
      </c>
      <c r="G7" t="s">
        <v>55</v>
      </c>
      <c r="H7" t="s">
        <v>508</v>
      </c>
    </row>
    <row r="8" spans="2:8">
      <c r="B8" t="s">
        <v>87</v>
      </c>
      <c r="C8" t="s">
        <v>505</v>
      </c>
      <c r="D8" t="s">
        <v>109</v>
      </c>
      <c r="E8" t="s">
        <v>515</v>
      </c>
      <c r="F8">
        <v>1E-3</v>
      </c>
      <c r="G8" t="s">
        <v>55</v>
      </c>
      <c r="H8" t="s">
        <v>508</v>
      </c>
    </row>
    <row r="9" spans="2:8">
      <c r="B9" t="s">
        <v>323</v>
      </c>
      <c r="C9" t="s">
        <v>516</v>
      </c>
      <c r="D9" t="s">
        <v>109</v>
      </c>
      <c r="E9" t="s">
        <v>517</v>
      </c>
      <c r="F9">
        <v>1.53</v>
      </c>
      <c r="G9" t="s">
        <v>55</v>
      </c>
      <c r="H9" t="s">
        <v>508</v>
      </c>
    </row>
    <row r="10" spans="2:8">
      <c r="B10" t="s">
        <v>323</v>
      </c>
      <c r="C10" t="s">
        <v>518</v>
      </c>
      <c r="D10" t="s">
        <v>109</v>
      </c>
      <c r="E10" t="s">
        <v>519</v>
      </c>
      <c r="F10">
        <v>2.41</v>
      </c>
      <c r="G10" t="s">
        <v>55</v>
      </c>
      <c r="H10" t="s">
        <v>508</v>
      </c>
    </row>
    <row r="11" spans="2:8">
      <c r="B11" t="s">
        <v>323</v>
      </c>
      <c r="C11" t="s">
        <v>520</v>
      </c>
      <c r="D11" t="s">
        <v>109</v>
      </c>
      <c r="E11" t="s">
        <v>521</v>
      </c>
      <c r="F11">
        <v>3.17</v>
      </c>
      <c r="G11" t="s">
        <v>55</v>
      </c>
      <c r="H11" t="s">
        <v>508</v>
      </c>
    </row>
    <row r="12" spans="2:8">
      <c r="B12" t="s">
        <v>369</v>
      </c>
      <c r="C12" t="s">
        <v>522</v>
      </c>
      <c r="D12" t="s">
        <v>109</v>
      </c>
      <c r="E12" t="s">
        <v>523</v>
      </c>
      <c r="F12">
        <v>0.22</v>
      </c>
      <c r="G12" t="s">
        <v>55</v>
      </c>
      <c r="H12" t="s">
        <v>508</v>
      </c>
    </row>
    <row r="13" spans="2:8">
      <c r="B13" t="s">
        <v>87</v>
      </c>
      <c r="C13" t="s">
        <v>524</v>
      </c>
      <c r="D13" t="s">
        <v>109</v>
      </c>
      <c r="E13" t="s">
        <v>525</v>
      </c>
      <c r="F13">
        <v>0.18</v>
      </c>
      <c r="G13" t="s">
        <v>55</v>
      </c>
      <c r="H13" t="s">
        <v>508</v>
      </c>
    </row>
    <row r="14" spans="2:8">
      <c r="B14" t="s">
        <v>74</v>
      </c>
      <c r="C14" t="s">
        <v>524</v>
      </c>
      <c r="D14" t="s">
        <v>109</v>
      </c>
      <c r="E14" t="s">
        <v>525</v>
      </c>
      <c r="F14">
        <v>1.1200000000000001</v>
      </c>
      <c r="G14" t="s">
        <v>55</v>
      </c>
      <c r="H14" t="s">
        <v>508</v>
      </c>
    </row>
    <row r="15" spans="2:8">
      <c r="B15" t="s">
        <v>87</v>
      </c>
      <c r="C15" t="s">
        <v>526</v>
      </c>
      <c r="D15" t="s">
        <v>80</v>
      </c>
      <c r="E15" t="s">
        <v>527</v>
      </c>
      <c r="F15">
        <v>1.1000000000000001</v>
      </c>
      <c r="G15" t="s">
        <v>55</v>
      </c>
      <c r="H15" t="s">
        <v>508</v>
      </c>
    </row>
    <row r="16" spans="2:8">
      <c r="B16" t="s">
        <v>87</v>
      </c>
      <c r="C16" t="s">
        <v>528</v>
      </c>
      <c r="D16" t="s">
        <v>80</v>
      </c>
      <c r="E16" t="s">
        <v>527</v>
      </c>
      <c r="F16">
        <v>1.08</v>
      </c>
      <c r="G16" t="s">
        <v>55</v>
      </c>
      <c r="H16" t="s">
        <v>508</v>
      </c>
    </row>
    <row r="17" spans="2:9">
      <c r="B17" t="s">
        <v>529</v>
      </c>
      <c r="C17" t="s">
        <v>530</v>
      </c>
      <c r="D17" t="s">
        <v>80</v>
      </c>
      <c r="E17" t="s">
        <v>527</v>
      </c>
      <c r="F17">
        <v>1.3</v>
      </c>
      <c r="G17" t="s">
        <v>55</v>
      </c>
      <c r="H17" t="s">
        <v>508</v>
      </c>
    </row>
    <row r="18" spans="2:9">
      <c r="B18" t="s">
        <v>529</v>
      </c>
      <c r="C18" t="s">
        <v>531</v>
      </c>
      <c r="D18" t="s">
        <v>80</v>
      </c>
      <c r="E18" t="s">
        <v>527</v>
      </c>
      <c r="F18">
        <v>0.27</v>
      </c>
      <c r="G18" t="s">
        <v>55</v>
      </c>
      <c r="H18" t="s">
        <v>508</v>
      </c>
    </row>
    <row r="19" spans="2:9">
      <c r="B19" t="s">
        <v>529</v>
      </c>
      <c r="C19" t="s">
        <v>532</v>
      </c>
      <c r="D19" t="s">
        <v>80</v>
      </c>
      <c r="E19" t="s">
        <v>527</v>
      </c>
      <c r="F19">
        <v>1.22</v>
      </c>
      <c r="G19" t="s">
        <v>55</v>
      </c>
      <c r="H19" t="s">
        <v>508</v>
      </c>
    </row>
    <row r="25" spans="2:9">
      <c r="E25">
        <v>2010</v>
      </c>
      <c r="F25">
        <v>2015</v>
      </c>
      <c r="G25">
        <v>2020</v>
      </c>
      <c r="H25" s="5" t="s">
        <v>54</v>
      </c>
      <c r="I25" s="5" t="s">
        <v>59</v>
      </c>
    </row>
    <row r="26" spans="2:9">
      <c r="B26" t="s">
        <v>74</v>
      </c>
      <c r="C26" t="s">
        <v>505</v>
      </c>
      <c r="D26" t="s">
        <v>109</v>
      </c>
      <c r="E26">
        <v>17.7</v>
      </c>
      <c r="F26">
        <v>14.7</v>
      </c>
      <c r="G26">
        <v>14.2</v>
      </c>
      <c r="H26" t="s">
        <v>55</v>
      </c>
      <c r="I26" t="s">
        <v>533</v>
      </c>
    </row>
    <row r="27" spans="2:9">
      <c r="B27" t="s">
        <v>534</v>
      </c>
      <c r="C27" t="s">
        <v>505</v>
      </c>
      <c r="D27" t="s">
        <v>109</v>
      </c>
      <c r="E27">
        <v>0.9</v>
      </c>
      <c r="F27">
        <v>0.89</v>
      </c>
      <c r="G27">
        <v>1.1499999999999999</v>
      </c>
      <c r="H27" t="s">
        <v>55</v>
      </c>
      <c r="I27" t="s">
        <v>533</v>
      </c>
    </row>
    <row r="28" spans="2:9">
      <c r="B28" t="s">
        <v>535</v>
      </c>
      <c r="C28" t="s">
        <v>505</v>
      </c>
      <c r="D28" t="s">
        <v>109</v>
      </c>
      <c r="E28">
        <v>1.45</v>
      </c>
      <c r="F28">
        <v>1.2</v>
      </c>
      <c r="G28">
        <v>1.41</v>
      </c>
      <c r="H28" t="s">
        <v>55</v>
      </c>
      <c r="I28" t="s">
        <v>533</v>
      </c>
    </row>
    <row r="29" spans="2:9">
      <c r="B29" t="s">
        <v>536</v>
      </c>
      <c r="C29" t="s">
        <v>505</v>
      </c>
      <c r="D29" t="s">
        <v>109</v>
      </c>
      <c r="E29">
        <v>0.61</v>
      </c>
      <c r="F29">
        <v>0.36</v>
      </c>
      <c r="G29">
        <v>0.04</v>
      </c>
      <c r="H29" t="s">
        <v>55</v>
      </c>
      <c r="I29" t="s">
        <v>533</v>
      </c>
    </row>
    <row r="30" spans="2:9">
      <c r="B30" t="s">
        <v>513</v>
      </c>
      <c r="C30" t="s">
        <v>505</v>
      </c>
      <c r="D30" t="s">
        <v>109</v>
      </c>
      <c r="E30">
        <v>0.22</v>
      </c>
      <c r="F30">
        <v>0.3</v>
      </c>
      <c r="G30">
        <v>0.33</v>
      </c>
      <c r="H30" t="s">
        <v>55</v>
      </c>
      <c r="I30" t="s">
        <v>533</v>
      </c>
    </row>
    <row r="31" spans="2:9">
      <c r="B31" t="s">
        <v>537</v>
      </c>
      <c r="C31" t="s">
        <v>505</v>
      </c>
      <c r="D31" t="s">
        <v>109</v>
      </c>
      <c r="E31">
        <f>E30*$C$42</f>
        <v>0</v>
      </c>
      <c r="F31">
        <v>0.01</v>
      </c>
      <c r="G31">
        <v>0.04</v>
      </c>
      <c r="H31" t="s">
        <v>55</v>
      </c>
      <c r="I31" t="s">
        <v>533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4EA973-B84D-49E3-BA05-C8E3D0F1CD11}">
  <ds:schemaRefs>
    <ds:schemaRef ds:uri="http://schemas.microsoft.com/office/2006/metadata/properties"/>
    <ds:schemaRef ds:uri="http://schemas.microsoft.com/office/infopath/2007/PartnerControls"/>
    <ds:schemaRef ds:uri="0592d07a-1af2-4331-8b44-ea7e2815515f"/>
    <ds:schemaRef ds:uri="a4e2c5e2-cb1f-48cf-889d-fca67caa39a4"/>
  </ds:schemaRefs>
</ds:datastoreItem>
</file>

<file path=customXml/itemProps2.xml><?xml version="1.0" encoding="utf-8"?>
<ds:datastoreItem xmlns:ds="http://schemas.openxmlformats.org/officeDocument/2006/customXml" ds:itemID="{C95DB1CC-05C8-427E-A8E9-5D091DDE9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94FB60-FB71-4874-9A11-1E576AF3D8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Data</vt:lpstr>
      <vt:lpstr>log</vt:lpstr>
      <vt:lpstr>___</vt:lpstr>
      <vt:lpstr>Raw_Data</vt:lpstr>
      <vt:lpstr>Cover_1</vt:lpstr>
      <vt:lpstr>Light Commercial Vehicles</vt:lpstr>
      <vt:lpstr>Medium &amp; Heavy Commercial vehic</vt:lpstr>
      <vt:lpstr>Buses</vt:lpstr>
      <vt:lpstr>Other_Raw_Data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2025-02-20T15:09:44Z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