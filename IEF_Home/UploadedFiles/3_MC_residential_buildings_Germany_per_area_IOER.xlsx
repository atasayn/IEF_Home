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FEEDA8DC-54D5-4F1E-BB58-2FD2DC0AF83E}" xr6:coauthVersionLast="36" xr6:coauthVersionMax="36" xr10:uidLastSave="{00000000-0000-0000-0000-000000000000}"/>
  <bookViews>
    <workbookView xWindow="16800" yWindow="438" windowWidth="21600" windowHeight="23478" activeTab="1" xr2:uid="{00000000-000D-0000-FFFF-FFFF00000000}"/>
  </bookViews>
  <sheets>
    <sheet name="Cover" sheetId="1" r:id="rId1"/>
    <sheet name="Data" sheetId="2" r:id="rId2"/>
    <sheet name="raw" sheetId="3" r:id="rId3"/>
  </sheets>
  <calcPr calcId="191029"/>
</workbook>
</file>

<file path=xl/calcChain.xml><?xml version="1.0" encoding="utf-8"?>
<calcChain xmlns="http://schemas.openxmlformats.org/spreadsheetml/2006/main">
  <c r="L56" i="3" l="1"/>
  <c r="M56" i="3"/>
  <c r="N56" i="3"/>
  <c r="O56" i="3"/>
  <c r="L57" i="3"/>
  <c r="M57" i="3"/>
  <c r="N57" i="3"/>
  <c r="O57" i="3"/>
  <c r="L58" i="3"/>
  <c r="M58" i="3"/>
  <c r="N58" i="3"/>
  <c r="O58" i="3"/>
  <c r="L59" i="3"/>
  <c r="M59" i="3"/>
  <c r="N59" i="3"/>
  <c r="O59" i="3"/>
  <c r="L60" i="3"/>
  <c r="M60" i="3"/>
  <c r="N60" i="3"/>
  <c r="O60" i="3"/>
  <c r="L61" i="3"/>
  <c r="M61" i="3"/>
  <c r="N61" i="3"/>
  <c r="O61" i="3"/>
  <c r="L62" i="3"/>
  <c r="M62" i="3"/>
  <c r="N62" i="3"/>
  <c r="O62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L67" i="3"/>
  <c r="M67" i="3"/>
  <c r="N67" i="3"/>
  <c r="O67" i="3"/>
  <c r="L68" i="3"/>
  <c r="M68" i="3"/>
  <c r="N68" i="3"/>
  <c r="O68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L73" i="3"/>
  <c r="M73" i="3"/>
  <c r="N73" i="3"/>
  <c r="O73" i="3"/>
  <c r="L74" i="3"/>
  <c r="M74" i="3"/>
  <c r="N74" i="3"/>
  <c r="O74" i="3"/>
  <c r="L75" i="3"/>
  <c r="M75" i="3"/>
  <c r="N75" i="3"/>
  <c r="O75" i="3"/>
  <c r="L76" i="3"/>
  <c r="M76" i="3"/>
  <c r="N76" i="3"/>
  <c r="O76" i="3"/>
  <c r="L77" i="3"/>
  <c r="M77" i="3"/>
  <c r="N77" i="3"/>
  <c r="O77" i="3"/>
  <c r="L78" i="3"/>
  <c r="M78" i="3"/>
  <c r="N78" i="3"/>
  <c r="O78" i="3"/>
  <c r="L79" i="3"/>
  <c r="M79" i="3"/>
  <c r="N79" i="3"/>
  <c r="O79" i="3"/>
  <c r="L80" i="3"/>
  <c r="M80" i="3"/>
  <c r="N80" i="3"/>
  <c r="O80" i="3"/>
  <c r="L81" i="3"/>
  <c r="M81" i="3"/>
  <c r="N81" i="3"/>
  <c r="O81" i="3"/>
  <c r="L82" i="3"/>
  <c r="M82" i="3"/>
  <c r="N82" i="3"/>
  <c r="O82" i="3"/>
  <c r="L83" i="3"/>
  <c r="M83" i="3"/>
  <c r="N83" i="3"/>
  <c r="O83" i="3"/>
  <c r="L84" i="3"/>
  <c r="M84" i="3"/>
  <c r="N84" i="3"/>
  <c r="O84" i="3"/>
  <c r="L85" i="3"/>
  <c r="M85" i="3"/>
  <c r="N85" i="3"/>
  <c r="O85" i="3"/>
  <c r="L86" i="3"/>
  <c r="M86" i="3"/>
  <c r="N86" i="3"/>
  <c r="O86" i="3"/>
  <c r="L87" i="3"/>
  <c r="M87" i="3"/>
  <c r="N87" i="3"/>
  <c r="O87" i="3"/>
  <c r="L88" i="3"/>
  <c r="M88" i="3"/>
  <c r="N88" i="3"/>
  <c r="O88" i="3"/>
  <c r="L89" i="3"/>
  <c r="M89" i="3"/>
  <c r="N89" i="3"/>
  <c r="O89" i="3"/>
  <c r="L90" i="3"/>
  <c r="M90" i="3"/>
  <c r="N90" i="3"/>
  <c r="O90" i="3"/>
  <c r="L91" i="3"/>
  <c r="M91" i="3"/>
  <c r="N91" i="3"/>
  <c r="O91" i="3"/>
  <c r="L92" i="3"/>
  <c r="M92" i="3"/>
  <c r="N92" i="3"/>
  <c r="O92" i="3"/>
  <c r="L93" i="3"/>
  <c r="M93" i="3"/>
  <c r="N93" i="3"/>
  <c r="O93" i="3"/>
  <c r="L94" i="3"/>
  <c r="M94" i="3"/>
  <c r="N94" i="3"/>
  <c r="O94" i="3"/>
  <c r="L95" i="3"/>
  <c r="M95" i="3"/>
  <c r="N95" i="3"/>
  <c r="O95" i="3"/>
  <c r="L96" i="3"/>
  <c r="M96" i="3"/>
  <c r="N96" i="3"/>
  <c r="O96" i="3"/>
  <c r="L97" i="3"/>
  <c r="M97" i="3"/>
  <c r="N97" i="3"/>
  <c r="O97" i="3"/>
  <c r="L98" i="3"/>
  <c r="M98" i="3"/>
  <c r="N98" i="3"/>
  <c r="O98" i="3"/>
  <c r="L99" i="3"/>
  <c r="M99" i="3"/>
  <c r="N99" i="3"/>
  <c r="O99" i="3"/>
  <c r="L100" i="3"/>
  <c r="M100" i="3"/>
  <c r="N100" i="3"/>
  <c r="O100" i="3"/>
  <c r="L101" i="3"/>
  <c r="M101" i="3"/>
  <c r="N101" i="3"/>
  <c r="O101" i="3"/>
  <c r="L102" i="3"/>
  <c r="M102" i="3"/>
  <c r="N102" i="3"/>
  <c r="O102" i="3"/>
  <c r="L104" i="3"/>
  <c r="M104" i="3"/>
  <c r="N104" i="3"/>
  <c r="O104" i="3"/>
  <c r="L105" i="3"/>
  <c r="M105" i="3"/>
  <c r="N105" i="3"/>
  <c r="O105" i="3"/>
  <c r="L106" i="3"/>
  <c r="M106" i="3"/>
  <c r="N106" i="3"/>
  <c r="O106" i="3"/>
  <c r="L107" i="3"/>
  <c r="M107" i="3"/>
  <c r="N107" i="3"/>
  <c r="O107" i="3"/>
  <c r="L108" i="3"/>
  <c r="M108" i="3"/>
  <c r="N108" i="3"/>
  <c r="O108" i="3"/>
  <c r="L109" i="3"/>
  <c r="M109" i="3"/>
  <c r="N109" i="3"/>
  <c r="O109" i="3"/>
  <c r="L110" i="3"/>
  <c r="M110" i="3"/>
  <c r="N110" i="3"/>
  <c r="O110" i="3"/>
  <c r="L111" i="3"/>
  <c r="M111" i="3"/>
  <c r="N111" i="3"/>
  <c r="O111" i="3"/>
  <c r="L112" i="3"/>
  <c r="M112" i="3"/>
  <c r="N112" i="3"/>
  <c r="O112" i="3"/>
  <c r="L113" i="3"/>
  <c r="M113" i="3"/>
  <c r="N113" i="3"/>
  <c r="O113" i="3"/>
  <c r="L114" i="3"/>
  <c r="M114" i="3"/>
  <c r="N114" i="3"/>
  <c r="O114" i="3"/>
  <c r="L115" i="3"/>
  <c r="M115" i="3"/>
  <c r="N115" i="3"/>
  <c r="O115" i="3"/>
  <c r="L116" i="3"/>
  <c r="M116" i="3"/>
  <c r="N116" i="3"/>
  <c r="O116" i="3"/>
  <c r="L117" i="3"/>
  <c r="M117" i="3"/>
  <c r="N117" i="3"/>
  <c r="O117" i="3"/>
  <c r="L118" i="3"/>
  <c r="M118" i="3"/>
  <c r="N118" i="3"/>
  <c r="O118" i="3"/>
  <c r="L119" i="3"/>
  <c r="M119" i="3"/>
  <c r="N119" i="3"/>
  <c r="O119" i="3"/>
  <c r="L120" i="3"/>
  <c r="M120" i="3"/>
  <c r="N120" i="3"/>
  <c r="O120" i="3"/>
  <c r="L121" i="3"/>
  <c r="M121" i="3"/>
  <c r="N121" i="3"/>
  <c r="O121" i="3"/>
  <c r="L122" i="3"/>
  <c r="M122" i="3"/>
  <c r="N122" i="3"/>
  <c r="O122" i="3"/>
  <c r="L123" i="3"/>
  <c r="M123" i="3"/>
  <c r="N123" i="3"/>
  <c r="O123" i="3"/>
  <c r="L124" i="3"/>
  <c r="M124" i="3"/>
  <c r="N124" i="3"/>
  <c r="O124" i="3"/>
  <c r="L125" i="3"/>
  <c r="M125" i="3"/>
  <c r="N125" i="3"/>
  <c r="O125" i="3"/>
  <c r="L126" i="3"/>
  <c r="M126" i="3"/>
  <c r="N126" i="3"/>
  <c r="O126" i="3"/>
  <c r="L127" i="3"/>
  <c r="M127" i="3"/>
  <c r="N127" i="3"/>
  <c r="O127" i="3"/>
  <c r="L128" i="3"/>
  <c r="M128" i="3"/>
  <c r="N128" i="3"/>
  <c r="O128" i="3"/>
  <c r="L129" i="3"/>
  <c r="M129" i="3"/>
  <c r="N129" i="3"/>
  <c r="O129" i="3"/>
  <c r="L130" i="3"/>
  <c r="M130" i="3"/>
  <c r="N130" i="3"/>
  <c r="O130" i="3"/>
  <c r="L131" i="3"/>
  <c r="M131" i="3"/>
  <c r="N131" i="3"/>
  <c r="O131" i="3"/>
  <c r="L132" i="3"/>
  <c r="M132" i="3"/>
  <c r="N132" i="3"/>
  <c r="O132" i="3"/>
  <c r="L133" i="3"/>
  <c r="M133" i="3"/>
  <c r="N133" i="3"/>
  <c r="O133" i="3"/>
  <c r="L134" i="3"/>
  <c r="M134" i="3"/>
  <c r="N134" i="3"/>
  <c r="O134" i="3"/>
  <c r="L135" i="3"/>
  <c r="M135" i="3"/>
  <c r="N135" i="3"/>
  <c r="O135" i="3"/>
  <c r="L136" i="3"/>
  <c r="M136" i="3"/>
  <c r="N136" i="3"/>
  <c r="O136" i="3"/>
  <c r="L137" i="3"/>
  <c r="M137" i="3"/>
  <c r="N137" i="3"/>
  <c r="O137" i="3"/>
  <c r="L138" i="3"/>
  <c r="M138" i="3"/>
  <c r="N138" i="3"/>
  <c r="O138" i="3"/>
  <c r="L139" i="3"/>
  <c r="M139" i="3"/>
  <c r="N139" i="3"/>
  <c r="O139" i="3"/>
  <c r="L140" i="3"/>
  <c r="M140" i="3"/>
  <c r="N140" i="3"/>
  <c r="O140" i="3"/>
  <c r="L141" i="3"/>
  <c r="M141" i="3"/>
  <c r="N141" i="3"/>
  <c r="O141" i="3"/>
  <c r="L142" i="3"/>
  <c r="M142" i="3"/>
  <c r="N142" i="3"/>
  <c r="O142" i="3"/>
  <c r="L143" i="3"/>
  <c r="M143" i="3"/>
  <c r="N143" i="3"/>
  <c r="O143" i="3"/>
  <c r="L144" i="3"/>
  <c r="M144" i="3"/>
  <c r="N144" i="3"/>
  <c r="O144" i="3"/>
  <c r="L145" i="3"/>
  <c r="M145" i="3"/>
  <c r="N145" i="3"/>
  <c r="O145" i="3"/>
  <c r="L146" i="3"/>
  <c r="M146" i="3"/>
  <c r="N146" i="3"/>
  <c r="O146" i="3"/>
  <c r="L147" i="3"/>
  <c r="M147" i="3"/>
  <c r="N147" i="3"/>
  <c r="O147" i="3"/>
  <c r="L148" i="3"/>
  <c r="M148" i="3"/>
  <c r="N148" i="3"/>
  <c r="O148" i="3"/>
  <c r="L149" i="3"/>
  <c r="M149" i="3"/>
  <c r="N149" i="3"/>
  <c r="O149" i="3"/>
  <c r="L150" i="3"/>
  <c r="M150" i="3"/>
  <c r="N150" i="3"/>
  <c r="O150" i="3"/>
  <c r="H56" i="3" l="1"/>
  <c r="I56" i="3"/>
  <c r="J56" i="3"/>
  <c r="K56" i="3"/>
  <c r="H57" i="3"/>
  <c r="I57" i="3"/>
  <c r="J57" i="3"/>
  <c r="K57" i="3"/>
  <c r="H58" i="3"/>
  <c r="I58" i="3"/>
  <c r="J58" i="3"/>
  <c r="K58" i="3"/>
  <c r="H59" i="3"/>
  <c r="I59" i="3"/>
  <c r="J59" i="3"/>
  <c r="K59" i="3"/>
  <c r="H60" i="3"/>
  <c r="I60" i="3"/>
  <c r="J60" i="3"/>
  <c r="K60" i="3"/>
  <c r="H61" i="3"/>
  <c r="I61" i="3"/>
  <c r="J61" i="3"/>
  <c r="K61" i="3"/>
  <c r="H62" i="3"/>
  <c r="I62" i="3"/>
  <c r="J62" i="3"/>
  <c r="K62" i="3"/>
  <c r="H63" i="3"/>
  <c r="I63" i="3"/>
  <c r="J63" i="3"/>
  <c r="K63" i="3"/>
  <c r="H64" i="3"/>
  <c r="I64" i="3"/>
  <c r="J64" i="3"/>
  <c r="K64" i="3"/>
  <c r="H65" i="3"/>
  <c r="I65" i="3"/>
  <c r="J65" i="3"/>
  <c r="K65" i="3"/>
  <c r="H66" i="3"/>
  <c r="I66" i="3"/>
  <c r="J66" i="3"/>
  <c r="K66" i="3"/>
  <c r="H67" i="3"/>
  <c r="I67" i="3"/>
  <c r="J67" i="3"/>
  <c r="K67" i="3"/>
  <c r="H68" i="3"/>
  <c r="I68" i="3"/>
  <c r="J68" i="3"/>
  <c r="K68" i="3"/>
  <c r="H69" i="3"/>
  <c r="I69" i="3"/>
  <c r="J69" i="3"/>
  <c r="K69" i="3"/>
  <c r="H70" i="3"/>
  <c r="I70" i="3"/>
  <c r="J70" i="3"/>
  <c r="K70" i="3"/>
  <c r="H71" i="3"/>
  <c r="I71" i="3"/>
  <c r="J71" i="3"/>
  <c r="K71" i="3"/>
  <c r="H72" i="3"/>
  <c r="I72" i="3"/>
  <c r="J72" i="3"/>
  <c r="K72" i="3"/>
  <c r="H73" i="3"/>
  <c r="I73" i="3"/>
  <c r="J73" i="3"/>
  <c r="K73" i="3"/>
  <c r="H74" i="3"/>
  <c r="I74" i="3"/>
  <c r="J74" i="3"/>
  <c r="K74" i="3"/>
  <c r="H75" i="3"/>
  <c r="I75" i="3"/>
  <c r="J75" i="3"/>
  <c r="K75" i="3"/>
  <c r="H76" i="3"/>
  <c r="I76" i="3"/>
  <c r="J76" i="3"/>
  <c r="K76" i="3"/>
  <c r="H77" i="3"/>
  <c r="I77" i="3"/>
  <c r="J77" i="3"/>
  <c r="K77" i="3"/>
  <c r="H78" i="3"/>
  <c r="I78" i="3"/>
  <c r="J78" i="3"/>
  <c r="K78" i="3"/>
  <c r="H79" i="3"/>
  <c r="I79" i="3"/>
  <c r="J79" i="3"/>
  <c r="K79" i="3"/>
  <c r="H80" i="3"/>
  <c r="I80" i="3"/>
  <c r="J80" i="3"/>
  <c r="K80" i="3"/>
  <c r="H81" i="3"/>
  <c r="I81" i="3"/>
  <c r="J81" i="3"/>
  <c r="K81" i="3"/>
  <c r="H82" i="3"/>
  <c r="I82" i="3"/>
  <c r="J82" i="3"/>
  <c r="K82" i="3"/>
  <c r="H83" i="3"/>
  <c r="I83" i="3"/>
  <c r="J83" i="3"/>
  <c r="K83" i="3"/>
  <c r="H84" i="3"/>
  <c r="I84" i="3"/>
  <c r="J84" i="3"/>
  <c r="K84" i="3"/>
  <c r="H85" i="3"/>
  <c r="I85" i="3"/>
  <c r="J85" i="3"/>
  <c r="K85" i="3"/>
  <c r="H86" i="3"/>
  <c r="I86" i="3"/>
  <c r="J86" i="3"/>
  <c r="K86" i="3"/>
  <c r="H87" i="3"/>
  <c r="I87" i="3"/>
  <c r="J87" i="3"/>
  <c r="K87" i="3"/>
  <c r="H88" i="3"/>
  <c r="I88" i="3"/>
  <c r="J88" i="3"/>
  <c r="K88" i="3"/>
  <c r="H89" i="3"/>
  <c r="I89" i="3"/>
  <c r="J89" i="3"/>
  <c r="K89" i="3"/>
  <c r="H90" i="3"/>
  <c r="I90" i="3"/>
  <c r="J90" i="3"/>
  <c r="K90" i="3"/>
  <c r="H91" i="3"/>
  <c r="I91" i="3"/>
  <c r="J91" i="3"/>
  <c r="K91" i="3"/>
  <c r="H92" i="3"/>
  <c r="I92" i="3"/>
  <c r="J92" i="3"/>
  <c r="K92" i="3"/>
  <c r="H93" i="3"/>
  <c r="I93" i="3"/>
  <c r="J93" i="3"/>
  <c r="K93" i="3"/>
  <c r="H94" i="3"/>
  <c r="I94" i="3"/>
  <c r="J94" i="3"/>
  <c r="K94" i="3"/>
  <c r="H95" i="3"/>
  <c r="I95" i="3"/>
  <c r="J95" i="3"/>
  <c r="K95" i="3"/>
  <c r="H96" i="3"/>
  <c r="I96" i="3"/>
  <c r="J96" i="3"/>
  <c r="K96" i="3"/>
  <c r="H97" i="3"/>
  <c r="I97" i="3"/>
  <c r="J97" i="3"/>
  <c r="K97" i="3"/>
  <c r="H98" i="3"/>
  <c r="I98" i="3"/>
  <c r="J98" i="3"/>
  <c r="K98" i="3"/>
  <c r="H99" i="3"/>
  <c r="I99" i="3"/>
  <c r="J99" i="3"/>
  <c r="K99" i="3"/>
  <c r="H100" i="3"/>
  <c r="I100" i="3"/>
  <c r="J100" i="3"/>
  <c r="K100" i="3"/>
  <c r="H101" i="3"/>
  <c r="I101" i="3"/>
  <c r="J101" i="3"/>
  <c r="K101" i="3"/>
  <c r="H102" i="3"/>
  <c r="I102" i="3"/>
  <c r="J102" i="3"/>
  <c r="K102" i="3"/>
  <c r="H104" i="3"/>
  <c r="I104" i="3"/>
  <c r="J104" i="3"/>
  <c r="K104" i="3"/>
  <c r="H105" i="3"/>
  <c r="I105" i="3"/>
  <c r="J105" i="3"/>
  <c r="K105" i="3"/>
  <c r="H106" i="3"/>
  <c r="I106" i="3"/>
  <c r="J106" i="3"/>
  <c r="K106" i="3"/>
  <c r="H107" i="3"/>
  <c r="I107" i="3"/>
  <c r="J107" i="3"/>
  <c r="K107" i="3"/>
  <c r="H108" i="3"/>
  <c r="I108" i="3"/>
  <c r="J108" i="3"/>
  <c r="K108" i="3"/>
  <c r="H109" i="3"/>
  <c r="I109" i="3"/>
  <c r="J109" i="3"/>
  <c r="K109" i="3"/>
  <c r="H110" i="3"/>
  <c r="I110" i="3"/>
  <c r="J110" i="3"/>
  <c r="K110" i="3"/>
  <c r="H111" i="3"/>
  <c r="I111" i="3"/>
  <c r="J111" i="3"/>
  <c r="K111" i="3"/>
  <c r="H112" i="3"/>
  <c r="I112" i="3"/>
  <c r="J112" i="3"/>
  <c r="K112" i="3"/>
  <c r="H113" i="3"/>
  <c r="I113" i="3"/>
  <c r="J113" i="3"/>
  <c r="K113" i="3"/>
  <c r="H114" i="3"/>
  <c r="I114" i="3"/>
  <c r="J114" i="3"/>
  <c r="K114" i="3"/>
  <c r="H115" i="3"/>
  <c r="I115" i="3"/>
  <c r="J115" i="3"/>
  <c r="K115" i="3"/>
  <c r="H116" i="3"/>
  <c r="I116" i="3"/>
  <c r="J116" i="3"/>
  <c r="K116" i="3"/>
  <c r="H117" i="3"/>
  <c r="I117" i="3"/>
  <c r="J117" i="3"/>
  <c r="K117" i="3"/>
  <c r="H118" i="3"/>
  <c r="I118" i="3"/>
  <c r="J118" i="3"/>
  <c r="K118" i="3"/>
  <c r="H119" i="3"/>
  <c r="I119" i="3"/>
  <c r="J119" i="3"/>
  <c r="K119" i="3"/>
  <c r="H120" i="3"/>
  <c r="I120" i="3"/>
  <c r="J120" i="3"/>
  <c r="K120" i="3"/>
  <c r="H121" i="3"/>
  <c r="I121" i="3"/>
  <c r="J121" i="3"/>
  <c r="K121" i="3"/>
  <c r="H122" i="3"/>
  <c r="I122" i="3"/>
  <c r="J122" i="3"/>
  <c r="K122" i="3"/>
  <c r="H123" i="3"/>
  <c r="I123" i="3"/>
  <c r="J123" i="3"/>
  <c r="K123" i="3"/>
  <c r="H124" i="3"/>
  <c r="I124" i="3"/>
  <c r="J124" i="3"/>
  <c r="K124" i="3"/>
  <c r="H125" i="3"/>
  <c r="I125" i="3"/>
  <c r="J125" i="3"/>
  <c r="K125" i="3"/>
  <c r="H126" i="3"/>
  <c r="I126" i="3"/>
  <c r="J126" i="3"/>
  <c r="K126" i="3"/>
  <c r="H127" i="3"/>
  <c r="I127" i="3"/>
  <c r="J127" i="3"/>
  <c r="K127" i="3"/>
  <c r="H128" i="3"/>
  <c r="I128" i="3"/>
  <c r="J128" i="3"/>
  <c r="K128" i="3"/>
  <c r="H129" i="3"/>
  <c r="I129" i="3"/>
  <c r="J129" i="3"/>
  <c r="K129" i="3"/>
  <c r="H130" i="3"/>
  <c r="I130" i="3"/>
  <c r="J130" i="3"/>
  <c r="K130" i="3"/>
  <c r="H131" i="3"/>
  <c r="I131" i="3"/>
  <c r="J131" i="3"/>
  <c r="K131" i="3"/>
  <c r="H132" i="3"/>
  <c r="I132" i="3"/>
  <c r="J132" i="3"/>
  <c r="K132" i="3"/>
  <c r="H133" i="3"/>
  <c r="I133" i="3"/>
  <c r="J133" i="3"/>
  <c r="K133" i="3"/>
  <c r="H134" i="3"/>
  <c r="I134" i="3"/>
  <c r="J134" i="3"/>
  <c r="K134" i="3"/>
  <c r="H135" i="3"/>
  <c r="I135" i="3"/>
  <c r="J135" i="3"/>
  <c r="K135" i="3"/>
  <c r="H136" i="3"/>
  <c r="I136" i="3"/>
  <c r="J136" i="3"/>
  <c r="K136" i="3"/>
  <c r="H137" i="3"/>
  <c r="I137" i="3"/>
  <c r="J137" i="3"/>
  <c r="K137" i="3"/>
  <c r="H138" i="3"/>
  <c r="I138" i="3"/>
  <c r="J138" i="3"/>
  <c r="K138" i="3"/>
  <c r="H139" i="3"/>
  <c r="I139" i="3"/>
  <c r="J139" i="3"/>
  <c r="K139" i="3"/>
  <c r="H140" i="3"/>
  <c r="I140" i="3"/>
  <c r="J140" i="3"/>
  <c r="K140" i="3"/>
  <c r="H141" i="3"/>
  <c r="I141" i="3"/>
  <c r="J141" i="3"/>
  <c r="K141" i="3"/>
  <c r="H142" i="3"/>
  <c r="I142" i="3"/>
  <c r="J142" i="3"/>
  <c r="K142" i="3"/>
  <c r="H143" i="3"/>
  <c r="I143" i="3"/>
  <c r="J143" i="3"/>
  <c r="K143" i="3"/>
  <c r="H144" i="3"/>
  <c r="I144" i="3"/>
  <c r="J144" i="3"/>
  <c r="K144" i="3"/>
  <c r="H145" i="3"/>
  <c r="I145" i="3"/>
  <c r="J145" i="3"/>
  <c r="K145" i="3"/>
  <c r="H146" i="3"/>
  <c r="I146" i="3"/>
  <c r="J146" i="3"/>
  <c r="K146" i="3"/>
  <c r="H147" i="3"/>
  <c r="I147" i="3"/>
  <c r="J147" i="3"/>
  <c r="K147" i="3"/>
  <c r="H148" i="3"/>
  <c r="I148" i="3"/>
  <c r="J148" i="3"/>
  <c r="K148" i="3"/>
  <c r="H149" i="3"/>
  <c r="I149" i="3"/>
  <c r="J149" i="3"/>
  <c r="K149" i="3"/>
  <c r="H150" i="3"/>
  <c r="I150" i="3"/>
  <c r="J150" i="3"/>
  <c r="K150" i="3"/>
  <c r="D56" i="3" l="1"/>
  <c r="E56" i="3"/>
  <c r="F56" i="3"/>
  <c r="G56" i="3"/>
  <c r="D57" i="3"/>
  <c r="E57" i="3"/>
  <c r="F57" i="3"/>
  <c r="G57" i="3"/>
  <c r="D58" i="3"/>
  <c r="E58" i="3"/>
  <c r="F58" i="3"/>
  <c r="G58" i="3"/>
  <c r="D59" i="3"/>
  <c r="E59" i="3"/>
  <c r="F59" i="3"/>
  <c r="G59" i="3"/>
  <c r="D60" i="3"/>
  <c r="E60" i="3"/>
  <c r="F60" i="3"/>
  <c r="G60" i="3"/>
  <c r="D61" i="3"/>
  <c r="E61" i="3"/>
  <c r="F61" i="3"/>
  <c r="G61" i="3"/>
  <c r="D62" i="3"/>
  <c r="E62" i="3"/>
  <c r="F62" i="3"/>
  <c r="G62" i="3"/>
  <c r="D63" i="3"/>
  <c r="E63" i="3"/>
  <c r="F63" i="3"/>
  <c r="G63" i="3"/>
  <c r="D64" i="3"/>
  <c r="E64" i="3"/>
  <c r="F64" i="3"/>
  <c r="G64" i="3"/>
  <c r="D65" i="3"/>
  <c r="E65" i="3"/>
  <c r="F65" i="3"/>
  <c r="G65" i="3"/>
  <c r="D66" i="3"/>
  <c r="E66" i="3"/>
  <c r="F66" i="3"/>
  <c r="G66" i="3"/>
  <c r="D67" i="3"/>
  <c r="E67" i="3"/>
  <c r="F67" i="3"/>
  <c r="G67" i="3"/>
  <c r="D68" i="3"/>
  <c r="E68" i="3"/>
  <c r="F68" i="3"/>
  <c r="G68" i="3"/>
  <c r="D69" i="3"/>
  <c r="E69" i="3"/>
  <c r="F69" i="3"/>
  <c r="G69" i="3"/>
  <c r="D70" i="3"/>
  <c r="E70" i="3"/>
  <c r="F70" i="3"/>
  <c r="G70" i="3"/>
  <c r="D71" i="3"/>
  <c r="E71" i="3"/>
  <c r="F71" i="3"/>
  <c r="G71" i="3"/>
  <c r="D72" i="3"/>
  <c r="E72" i="3"/>
  <c r="F72" i="3"/>
  <c r="G72" i="3"/>
  <c r="D73" i="3"/>
  <c r="E73" i="3"/>
  <c r="F73" i="3"/>
  <c r="G73" i="3"/>
  <c r="D74" i="3"/>
  <c r="E74" i="3"/>
  <c r="F74" i="3"/>
  <c r="G74" i="3"/>
  <c r="D75" i="3"/>
  <c r="E75" i="3"/>
  <c r="F75" i="3"/>
  <c r="G75" i="3"/>
  <c r="D76" i="3"/>
  <c r="E76" i="3"/>
  <c r="F76" i="3"/>
  <c r="G76" i="3"/>
  <c r="D77" i="3"/>
  <c r="E77" i="3"/>
  <c r="F77" i="3"/>
  <c r="G77" i="3"/>
  <c r="D78" i="3"/>
  <c r="E78" i="3"/>
  <c r="F78" i="3"/>
  <c r="G78" i="3"/>
  <c r="D79" i="3"/>
  <c r="E79" i="3"/>
  <c r="F79" i="3"/>
  <c r="G79" i="3"/>
  <c r="D80" i="3"/>
  <c r="E80" i="3"/>
  <c r="F80" i="3"/>
  <c r="G80" i="3"/>
  <c r="D81" i="3"/>
  <c r="E81" i="3"/>
  <c r="F81" i="3"/>
  <c r="G81" i="3"/>
  <c r="D82" i="3"/>
  <c r="E82" i="3"/>
  <c r="F82" i="3"/>
  <c r="G82" i="3"/>
  <c r="D83" i="3"/>
  <c r="E83" i="3"/>
  <c r="F83" i="3"/>
  <c r="G83" i="3"/>
  <c r="D84" i="3"/>
  <c r="E84" i="3"/>
  <c r="F84" i="3"/>
  <c r="G84" i="3"/>
  <c r="D85" i="3"/>
  <c r="E85" i="3"/>
  <c r="F85" i="3"/>
  <c r="G85" i="3"/>
  <c r="D86" i="3"/>
  <c r="E86" i="3"/>
  <c r="F86" i="3"/>
  <c r="G86" i="3"/>
  <c r="D87" i="3"/>
  <c r="E87" i="3"/>
  <c r="F87" i="3"/>
  <c r="G87" i="3"/>
  <c r="D88" i="3"/>
  <c r="E88" i="3"/>
  <c r="F88" i="3"/>
  <c r="G88" i="3"/>
  <c r="D89" i="3"/>
  <c r="E89" i="3"/>
  <c r="F89" i="3"/>
  <c r="G89" i="3"/>
  <c r="D90" i="3"/>
  <c r="E90" i="3"/>
  <c r="F90" i="3"/>
  <c r="G90" i="3"/>
  <c r="D91" i="3"/>
  <c r="E91" i="3"/>
  <c r="F91" i="3"/>
  <c r="G91" i="3"/>
  <c r="D92" i="3"/>
  <c r="E92" i="3"/>
  <c r="F92" i="3"/>
  <c r="G92" i="3"/>
  <c r="D93" i="3"/>
  <c r="E93" i="3"/>
  <c r="F93" i="3"/>
  <c r="G93" i="3"/>
  <c r="D94" i="3"/>
  <c r="E94" i="3"/>
  <c r="F94" i="3"/>
  <c r="G94" i="3"/>
  <c r="D95" i="3"/>
  <c r="E95" i="3"/>
  <c r="F95" i="3"/>
  <c r="G95" i="3"/>
  <c r="D96" i="3"/>
  <c r="E96" i="3"/>
  <c r="F96" i="3"/>
  <c r="G96" i="3"/>
  <c r="D97" i="3"/>
  <c r="E97" i="3"/>
  <c r="F97" i="3"/>
  <c r="G97" i="3"/>
  <c r="D98" i="3"/>
  <c r="E98" i="3"/>
  <c r="F98" i="3"/>
  <c r="G98" i="3"/>
  <c r="D99" i="3"/>
  <c r="E99" i="3"/>
  <c r="F99" i="3"/>
  <c r="G99" i="3"/>
  <c r="D100" i="3"/>
  <c r="E100" i="3"/>
  <c r="F100" i="3"/>
  <c r="G100" i="3"/>
  <c r="D101" i="3"/>
  <c r="E101" i="3"/>
  <c r="F101" i="3"/>
  <c r="G101" i="3"/>
  <c r="D102" i="3"/>
  <c r="E102" i="3"/>
  <c r="F102" i="3"/>
  <c r="G102" i="3"/>
  <c r="D104" i="3"/>
  <c r="E104" i="3"/>
  <c r="F104" i="3"/>
  <c r="G104" i="3"/>
  <c r="D105" i="3"/>
  <c r="E105" i="3"/>
  <c r="F105" i="3"/>
  <c r="G105" i="3"/>
  <c r="D106" i="3"/>
  <c r="E106" i="3"/>
  <c r="F106" i="3"/>
  <c r="G106" i="3"/>
  <c r="D107" i="3"/>
  <c r="E107" i="3"/>
  <c r="F107" i="3"/>
  <c r="G107" i="3"/>
  <c r="D108" i="3"/>
  <c r="E108" i="3"/>
  <c r="F108" i="3"/>
  <c r="G108" i="3"/>
  <c r="D109" i="3"/>
  <c r="E109" i="3"/>
  <c r="F109" i="3"/>
  <c r="G109" i="3"/>
  <c r="D110" i="3"/>
  <c r="E110" i="3"/>
  <c r="F110" i="3"/>
  <c r="G110" i="3"/>
  <c r="D111" i="3"/>
  <c r="E111" i="3"/>
  <c r="F111" i="3"/>
  <c r="G111" i="3"/>
  <c r="D112" i="3"/>
  <c r="E112" i="3"/>
  <c r="F112" i="3"/>
  <c r="G112" i="3"/>
  <c r="D113" i="3"/>
  <c r="E113" i="3"/>
  <c r="F113" i="3"/>
  <c r="G113" i="3"/>
  <c r="D114" i="3"/>
  <c r="E114" i="3"/>
  <c r="F114" i="3"/>
  <c r="G114" i="3"/>
  <c r="D115" i="3"/>
  <c r="E115" i="3"/>
  <c r="F115" i="3"/>
  <c r="G115" i="3"/>
  <c r="D116" i="3"/>
  <c r="E116" i="3"/>
  <c r="F116" i="3"/>
  <c r="G116" i="3"/>
  <c r="D117" i="3"/>
  <c r="E117" i="3"/>
  <c r="F117" i="3"/>
  <c r="G117" i="3"/>
  <c r="D118" i="3"/>
  <c r="E118" i="3"/>
  <c r="F118" i="3"/>
  <c r="G118" i="3"/>
  <c r="D119" i="3"/>
  <c r="E119" i="3"/>
  <c r="F119" i="3"/>
  <c r="G119" i="3"/>
  <c r="D120" i="3"/>
  <c r="E120" i="3"/>
  <c r="F120" i="3"/>
  <c r="G120" i="3"/>
  <c r="D121" i="3"/>
  <c r="E121" i="3"/>
  <c r="F121" i="3"/>
  <c r="G121" i="3"/>
  <c r="D122" i="3"/>
  <c r="E122" i="3"/>
  <c r="F122" i="3"/>
  <c r="G122" i="3"/>
  <c r="D123" i="3"/>
  <c r="E123" i="3"/>
  <c r="F123" i="3"/>
  <c r="G123" i="3"/>
  <c r="D124" i="3"/>
  <c r="E124" i="3"/>
  <c r="F124" i="3"/>
  <c r="G124" i="3"/>
  <c r="D125" i="3"/>
  <c r="E125" i="3"/>
  <c r="F125" i="3"/>
  <c r="G125" i="3"/>
  <c r="D126" i="3"/>
  <c r="E126" i="3"/>
  <c r="F126" i="3"/>
  <c r="G126" i="3"/>
  <c r="D127" i="3"/>
  <c r="E127" i="3"/>
  <c r="F127" i="3"/>
  <c r="G127" i="3"/>
  <c r="D128" i="3"/>
  <c r="E128" i="3"/>
  <c r="F128" i="3"/>
  <c r="G128" i="3"/>
  <c r="D129" i="3"/>
  <c r="E129" i="3"/>
  <c r="F129" i="3"/>
  <c r="G129" i="3"/>
  <c r="D130" i="3"/>
  <c r="E130" i="3"/>
  <c r="F130" i="3"/>
  <c r="G130" i="3"/>
  <c r="D131" i="3"/>
  <c r="E131" i="3"/>
  <c r="F131" i="3"/>
  <c r="G131" i="3"/>
  <c r="D132" i="3"/>
  <c r="E132" i="3"/>
  <c r="F132" i="3"/>
  <c r="G132" i="3"/>
  <c r="D133" i="3"/>
  <c r="E133" i="3"/>
  <c r="F133" i="3"/>
  <c r="G133" i="3"/>
  <c r="D134" i="3"/>
  <c r="E134" i="3"/>
  <c r="F134" i="3"/>
  <c r="G134" i="3"/>
  <c r="D135" i="3"/>
  <c r="E135" i="3"/>
  <c r="F135" i="3"/>
  <c r="G135" i="3"/>
  <c r="D136" i="3"/>
  <c r="E136" i="3"/>
  <c r="F136" i="3"/>
  <c r="G136" i="3"/>
  <c r="D137" i="3"/>
  <c r="E137" i="3"/>
  <c r="F137" i="3"/>
  <c r="G137" i="3"/>
  <c r="D138" i="3"/>
  <c r="E138" i="3"/>
  <c r="F138" i="3"/>
  <c r="G138" i="3"/>
  <c r="D139" i="3"/>
  <c r="E139" i="3"/>
  <c r="F139" i="3"/>
  <c r="G139" i="3"/>
  <c r="D140" i="3"/>
  <c r="E140" i="3"/>
  <c r="F140" i="3"/>
  <c r="G140" i="3"/>
  <c r="D141" i="3"/>
  <c r="E141" i="3"/>
  <c r="F141" i="3"/>
  <c r="G141" i="3"/>
  <c r="D142" i="3"/>
  <c r="E142" i="3"/>
  <c r="F142" i="3"/>
  <c r="G142" i="3"/>
  <c r="D143" i="3"/>
  <c r="E143" i="3"/>
  <c r="F143" i="3"/>
  <c r="G143" i="3"/>
  <c r="D144" i="3"/>
  <c r="E144" i="3"/>
  <c r="F144" i="3"/>
  <c r="G144" i="3"/>
  <c r="D145" i="3"/>
  <c r="E145" i="3"/>
  <c r="F145" i="3"/>
  <c r="G145" i="3"/>
  <c r="D146" i="3"/>
  <c r="E146" i="3"/>
  <c r="F146" i="3"/>
  <c r="G146" i="3"/>
  <c r="D147" i="3"/>
  <c r="E147" i="3"/>
  <c r="F147" i="3"/>
  <c r="G147" i="3"/>
  <c r="D148" i="3"/>
  <c r="E148" i="3"/>
  <c r="F148" i="3"/>
  <c r="G148" i="3"/>
  <c r="D149" i="3"/>
  <c r="E149" i="3"/>
  <c r="F149" i="3"/>
  <c r="G149" i="3"/>
  <c r="D150" i="3"/>
  <c r="E150" i="3"/>
  <c r="F150" i="3"/>
  <c r="G150" i="3"/>
  <c r="C105" i="3" l="1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04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56" i="3"/>
</calcChain>
</file>

<file path=xl/sharedStrings.xml><?xml version="1.0" encoding="utf-8"?>
<sst xmlns="http://schemas.openxmlformats.org/spreadsheetml/2006/main" count="660" uniqueCount="251">
  <si>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</si>
  <si>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</si>
  <si>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</si>
  <si>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</si>
  <si>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</si>
  <si>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</si>
  <si>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</si>
  <si>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</si>
  <si>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</si>
  <si>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</si>
  <si>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</si>
  <si>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</si>
  <si>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</si>
  <si>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</si>
  <si>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</si>
  <si>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</si>
  <si>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</si>
  <si>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</si>
  <si>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</si>
  <si>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region</t>
  </si>
  <si>
    <t>value</t>
  </si>
  <si>
    <t>commodity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</si>
  <si>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</si>
  <si>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</si>
  <si>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</si>
  <si>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</si>
  <si>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</si>
  <si>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</si>
  <si>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</si>
  <si>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</si>
  <si>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</si>
  <si>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</si>
  <si>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</si>
  <si>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</si>
  <si>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</si>
  <si>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</si>
  <si>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</si>
  <si>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</si>
  <si>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</si>
  <si>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</si>
  <si>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</si>
  <si>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</si>
  <si>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</si>
  <si>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</si>
  <si>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</si>
  <si>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</si>
  <si>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</si>
  <si>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</si>
  <si>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</si>
  <si>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</si>
  <si>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</si>
  <si>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</si>
  <si>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</si>
  <si>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</si>
  <si>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</si>
  <si>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</si>
  <si>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</si>
  <si>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</si>
  <si>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</si>
  <si>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</si>
  <si>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</si>
  <si>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</si>
  <si>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</si>
  <si>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</si>
  <si>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</si>
  <si>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</si>
  <si>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</si>
  <si>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</si>
  <si>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</si>
  <si>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</si>
  <si>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</si>
  <si>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</si>
  <si>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</si>
  <si>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</si>
  <si>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</si>
  <si>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</si>
  <si>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</si>
  <si>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</si>
  <si>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</si>
  <si>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</si>
  <si>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</si>
  <si>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</si>
  <si>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</si>
  <si>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</si>
  <si>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</si>
  <si>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</si>
  <si>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</si>
  <si>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</si>
  <si>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unknown/not specified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</si>
  <si>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</si>
  <si>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</si>
  <si>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</si>
  <si>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</si>
  <si>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</si>
  <si>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</si>
  <si>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</si>
  <si>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</si>
  <si>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</si>
  <si>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</si>
  <si>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</si>
  <si>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</si>
  <si>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</si>
  <si>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</si>
  <si>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</si>
  <si>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</si>
  <si>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</si>
  <si>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</si>
  <si>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</si>
  <si>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</si>
  <si>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Material composition</t>
  </si>
  <si>
    <t>Mass per area</t>
  </si>
  <si>
    <t>major construction materials</t>
  </si>
  <si>
    <t>engineering_material</t>
  </si>
  <si>
    <t>age-cohort</t>
  </si>
  <si>
    <t>stone</t>
  </si>
  <si>
    <t>glass</t>
  </si>
  <si>
    <t>m2</t>
  </si>
  <si>
    <t>Baumaterialgruppen</t>
  </si>
  <si>
    <t>Summe</t>
  </si>
  <si>
    <t xml:space="preserve"> t</t>
  </si>
  <si>
    <t>Standardbeton</t>
  </si>
  <si>
    <t>Leichtbeton</t>
  </si>
  <si>
    <t>Ziegelsteine</t>
  </si>
  <si>
    <t>Ziegelsteine mit Dämmung</t>
  </si>
  <si>
    <t>Ziegeldeckung</t>
  </si>
  <si>
    <t>Asbestzementplatten</t>
  </si>
  <si>
    <t>Asbesthaltige Dachdeckung</t>
  </si>
  <si>
    <t>Kalkhaltige Putze, Mörtel</t>
  </si>
  <si>
    <t>Gips-/anhydrithaltige Putze, Mörtel</t>
  </si>
  <si>
    <t>Ton-/lehmhaltige Putze, Mörtel</t>
  </si>
  <si>
    <t>Putze, Mörtel mit synthetischen Anteilen</t>
  </si>
  <si>
    <t>Kalkhaltige Estriche</t>
  </si>
  <si>
    <t>Gips-/anhydrithaltige Estriche</t>
  </si>
  <si>
    <t>Trockenestrich (gips-/anhydrithaltig)</t>
  </si>
  <si>
    <t>Estriche mit synthetischen Anteilen</t>
  </si>
  <si>
    <t>Kalksandsteine</t>
  </si>
  <si>
    <t>Porenbetonsteine</t>
  </si>
  <si>
    <t>Betonsteine</t>
  </si>
  <si>
    <t>Lehmsteine</t>
  </si>
  <si>
    <t>Gips-/Gipskartonplatten</t>
  </si>
  <si>
    <t>Mineralische Bauplatten</t>
  </si>
  <si>
    <t>Mineralische Wärmedämmstoffe</t>
  </si>
  <si>
    <t>Betondachsteindeckung</t>
  </si>
  <si>
    <t>Faserzementdeckung</t>
  </si>
  <si>
    <t>Schieferdeckung</t>
  </si>
  <si>
    <t>Substratschicht ("Gründach")</t>
  </si>
  <si>
    <t>Mineralische Schüttungen</t>
  </si>
  <si>
    <t>Glas</t>
  </si>
  <si>
    <t>Natursteine</t>
  </si>
  <si>
    <t>Sonstige mineralische Baustoffe</t>
  </si>
  <si>
    <t>Schnittholz</t>
  </si>
  <si>
    <t>Verarbeitetes Holz</t>
  </si>
  <si>
    <t>Nachwachsende Wärmedämmstoffe</t>
  </si>
  <si>
    <t>Stroh-/Schilfdeckung</t>
  </si>
  <si>
    <t>Sonstige Materialien (nicht mineralisch)</t>
  </si>
  <si>
    <t>Erdölbasierte Wärmedämmstoffe</t>
  </si>
  <si>
    <t>Kunststoffdachdeckung</t>
  </si>
  <si>
    <t>Erdölbasierte Beläge, Dichtungsbahnen</t>
  </si>
  <si>
    <t>Bitumendachdeckung</t>
  </si>
  <si>
    <t>Bitumenhaltige Beläge, Dichtungsbahnen</t>
  </si>
  <si>
    <t>Metalldachdeckung</t>
  </si>
  <si>
    <t>Eisenmetalle</t>
  </si>
  <si>
    <t>Aluminiumhaltige Beläge, Dichtungsbahnen</t>
  </si>
  <si>
    <t>Aluminium</t>
  </si>
  <si>
    <t>Kupfer</t>
  </si>
  <si>
    <t>Sonstige Nichteisenmetalle</t>
  </si>
  <si>
    <t>concrete, standard</t>
  </si>
  <si>
    <t>concrete, lightweight</t>
  </si>
  <si>
    <t>bricks</t>
  </si>
  <si>
    <t>bricks with insulation</t>
  </si>
  <si>
    <t>roof tiles</t>
  </si>
  <si>
    <t>plastering and mortar based on gypsum and anhydrite</t>
  </si>
  <si>
    <t>plastering and mortar with synthetic components</t>
  </si>
  <si>
    <t>screed, based on gypsum and anhydrite</t>
  </si>
  <si>
    <t>dry screed, containing gypsum and anhydrite</t>
  </si>
  <si>
    <t>screed with synthetic components</t>
  </si>
  <si>
    <t>concrete blocks</t>
  </si>
  <si>
    <t>gypsum plasterboard</t>
  </si>
  <si>
    <t>mineralic building boards</t>
  </si>
  <si>
    <t>insulation material, mineralic</t>
  </si>
  <si>
    <t>roofing tile, concrete</t>
  </si>
  <si>
    <t>roofing tile, fibre cement</t>
  </si>
  <si>
    <t>roofing tile, slate</t>
  </si>
  <si>
    <t>other mineralic construction material</t>
  </si>
  <si>
    <t>sawnwood</t>
  </si>
  <si>
    <t>processed wood</t>
  </si>
  <si>
    <t>bio-based insulation material</t>
  </si>
  <si>
    <t>roof cover, reed or straw</t>
  </si>
  <si>
    <t>other non-mineralic construction materials</t>
  </si>
  <si>
    <t>insulation material, petroleum-based</t>
  </si>
  <si>
    <t>roof cover made of plastics</t>
  </si>
  <si>
    <t>sealing sheeting, petroleum-based</t>
  </si>
  <si>
    <t>roof cover made of bitumen</t>
  </si>
  <si>
    <t>ferrous metals</t>
  </si>
  <si>
    <t>aluminium</t>
  </si>
  <si>
    <t>copper</t>
  </si>
  <si>
    <t>other nonferrous metals</t>
  </si>
  <si>
    <t>Germany</t>
  </si>
  <si>
    <t>ca. 2020</t>
  </si>
  <si>
    <t>gross building volume (m³)</t>
  </si>
  <si>
    <t>per volume</t>
  </si>
  <si>
    <t>per area</t>
  </si>
  <si>
    <t>Construction material groups</t>
  </si>
  <si>
    <t>Publicly available dataset, static web page</t>
  </si>
  <si>
    <t xml:space="preserve">Leibniz-Institut für ökologische Raumentwicklung e. V. </t>
  </si>
  <si>
    <t>xlsx spreadsheet</t>
  </si>
  <si>
    <t>Stefan Pauliuk</t>
  </si>
  <si>
    <t>added age-cohort aspect</t>
  </si>
  <si>
    <t>Value(r,c,m,g)</t>
  </si>
  <si>
    <t>[Layer] measuring [data type] of [Aspect 3] in [Aspect 4] in [Aspect 1] built in [Aspect 2] is [Value].</t>
  </si>
  <si>
    <t>use phase</t>
  </si>
  <si>
    <t>one aggregate process</t>
  </si>
  <si>
    <t>one representative value</t>
  </si>
  <si>
    <t>Representative (synthetic) sample, aggregated from survey results</t>
  </si>
  <si>
    <t>t</t>
  </si>
  <si>
    <t>Materials divided by the gross floor area to calculate material intensity</t>
  </si>
  <si>
    <t>country sample</t>
  </si>
  <si>
    <t>46 materials</t>
  </si>
  <si>
    <t>3_MC_residential_buildings_Germany_per_area_IOER</t>
  </si>
  <si>
    <t>https://ioer-isbe.de/en/resources/construction-data/residential-buildings</t>
  </si>
  <si>
    <t>residential buildings</t>
  </si>
  <si>
    <t>13 different building types/groups of residential buildings</t>
  </si>
  <si>
    <t>material content of residential buildings in Germany, average values based on a sample of real projects from the BKI-Database</t>
  </si>
  <si>
    <t>material; material content; residential buildings; Germany; buildings; building materials; construction materials; useful floor area</t>
  </si>
  <si>
    <t xml:space="preserve">data converted from material content of a typical building, divided by its useful floor area ('Nutzungsfläche'). </t>
  </si>
  <si>
    <t>useful floor area (m²)</t>
  </si>
  <si>
    <t>sand-lime bricks</t>
  </si>
  <si>
    <t>calcareous screeds</t>
  </si>
  <si>
    <t>plastering and mortar based on clay and loam</t>
  </si>
  <si>
    <t>asbestos roofing</t>
  </si>
  <si>
    <t>calcareous plaster mortar</t>
  </si>
  <si>
    <t>aerated concrete blocks</t>
  </si>
  <si>
    <t>mud bricks</t>
  </si>
  <si>
    <t>substrate layer (green roof)</t>
  </si>
  <si>
    <t>mineral fillings</t>
  </si>
  <si>
    <t>bituminous coverings, waterproofing membranes</t>
  </si>
  <si>
    <t>metal roofing</t>
  </si>
  <si>
    <t>coverings containing aluminum, sealing membranes</t>
  </si>
  <si>
    <t>single-family house</t>
  </si>
  <si>
    <t>1979-1990</t>
  </si>
  <si>
    <t>1949-1978</t>
  </si>
  <si>
    <t>all years</t>
  </si>
  <si>
    <t>before 1948</t>
  </si>
  <si>
    <t>multi-family houses</t>
  </si>
  <si>
    <t>before 1919</t>
  </si>
  <si>
    <t>1919-1948</t>
  </si>
  <si>
    <t>after 1990</t>
  </si>
  <si>
    <t>Fmr German Democratic Republic</t>
  </si>
  <si>
    <t>West Germany, Federal Republic of Germany, 1949-1990</t>
  </si>
  <si>
    <t>Mass per area measuring material composition of standard concrete in single-family house in Germany built in 1949-1978 is 0.812 t/m².</t>
  </si>
  <si>
    <t>asbestos cement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</si>
</sst>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left"/>
    </xf>
    <xf numFmtId="0" fontId="11" fillId="0" borderId="11" xfId="0" applyFont="1" applyBorder="1"/>
    <xf numFmtId="3" fontId="1" fillId="0" borderId="0" xfId="0" applyNumberFormat="1" applyFont="1"/>
    <xf numFmtId="0" fontId="0" fillId="2" borderId="0" xfId="0" applyFont="1" applyFill="1" applyBorder="1"/>
    <xf numFmtId="0" fontId="1" fillId="0" borderId="0" xfId="0" applyFont="1" applyFill="1" applyBorder="1"/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opLeftCell="A34" zoomScale="80" zoomScaleNormal="80" workbookViewId="0">
      <selection activeCell="D5" sqref="D5:D69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0" width="13.83984375" customWidth="1"/>
    <col min="11" max="11" width="15.47265625" bestFit="1" customWidth="1"/>
  </cols>
  <sheetData>
    <row r="1" spans="1:12" x14ac:dyDescent="0.55000000000000004">
      <c r="E1" s="1"/>
      <c r="H1" s="9"/>
    </row>
    <row r="2" spans="1:12" ht="15.6" x14ac:dyDescent="0.6">
      <c r="B2" s="86" t="s">
        <v>22</v>
      </c>
      <c r="C2" s="87"/>
      <c r="D2" s="88"/>
      <c r="E2" s="1"/>
      <c r="F2" s="86" t="s">
        <v>23</v>
      </c>
      <c r="G2" s="87"/>
      <c r="H2" s="87"/>
      <c r="I2" s="87"/>
      <c r="J2" s="87"/>
      <c r="K2" s="88"/>
      <c r="L2" s="1"/>
    </row>
    <row r="3" spans="1:12" x14ac:dyDescent="0.55000000000000004">
      <c r="A3" s="12"/>
      <c r="B3" s="13"/>
      <c r="C3" s="14" t="s">
        <v>24</v>
      </c>
      <c r="D3" s="15" t="s">
        <v>25</v>
      </c>
      <c r="E3" s="1"/>
      <c r="L3" s="1"/>
    </row>
    <row r="4" spans="1:12" x14ac:dyDescent="0.55000000000000004">
      <c r="A4" s="12">
        <v>1</v>
      </c>
      <c r="B4" s="89" t="s">
        <v>26</v>
      </c>
      <c r="C4" s="16" t="s">
        <v>27</v>
      </c>
      <c r="D4" s="17" t="s">
        <v>28</v>
      </c>
      <c r="E4" s="1" t="s">
        <v>14</v>
      </c>
      <c r="F4" s="18" t="s">
        <v>29</v>
      </c>
      <c r="G4" s="19"/>
      <c r="H4" s="19"/>
      <c r="I4" s="19"/>
      <c r="J4" s="19"/>
      <c r="K4" s="20"/>
      <c r="L4" s="1"/>
    </row>
    <row r="5" spans="1:12" x14ac:dyDescent="0.55000000000000004">
      <c r="A5" s="12">
        <v>2</v>
      </c>
      <c r="B5" s="90"/>
      <c r="C5" s="21" t="s">
        <v>30</v>
      </c>
      <c r="D5" s="22" t="s">
        <v>218</v>
      </c>
      <c r="E5" s="1" t="s">
        <v>14</v>
      </c>
      <c r="F5" s="23"/>
      <c r="G5" s="24"/>
      <c r="H5" s="24"/>
      <c r="I5" s="24"/>
      <c r="J5" s="24"/>
      <c r="K5" s="25"/>
      <c r="L5" s="1"/>
    </row>
    <row r="6" spans="1:12" x14ac:dyDescent="0.55000000000000004">
      <c r="A6" s="12">
        <v>3</v>
      </c>
      <c r="B6" s="26"/>
      <c r="C6" s="21" t="s">
        <v>31</v>
      </c>
      <c r="D6" s="22" t="s">
        <v>16</v>
      </c>
      <c r="E6" s="1" t="s">
        <v>14</v>
      </c>
      <c r="F6" s="27" t="s">
        <v>0</v>
      </c>
      <c r="G6" s="28" t="s">
        <v>8</v>
      </c>
      <c r="H6" s="29" t="s">
        <v>33</v>
      </c>
      <c r="I6" s="29" t="s">
        <v>34</v>
      </c>
      <c r="J6" s="24"/>
      <c r="K6" s="25"/>
      <c r="L6" s="1"/>
    </row>
    <row r="7" spans="1:12" x14ac:dyDescent="0.55000000000000004">
      <c r="A7" s="12">
        <v>4</v>
      </c>
      <c r="B7" s="91" t="s">
        <v>35</v>
      </c>
      <c r="C7" s="21" t="s">
        <v>36</v>
      </c>
      <c r="D7" s="22" t="s">
        <v>32</v>
      </c>
      <c r="E7" s="1" t="s">
        <v>14</v>
      </c>
      <c r="F7" s="27" t="s">
        <v>1</v>
      </c>
      <c r="G7" s="30" t="s">
        <v>15</v>
      </c>
      <c r="H7" s="31" t="s">
        <v>214</v>
      </c>
      <c r="I7" s="31" t="s">
        <v>116</v>
      </c>
      <c r="J7" s="24"/>
      <c r="K7" s="25"/>
      <c r="L7" s="1"/>
    </row>
    <row r="8" spans="1:12" x14ac:dyDescent="0.55000000000000004">
      <c r="A8" s="12">
        <v>5</v>
      </c>
      <c r="B8" s="91"/>
      <c r="C8" s="21" t="s">
        <v>37</v>
      </c>
      <c r="D8" s="22">
        <v>3</v>
      </c>
      <c r="E8" s="1" t="s">
        <v>14</v>
      </c>
      <c r="F8" s="27" t="s">
        <v>3</v>
      </c>
      <c r="G8" s="30" t="s">
        <v>15</v>
      </c>
      <c r="H8" s="32" t="s">
        <v>16</v>
      </c>
      <c r="I8" s="32"/>
      <c r="J8" s="24"/>
      <c r="K8" s="25"/>
      <c r="L8" s="1"/>
    </row>
    <row r="9" spans="1:12" x14ac:dyDescent="0.55000000000000004">
      <c r="A9" s="12">
        <v>6</v>
      </c>
      <c r="B9" s="91"/>
      <c r="C9" s="21" t="s">
        <v>38</v>
      </c>
      <c r="D9" s="22" t="s">
        <v>109</v>
      </c>
      <c r="E9" s="1" t="s">
        <v>14</v>
      </c>
      <c r="F9" s="27" t="s">
        <v>4</v>
      </c>
      <c r="G9" s="30" t="s">
        <v>15</v>
      </c>
      <c r="H9" s="32" t="s">
        <v>16</v>
      </c>
      <c r="I9" s="32"/>
      <c r="J9" s="24"/>
      <c r="K9" s="25"/>
      <c r="L9" s="1"/>
    </row>
    <row r="10" spans="1:12" x14ac:dyDescent="0.55000000000000004">
      <c r="A10" s="12">
        <v>7</v>
      </c>
      <c r="B10" s="91"/>
      <c r="C10" s="21" t="s">
        <v>39</v>
      </c>
      <c r="D10" s="22" t="s">
        <v>110</v>
      </c>
      <c r="E10" s="1" t="s">
        <v>14</v>
      </c>
      <c r="F10" s="33" t="s">
        <v>2</v>
      </c>
      <c r="G10" s="34" t="s">
        <v>9</v>
      </c>
      <c r="H10" s="35" t="s">
        <v>7</v>
      </c>
      <c r="I10" s="75">
        <v>46</v>
      </c>
      <c r="J10" s="35" t="s">
        <v>10</v>
      </c>
      <c r="K10" s="75">
        <v>13</v>
      </c>
      <c r="L10" s="1"/>
    </row>
    <row r="11" spans="1:12" x14ac:dyDescent="0.55000000000000004">
      <c r="A11" s="12">
        <v>8</v>
      </c>
      <c r="B11" s="92" t="s">
        <v>40</v>
      </c>
      <c r="C11" s="36" t="s">
        <v>41</v>
      </c>
      <c r="D11" s="22" t="s">
        <v>210</v>
      </c>
      <c r="E11" s="1" t="s">
        <v>14</v>
      </c>
      <c r="F11" s="33" t="s">
        <v>11</v>
      </c>
      <c r="G11" s="37" t="s">
        <v>17</v>
      </c>
      <c r="H11" s="37" t="s">
        <v>12</v>
      </c>
      <c r="I11" s="37" t="s">
        <v>18</v>
      </c>
      <c r="J11" s="37" t="s">
        <v>5</v>
      </c>
      <c r="K11" s="38" t="s">
        <v>6</v>
      </c>
      <c r="L11" s="1"/>
    </row>
    <row r="12" spans="1:12" x14ac:dyDescent="0.55000000000000004">
      <c r="A12" s="12">
        <v>9</v>
      </c>
      <c r="B12" s="93"/>
      <c r="C12" s="39" t="s">
        <v>42</v>
      </c>
      <c r="D12" s="22" t="s">
        <v>211</v>
      </c>
      <c r="E12" s="1" t="s">
        <v>14</v>
      </c>
      <c r="F12" s="40" t="s">
        <v>112</v>
      </c>
      <c r="G12" s="41">
        <v>1</v>
      </c>
      <c r="H12" s="30" t="s">
        <v>21</v>
      </c>
      <c r="I12" s="41">
        <v>1</v>
      </c>
      <c r="J12" s="30" t="s">
        <v>13</v>
      </c>
      <c r="K12" s="42" t="s">
        <v>20</v>
      </c>
      <c r="L12" s="1"/>
    </row>
    <row r="13" spans="1:12" x14ac:dyDescent="0.55000000000000004">
      <c r="A13" s="12">
        <v>10</v>
      </c>
      <c r="B13" s="93"/>
      <c r="C13" s="39" t="s">
        <v>43</v>
      </c>
      <c r="D13" s="22" t="s">
        <v>220</v>
      </c>
      <c r="E13" s="1" t="s">
        <v>14</v>
      </c>
      <c r="F13" s="64"/>
      <c r="G13" s="45"/>
      <c r="H13" s="79" t="s">
        <v>113</v>
      </c>
      <c r="I13" s="41">
        <v>1</v>
      </c>
      <c r="J13" s="43" t="s">
        <v>14</v>
      </c>
      <c r="K13" s="44" t="s">
        <v>14</v>
      </c>
      <c r="L13" s="1"/>
    </row>
    <row r="14" spans="1:12" x14ac:dyDescent="0.55000000000000004">
      <c r="A14" s="12">
        <v>11</v>
      </c>
      <c r="B14" s="93"/>
      <c r="C14" s="39" t="s">
        <v>44</v>
      </c>
      <c r="D14" s="22" t="s">
        <v>221</v>
      </c>
      <c r="E14" s="1" t="s">
        <v>14</v>
      </c>
      <c r="F14" s="64"/>
      <c r="G14" s="45"/>
      <c r="H14" s="79" t="s">
        <v>19</v>
      </c>
      <c r="I14" s="41">
        <v>1</v>
      </c>
      <c r="J14" s="48"/>
      <c r="K14" s="49"/>
      <c r="L14" s="1"/>
    </row>
    <row r="15" spans="1:12" x14ac:dyDescent="0.55000000000000004">
      <c r="A15" s="12">
        <v>12</v>
      </c>
      <c r="B15" s="93"/>
      <c r="C15" s="39" t="s">
        <v>45</v>
      </c>
      <c r="D15" s="22" t="s">
        <v>111</v>
      </c>
      <c r="E15" s="1" t="s">
        <v>14</v>
      </c>
      <c r="F15" s="64"/>
      <c r="G15" s="45"/>
      <c r="H15" s="46"/>
      <c r="I15" s="47"/>
      <c r="J15" s="48"/>
      <c r="K15" s="49"/>
      <c r="L15" s="1"/>
    </row>
    <row r="16" spans="1:12" x14ac:dyDescent="0.55000000000000004">
      <c r="A16" s="12">
        <v>13</v>
      </c>
      <c r="B16" s="93"/>
      <c r="C16" s="39" t="s">
        <v>46</v>
      </c>
      <c r="D16" s="22" t="s">
        <v>217</v>
      </c>
      <c r="E16" s="1" t="s">
        <v>14</v>
      </c>
      <c r="F16" s="64"/>
      <c r="G16" s="50"/>
      <c r="H16" s="46"/>
      <c r="I16" s="47"/>
      <c r="J16" s="51"/>
      <c r="K16" s="52"/>
      <c r="L16" s="1"/>
    </row>
    <row r="17" spans="1:29" x14ac:dyDescent="0.55000000000000004">
      <c r="A17" s="12">
        <v>14</v>
      </c>
      <c r="B17" s="93"/>
      <c r="C17" s="39" t="s">
        <v>47</v>
      </c>
      <c r="D17" s="22" t="s">
        <v>197</v>
      </c>
      <c r="E17" s="1" t="s">
        <v>14</v>
      </c>
      <c r="F17" s="65"/>
      <c r="G17" s="66"/>
      <c r="H17" s="24"/>
      <c r="I17" s="24"/>
      <c r="J17" s="24"/>
      <c r="K17" s="53"/>
      <c r="L17" s="1"/>
    </row>
    <row r="18" spans="1:29" x14ac:dyDescent="0.55000000000000004">
      <c r="A18" s="12">
        <v>15</v>
      </c>
      <c r="B18" s="93"/>
      <c r="C18" s="39" t="s">
        <v>48</v>
      </c>
      <c r="D18" s="22" t="s">
        <v>216</v>
      </c>
      <c r="E18" s="1" t="s">
        <v>14</v>
      </c>
      <c r="F18" s="65"/>
      <c r="G18" s="66"/>
      <c r="H18" s="24"/>
      <c r="I18" s="24"/>
      <c r="J18" s="24"/>
      <c r="K18" s="53"/>
      <c r="L18" s="1"/>
    </row>
    <row r="19" spans="1:29" x14ac:dyDescent="0.55000000000000004">
      <c r="A19" s="12">
        <v>16</v>
      </c>
      <c r="B19" s="93"/>
      <c r="C19" s="39" t="s">
        <v>49</v>
      </c>
      <c r="D19" s="22" t="s">
        <v>198</v>
      </c>
      <c r="E19" s="1" t="s">
        <v>14</v>
      </c>
      <c r="F19" s="65"/>
      <c r="G19" s="66"/>
      <c r="H19" s="24"/>
      <c r="I19" s="24"/>
      <c r="J19" s="24"/>
      <c r="K19" s="53"/>
      <c r="L19" s="1"/>
    </row>
    <row r="20" spans="1:29" x14ac:dyDescent="0.55000000000000004">
      <c r="A20" s="12">
        <v>17</v>
      </c>
      <c r="B20" s="93"/>
      <c r="C20" s="39" t="s">
        <v>50</v>
      </c>
      <c r="D20" s="22" t="s">
        <v>212</v>
      </c>
      <c r="E20" s="1" t="s">
        <v>14</v>
      </c>
      <c r="F20" s="65"/>
      <c r="G20" s="66"/>
      <c r="H20" s="24"/>
      <c r="I20" s="24"/>
      <c r="J20" s="24"/>
      <c r="K20" s="53"/>
      <c r="L20" s="1"/>
    </row>
    <row r="21" spans="1:29" x14ac:dyDescent="0.55000000000000004">
      <c r="A21" s="12">
        <v>18</v>
      </c>
      <c r="B21" s="94" t="s">
        <v>51</v>
      </c>
      <c r="C21" s="39" t="s">
        <v>52</v>
      </c>
      <c r="D21" s="22" t="s">
        <v>222</v>
      </c>
      <c r="E21" s="1" t="s">
        <v>14</v>
      </c>
      <c r="F21" s="54"/>
      <c r="G21" s="55"/>
      <c r="H21" s="55"/>
      <c r="I21" s="55"/>
      <c r="J21" s="55"/>
      <c r="K21" s="56"/>
      <c r="L21" s="1"/>
    </row>
    <row r="22" spans="1:29" x14ac:dyDescent="0.55000000000000004">
      <c r="A22" s="12">
        <v>19</v>
      </c>
      <c r="B22" s="94"/>
      <c r="C22" s="39" t="s">
        <v>53</v>
      </c>
      <c r="D22" s="22" t="s">
        <v>223</v>
      </c>
      <c r="E22" s="1" t="s">
        <v>14</v>
      </c>
      <c r="G22" s="5"/>
      <c r="H22" s="5"/>
      <c r="L22" s="1"/>
    </row>
    <row r="23" spans="1:29" x14ac:dyDescent="0.55000000000000004">
      <c r="A23" s="12">
        <v>20</v>
      </c>
      <c r="B23" s="94"/>
      <c r="C23" s="36" t="s">
        <v>54</v>
      </c>
      <c r="D23" s="22" t="s">
        <v>213</v>
      </c>
      <c r="E23" s="1" t="s">
        <v>14</v>
      </c>
      <c r="G23" s="5"/>
      <c r="H23" s="5"/>
      <c r="L23" s="1"/>
    </row>
    <row r="24" spans="1:29" x14ac:dyDescent="0.55000000000000004">
      <c r="A24" s="12">
        <v>21</v>
      </c>
      <c r="B24" s="94"/>
      <c r="C24" s="36" t="s">
        <v>55</v>
      </c>
      <c r="D24" s="22">
        <v>598</v>
      </c>
      <c r="E24" s="1" t="s">
        <v>14</v>
      </c>
      <c r="G24" s="5"/>
      <c r="H24" s="4"/>
      <c r="L24" s="1"/>
    </row>
    <row r="25" spans="1:29" x14ac:dyDescent="0.55000000000000004">
      <c r="A25" s="12">
        <v>22</v>
      </c>
      <c r="B25" s="94"/>
      <c r="C25" s="39" t="s">
        <v>56</v>
      </c>
      <c r="D25" s="22" t="s">
        <v>224</v>
      </c>
      <c r="E25" s="1" t="s">
        <v>14</v>
      </c>
      <c r="G25" s="5"/>
      <c r="H25" s="4"/>
      <c r="L25" s="1"/>
    </row>
    <row r="26" spans="1:29" x14ac:dyDescent="0.55000000000000004">
      <c r="A26" s="12">
        <v>23</v>
      </c>
      <c r="B26" s="81" t="s">
        <v>57</v>
      </c>
      <c r="C26" s="57" t="s">
        <v>58</v>
      </c>
      <c r="D26" s="59" t="s">
        <v>19</v>
      </c>
      <c r="E26" s="1" t="s">
        <v>14</v>
      </c>
      <c r="G26" s="5"/>
      <c r="H26" s="5"/>
      <c r="L26" s="1"/>
    </row>
    <row r="27" spans="1:29" x14ac:dyDescent="0.55000000000000004">
      <c r="A27" s="12">
        <v>24</v>
      </c>
      <c r="B27" s="81"/>
      <c r="C27" s="57" t="s">
        <v>59</v>
      </c>
      <c r="D27" s="58">
        <v>2</v>
      </c>
      <c r="E27" s="1" t="s">
        <v>14</v>
      </c>
      <c r="H27" s="7"/>
      <c r="I27" s="7"/>
      <c r="J27" s="7"/>
      <c r="K27" s="7"/>
      <c r="L27" s="8"/>
    </row>
    <row r="28" spans="1:29" x14ac:dyDescent="0.55000000000000004">
      <c r="A28" s="12">
        <v>25</v>
      </c>
      <c r="B28" s="81"/>
      <c r="C28" s="57" t="s">
        <v>60</v>
      </c>
      <c r="D28" s="58" t="s">
        <v>113</v>
      </c>
      <c r="E28" s="1" t="s">
        <v>14</v>
      </c>
      <c r="F28" s="7"/>
      <c r="H28" s="7"/>
      <c r="I28" s="7"/>
      <c r="J28" s="7"/>
      <c r="K28" s="7"/>
      <c r="L28" s="8"/>
    </row>
    <row r="29" spans="1:29" x14ac:dyDescent="0.55000000000000004">
      <c r="A29" s="12">
        <v>26</v>
      </c>
      <c r="B29" s="81"/>
      <c r="C29" s="57" t="s">
        <v>61</v>
      </c>
      <c r="D29" s="58">
        <v>14</v>
      </c>
      <c r="E29" s="1" t="s">
        <v>14</v>
      </c>
      <c r="F29" s="7"/>
      <c r="H29" s="7"/>
      <c r="I29" s="7"/>
      <c r="J29" s="7"/>
      <c r="K29" s="7"/>
      <c r="L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55000000000000004">
      <c r="A30" s="12">
        <v>27</v>
      </c>
      <c r="B30" s="81"/>
      <c r="C30" s="57" t="s">
        <v>62</v>
      </c>
      <c r="D30" s="58" t="s">
        <v>112</v>
      </c>
      <c r="E30" s="1" t="s">
        <v>14</v>
      </c>
      <c r="F30" s="7"/>
      <c r="H30" s="7"/>
      <c r="I30" s="7"/>
      <c r="J30" s="7"/>
      <c r="K30" s="7"/>
      <c r="L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55000000000000004">
      <c r="A31" s="12">
        <v>28</v>
      </c>
      <c r="B31" s="81"/>
      <c r="C31" s="57" t="s">
        <v>63</v>
      </c>
      <c r="D31" s="58">
        <v>4</v>
      </c>
      <c r="E31" s="1" t="s">
        <v>14</v>
      </c>
      <c r="F31" s="7"/>
      <c r="H31" s="7"/>
      <c r="I31" s="7"/>
      <c r="J31" s="7"/>
      <c r="K31" s="7"/>
      <c r="L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55000000000000004">
      <c r="A32" s="12">
        <v>29</v>
      </c>
      <c r="B32" s="81"/>
      <c r="C32" s="57" t="s">
        <v>64</v>
      </c>
      <c r="D32" s="58" t="s">
        <v>21</v>
      </c>
      <c r="E32" s="1" t="s">
        <v>14</v>
      </c>
      <c r="F32" s="7"/>
      <c r="H32" s="6"/>
      <c r="I32" s="6"/>
      <c r="J32" s="7"/>
      <c r="K32" s="7"/>
      <c r="L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55000000000000004">
      <c r="A33" s="12">
        <v>30</v>
      </c>
      <c r="B33" s="81"/>
      <c r="C33" s="57" t="s">
        <v>65</v>
      </c>
      <c r="D33" s="59">
        <v>13</v>
      </c>
      <c r="E33" s="1" t="s">
        <v>14</v>
      </c>
      <c r="F33" s="7"/>
      <c r="G33" s="7"/>
      <c r="H33" s="7"/>
      <c r="I33" s="7"/>
      <c r="J33" s="7"/>
      <c r="K33" s="7"/>
      <c r="L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55000000000000004">
      <c r="A34" s="12">
        <v>31</v>
      </c>
      <c r="B34" s="81"/>
      <c r="C34" s="57" t="s">
        <v>66</v>
      </c>
      <c r="D34" s="58" t="s">
        <v>16</v>
      </c>
      <c r="E34" s="1" t="s">
        <v>14</v>
      </c>
      <c r="F34" s="7"/>
      <c r="G34" s="7"/>
      <c r="H34" s="7"/>
      <c r="I34" s="7"/>
      <c r="J34" s="7"/>
      <c r="K34" s="7"/>
      <c r="L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55000000000000004">
      <c r="A35" s="12">
        <v>32</v>
      </c>
      <c r="B35" s="81"/>
      <c r="C35" s="57" t="s">
        <v>67</v>
      </c>
      <c r="D35" s="58" t="s">
        <v>16</v>
      </c>
      <c r="E35" s="1" t="s">
        <v>14</v>
      </c>
      <c r="F35" s="7"/>
      <c r="G35" s="7"/>
      <c r="H35" s="7"/>
      <c r="I35" s="7"/>
      <c r="J35" s="7"/>
      <c r="K35" s="7"/>
      <c r="L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55000000000000004">
      <c r="A36" s="12">
        <v>33</v>
      </c>
      <c r="B36" s="81"/>
      <c r="C36" s="57" t="s">
        <v>68</v>
      </c>
      <c r="D36" s="58" t="s">
        <v>16</v>
      </c>
      <c r="E36" s="1" t="s">
        <v>14</v>
      </c>
      <c r="F36" s="7"/>
      <c r="G36" s="7"/>
      <c r="H36" s="7"/>
      <c r="I36" s="7"/>
      <c r="J36" s="7"/>
      <c r="K36" s="7"/>
      <c r="L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55000000000000004">
      <c r="A37" s="12">
        <v>34</v>
      </c>
      <c r="B37" s="81"/>
      <c r="C37" s="57" t="s">
        <v>69</v>
      </c>
      <c r="D37" s="58" t="s">
        <v>16</v>
      </c>
      <c r="E37" s="1" t="s">
        <v>14</v>
      </c>
      <c r="R37" s="7"/>
      <c r="S37" s="7"/>
      <c r="T37" s="7"/>
      <c r="U37" s="67"/>
      <c r="V37" s="7"/>
      <c r="W37" s="7"/>
      <c r="X37" s="7"/>
      <c r="Y37" s="8"/>
      <c r="Z37" s="7"/>
      <c r="AA37" s="7"/>
      <c r="AB37" s="9"/>
      <c r="AC37" s="7"/>
    </row>
    <row r="38" spans="1:29" x14ac:dyDescent="0.55000000000000004">
      <c r="A38" s="12">
        <v>35</v>
      </c>
      <c r="B38" s="81"/>
      <c r="C38" s="57" t="s">
        <v>70</v>
      </c>
      <c r="D38" s="58" t="s">
        <v>16</v>
      </c>
      <c r="E38" s="1" t="s">
        <v>14</v>
      </c>
      <c r="R38" s="7"/>
      <c r="S38" s="7"/>
      <c r="T38" s="7"/>
      <c r="U38" s="3"/>
      <c r="V38" s="8"/>
      <c r="W38" s="7"/>
      <c r="X38" s="7"/>
      <c r="Y38" s="8"/>
      <c r="Z38" s="7"/>
      <c r="AA38" s="7"/>
      <c r="AB38" s="68"/>
      <c r="AC38" s="7"/>
    </row>
    <row r="39" spans="1:29" x14ac:dyDescent="0.55000000000000004">
      <c r="A39" s="12">
        <v>36</v>
      </c>
      <c r="B39" s="81"/>
      <c r="C39" s="57" t="s">
        <v>71</v>
      </c>
      <c r="D39" s="58" t="s">
        <v>16</v>
      </c>
      <c r="E39" s="1" t="s">
        <v>14</v>
      </c>
      <c r="R39" s="7"/>
      <c r="S39" s="7"/>
      <c r="T39" s="7"/>
      <c r="U39" s="3"/>
      <c r="V39" s="7"/>
      <c r="W39" s="7"/>
      <c r="X39" s="7"/>
      <c r="Y39" s="8"/>
      <c r="Z39" s="7"/>
      <c r="AA39" s="7"/>
      <c r="AB39" s="68"/>
      <c r="AC39" s="7"/>
    </row>
    <row r="40" spans="1:29" x14ac:dyDescent="0.55000000000000004">
      <c r="A40" s="12">
        <v>37</v>
      </c>
      <c r="B40" s="81"/>
      <c r="C40" s="57" t="s">
        <v>72</v>
      </c>
      <c r="D40" s="58" t="s">
        <v>16</v>
      </c>
      <c r="E40" s="1" t="s">
        <v>14</v>
      </c>
      <c r="R40" s="7"/>
      <c r="S40" s="7"/>
      <c r="T40" s="7"/>
      <c r="U40" s="3"/>
      <c r="V40" s="6"/>
      <c r="W40" s="3"/>
      <c r="X40" s="3"/>
      <c r="Y40" s="8"/>
      <c r="Z40" s="7"/>
      <c r="AA40" s="7"/>
      <c r="AB40" s="7"/>
      <c r="AC40" s="7"/>
    </row>
    <row r="41" spans="1:29" x14ac:dyDescent="0.55000000000000004">
      <c r="A41" s="12">
        <v>38</v>
      </c>
      <c r="B41" s="81"/>
      <c r="C41" s="57" t="s">
        <v>73</v>
      </c>
      <c r="D41" s="58" t="s">
        <v>16</v>
      </c>
      <c r="E41" s="1" t="s">
        <v>14</v>
      </c>
      <c r="R41" s="7"/>
      <c r="S41" s="7"/>
      <c r="T41" s="7"/>
      <c r="U41" s="3"/>
      <c r="V41" s="9"/>
      <c r="W41" s="69"/>
      <c r="X41" s="69"/>
      <c r="Y41" s="8"/>
      <c r="Z41" s="7"/>
      <c r="AA41" s="7"/>
      <c r="AB41" s="7"/>
      <c r="AC41" s="7"/>
    </row>
    <row r="42" spans="1:29" x14ac:dyDescent="0.55000000000000004">
      <c r="A42" s="12">
        <v>39</v>
      </c>
      <c r="B42" s="81"/>
      <c r="C42" s="57" t="s">
        <v>74</v>
      </c>
      <c r="D42" s="58" t="s">
        <v>16</v>
      </c>
      <c r="E42" s="1" t="s">
        <v>14</v>
      </c>
      <c r="R42" s="7"/>
      <c r="S42" s="7"/>
      <c r="T42" s="7"/>
      <c r="U42" s="3"/>
      <c r="V42" s="9"/>
      <c r="W42" s="9"/>
      <c r="X42" s="9"/>
      <c r="Y42" s="8"/>
      <c r="Z42" s="7"/>
      <c r="AA42" s="7"/>
      <c r="AB42" s="7"/>
      <c r="AC42" s="7"/>
    </row>
    <row r="43" spans="1:29" x14ac:dyDescent="0.55000000000000004">
      <c r="A43" s="12">
        <v>40</v>
      </c>
      <c r="B43" s="81"/>
      <c r="C43" s="57" t="s">
        <v>75</v>
      </c>
      <c r="D43" s="58" t="s">
        <v>16</v>
      </c>
      <c r="E43" s="1" t="s">
        <v>14</v>
      </c>
      <c r="R43" s="7"/>
      <c r="S43" s="7"/>
      <c r="T43" s="7"/>
      <c r="U43" s="3"/>
      <c r="V43" s="9"/>
      <c r="W43" s="9"/>
      <c r="X43" s="9"/>
      <c r="Y43" s="8"/>
      <c r="Z43" s="7"/>
      <c r="AA43" s="7"/>
      <c r="AB43" s="7"/>
      <c r="AC43" s="7"/>
    </row>
    <row r="44" spans="1:29" x14ac:dyDescent="0.55000000000000004">
      <c r="A44" s="12">
        <v>41</v>
      </c>
      <c r="B44" s="81"/>
      <c r="C44" s="57" t="s">
        <v>76</v>
      </c>
      <c r="D44" s="58" t="s">
        <v>16</v>
      </c>
      <c r="E44" s="1" t="s">
        <v>14</v>
      </c>
      <c r="R44" s="7"/>
      <c r="S44" s="7"/>
      <c r="T44" s="7"/>
      <c r="U44" s="3"/>
      <c r="V44" s="7"/>
      <c r="W44" s="7"/>
      <c r="X44" s="7"/>
      <c r="Y44" s="8"/>
      <c r="Z44" s="7"/>
      <c r="AA44" s="7"/>
      <c r="AB44" s="7"/>
      <c r="AC44" s="7"/>
    </row>
    <row r="45" spans="1:29" x14ac:dyDescent="0.55000000000000004">
      <c r="A45" s="12">
        <v>42</v>
      </c>
      <c r="B45" s="81"/>
      <c r="C45" s="57" t="s">
        <v>77</v>
      </c>
      <c r="D45" s="58" t="s">
        <v>16</v>
      </c>
      <c r="E45" s="1" t="s">
        <v>14</v>
      </c>
      <c r="R45" s="7"/>
      <c r="S45" s="7"/>
      <c r="T45" s="7"/>
      <c r="U45" s="3"/>
      <c r="V45" s="7"/>
      <c r="W45" s="7"/>
      <c r="X45" s="7"/>
      <c r="Y45" s="8"/>
      <c r="Z45" s="7"/>
      <c r="AA45" s="7"/>
      <c r="AB45" s="7"/>
      <c r="AC45" s="7"/>
    </row>
    <row r="46" spans="1:29" x14ac:dyDescent="0.55000000000000004">
      <c r="A46" s="12">
        <v>43</v>
      </c>
      <c r="B46" s="81"/>
      <c r="C46" s="57" t="s">
        <v>78</v>
      </c>
      <c r="D46" s="58" t="s">
        <v>16</v>
      </c>
      <c r="E46" s="1" t="s">
        <v>14</v>
      </c>
      <c r="R46" s="7"/>
      <c r="S46" s="7"/>
      <c r="T46" s="7"/>
      <c r="U46" s="3"/>
      <c r="V46" s="7"/>
      <c r="W46" s="7"/>
      <c r="X46" s="7"/>
      <c r="Y46" s="8"/>
      <c r="Z46" s="7"/>
      <c r="AA46" s="7"/>
      <c r="AB46" s="7"/>
      <c r="AC46" s="7"/>
    </row>
    <row r="47" spans="1:29" x14ac:dyDescent="0.55000000000000004">
      <c r="A47" s="12">
        <v>44</v>
      </c>
      <c r="B47" s="81"/>
      <c r="C47" s="57" t="s">
        <v>79</v>
      </c>
      <c r="D47" s="58" t="s">
        <v>16</v>
      </c>
      <c r="E47" s="1" t="s">
        <v>14</v>
      </c>
      <c r="R47" s="7"/>
      <c r="S47" s="7"/>
      <c r="T47" s="7"/>
      <c r="U47" s="3"/>
      <c r="V47" s="10"/>
      <c r="W47" s="7"/>
      <c r="X47" s="7"/>
      <c r="Y47" s="8"/>
      <c r="Z47" s="7"/>
      <c r="AA47" s="7"/>
      <c r="AB47" s="7"/>
      <c r="AC47" s="7"/>
    </row>
    <row r="48" spans="1:29" x14ac:dyDescent="0.55000000000000004">
      <c r="A48" s="12">
        <v>45</v>
      </c>
      <c r="B48" s="81"/>
      <c r="C48" s="57" t="s">
        <v>80</v>
      </c>
      <c r="D48" s="58" t="s">
        <v>16</v>
      </c>
      <c r="E48" s="1" t="s">
        <v>14</v>
      </c>
      <c r="R48" s="7"/>
      <c r="S48" s="7"/>
      <c r="T48" s="7"/>
      <c r="U48" s="3"/>
      <c r="V48" s="10"/>
      <c r="W48" s="7"/>
      <c r="X48" s="7"/>
      <c r="Y48" s="8"/>
      <c r="Z48" s="7"/>
      <c r="AA48" s="7"/>
      <c r="AB48" s="7"/>
      <c r="AC48" s="7"/>
    </row>
    <row r="49" spans="1:29" x14ac:dyDescent="0.55000000000000004">
      <c r="A49" s="12">
        <v>46</v>
      </c>
      <c r="B49" s="81"/>
      <c r="C49" s="57" t="s">
        <v>81</v>
      </c>
      <c r="D49" s="58" t="s">
        <v>16</v>
      </c>
      <c r="E49" s="1" t="s">
        <v>14</v>
      </c>
      <c r="R49" s="7"/>
      <c r="S49" s="7"/>
      <c r="T49" s="7"/>
      <c r="U49" s="3"/>
      <c r="V49" s="7"/>
      <c r="W49" s="7"/>
      <c r="X49" s="7"/>
      <c r="Y49" s="8"/>
      <c r="Z49" s="7"/>
      <c r="AA49" s="7"/>
      <c r="AB49" s="7"/>
      <c r="AC49" s="7"/>
    </row>
    <row r="50" spans="1:29" x14ac:dyDescent="0.55000000000000004">
      <c r="A50" s="12">
        <v>47</v>
      </c>
      <c r="B50" s="81"/>
      <c r="C50" s="36" t="s">
        <v>82</v>
      </c>
      <c r="D50" s="22" t="s">
        <v>208</v>
      </c>
      <c r="E50" s="1" t="s">
        <v>14</v>
      </c>
      <c r="R50" s="7"/>
      <c r="S50" s="7"/>
      <c r="T50" s="7"/>
      <c r="U50" s="3"/>
      <c r="V50" s="8"/>
      <c r="W50" s="7"/>
      <c r="X50" s="7"/>
      <c r="Y50" s="8"/>
      <c r="Z50" s="7"/>
      <c r="AA50" s="7"/>
      <c r="AB50" s="7"/>
      <c r="AC50" s="7"/>
    </row>
    <row r="51" spans="1:29" x14ac:dyDescent="0.55000000000000004">
      <c r="A51" s="12">
        <v>48</v>
      </c>
      <c r="B51" s="81"/>
      <c r="C51" s="36" t="s">
        <v>83</v>
      </c>
      <c r="D51" s="22" t="s">
        <v>249</v>
      </c>
      <c r="E51" s="1" t="s">
        <v>14</v>
      </c>
      <c r="R51" s="7"/>
      <c r="S51" s="7"/>
      <c r="T51" s="7"/>
      <c r="U51" s="3"/>
      <c r="V51" s="7"/>
      <c r="W51" s="7"/>
      <c r="X51" s="7"/>
      <c r="Y51" s="8"/>
      <c r="Z51" s="7"/>
      <c r="AA51" s="7"/>
      <c r="AB51" s="7"/>
      <c r="AC51" s="7"/>
    </row>
    <row r="52" spans="1:29" x14ac:dyDescent="0.55000000000000004">
      <c r="A52" s="12">
        <v>49</v>
      </c>
      <c r="B52" s="81"/>
      <c r="C52" s="36" t="s">
        <v>84</v>
      </c>
      <c r="D52" s="22" t="s">
        <v>209</v>
      </c>
      <c r="E52" s="1" t="s">
        <v>14</v>
      </c>
      <c r="R52" s="7"/>
      <c r="S52" s="7"/>
      <c r="T52" s="7"/>
      <c r="U52" s="3"/>
      <c r="V52" s="7"/>
      <c r="W52" s="7"/>
      <c r="X52" s="7"/>
      <c r="Y52" s="8"/>
      <c r="Z52" s="7"/>
      <c r="AA52" s="7"/>
      <c r="AB52" s="7"/>
      <c r="AC52" s="7"/>
    </row>
    <row r="53" spans="1:29" x14ac:dyDescent="0.55000000000000004">
      <c r="A53" s="12">
        <v>50</v>
      </c>
      <c r="B53" s="82" t="s">
        <v>85</v>
      </c>
      <c r="C53" s="21" t="s">
        <v>86</v>
      </c>
      <c r="D53" s="76" t="s">
        <v>203</v>
      </c>
      <c r="E53" s="1" t="s">
        <v>14</v>
      </c>
      <c r="R53" s="7"/>
      <c r="S53" s="7"/>
      <c r="T53" s="7"/>
      <c r="U53" s="3"/>
      <c r="V53" s="7"/>
      <c r="W53" s="7"/>
      <c r="X53" s="7"/>
      <c r="Y53" s="8"/>
      <c r="Z53" s="7"/>
      <c r="AA53" s="7"/>
      <c r="AB53" s="7"/>
      <c r="AC53" s="7"/>
    </row>
    <row r="54" spans="1:29" x14ac:dyDescent="0.55000000000000004">
      <c r="A54" s="12">
        <v>51</v>
      </c>
      <c r="B54" s="82"/>
      <c r="C54" s="21" t="s">
        <v>87</v>
      </c>
      <c r="D54" s="22" t="s">
        <v>88</v>
      </c>
      <c r="E54" s="1" t="s">
        <v>14</v>
      </c>
      <c r="R54" s="7"/>
      <c r="S54" s="7"/>
      <c r="T54" s="7"/>
      <c r="U54" s="3"/>
      <c r="V54" s="7"/>
      <c r="W54" s="7"/>
      <c r="X54" s="7"/>
      <c r="Y54" s="8"/>
      <c r="Z54" s="7"/>
      <c r="AA54" s="7"/>
      <c r="AB54" s="7"/>
      <c r="AC54" s="7"/>
    </row>
    <row r="55" spans="1:29" x14ac:dyDescent="0.55000000000000004">
      <c r="A55" s="12">
        <v>52</v>
      </c>
      <c r="B55" s="82"/>
      <c r="C55" s="60" t="s">
        <v>89</v>
      </c>
      <c r="D55" s="22" t="s">
        <v>204</v>
      </c>
      <c r="E55" s="1" t="s">
        <v>14</v>
      </c>
      <c r="R55" s="7"/>
      <c r="S55" s="7"/>
      <c r="T55" s="7"/>
      <c r="U55" s="3"/>
      <c r="V55" s="7"/>
      <c r="W55" s="7"/>
      <c r="X55" s="7"/>
      <c r="Y55" s="8"/>
      <c r="Z55" s="7"/>
      <c r="AA55" s="7"/>
      <c r="AB55" s="7"/>
      <c r="AC55" s="7"/>
    </row>
    <row r="56" spans="1:29" x14ac:dyDescent="0.55000000000000004">
      <c r="A56" s="12">
        <v>53</v>
      </c>
      <c r="B56" s="82"/>
      <c r="C56" s="60" t="s">
        <v>90</v>
      </c>
      <c r="D56" s="58" t="s">
        <v>219</v>
      </c>
      <c r="E56" s="1" t="s">
        <v>14</v>
      </c>
      <c r="R56" s="7"/>
      <c r="S56" s="7"/>
      <c r="T56" s="7"/>
      <c r="U56" s="3"/>
      <c r="V56" s="7"/>
      <c r="W56" s="7"/>
      <c r="X56" s="7"/>
      <c r="Y56" s="8"/>
      <c r="Z56" s="7"/>
      <c r="AA56" s="7"/>
      <c r="AB56" s="7"/>
      <c r="AC56" s="7"/>
    </row>
    <row r="57" spans="1:29" x14ac:dyDescent="0.55000000000000004">
      <c r="A57" s="12">
        <v>54</v>
      </c>
      <c r="B57" s="82"/>
      <c r="C57" s="39" t="s">
        <v>91</v>
      </c>
      <c r="D57" s="22" t="s">
        <v>205</v>
      </c>
      <c r="E57" s="1" t="s">
        <v>14</v>
      </c>
      <c r="R57" s="7"/>
      <c r="S57" s="7"/>
      <c r="T57" s="7"/>
      <c r="U57" s="3"/>
      <c r="V57" s="67"/>
      <c r="W57" s="70"/>
      <c r="X57" s="71"/>
      <c r="Y57" s="70"/>
      <c r="Z57" s="71"/>
      <c r="AA57" s="7"/>
      <c r="AB57" s="7"/>
      <c r="AC57" s="7"/>
    </row>
    <row r="58" spans="1:29" x14ac:dyDescent="0.55000000000000004">
      <c r="A58" s="12">
        <v>55</v>
      </c>
      <c r="B58" s="82"/>
      <c r="C58" s="60" t="s">
        <v>92</v>
      </c>
      <c r="D58" s="58" t="s">
        <v>219</v>
      </c>
      <c r="E58" s="1" t="s">
        <v>14</v>
      </c>
      <c r="R58" s="7"/>
      <c r="S58" s="7"/>
      <c r="T58" s="7"/>
      <c r="U58" s="3"/>
      <c r="V58" s="3"/>
      <c r="W58" s="3"/>
      <c r="X58" s="3"/>
      <c r="Y58" s="3"/>
      <c r="Z58" s="3"/>
      <c r="AA58" s="6"/>
      <c r="AB58" s="6"/>
      <c r="AC58" s="7"/>
    </row>
    <row r="59" spans="1:29" x14ac:dyDescent="0.55000000000000004">
      <c r="A59" s="12">
        <v>56</v>
      </c>
      <c r="B59" s="82"/>
      <c r="C59" s="60" t="s">
        <v>93</v>
      </c>
      <c r="D59" s="58" t="s">
        <v>219</v>
      </c>
      <c r="E59" s="1" t="s">
        <v>14</v>
      </c>
      <c r="R59" s="7"/>
      <c r="S59" s="7"/>
      <c r="T59" s="7"/>
      <c r="U59" s="9"/>
      <c r="V59" s="72"/>
      <c r="W59" s="9"/>
      <c r="X59" s="9"/>
      <c r="Y59" s="9"/>
      <c r="Z59" s="9"/>
      <c r="AA59" s="6"/>
      <c r="AB59" s="6"/>
      <c r="AC59" s="7"/>
    </row>
    <row r="60" spans="1:29" x14ac:dyDescent="0.55000000000000004">
      <c r="A60" s="12">
        <v>57</v>
      </c>
      <c r="B60" s="82"/>
      <c r="C60" s="21" t="s">
        <v>94</v>
      </c>
      <c r="D60" s="59">
        <v>1</v>
      </c>
      <c r="E60" s="1" t="s">
        <v>14</v>
      </c>
      <c r="R60" s="7"/>
      <c r="S60" s="7"/>
      <c r="T60" s="7"/>
      <c r="U60" s="9"/>
      <c r="V60" s="9"/>
      <c r="W60" s="9"/>
      <c r="X60" s="9"/>
      <c r="Y60" s="73"/>
      <c r="Z60" s="73"/>
      <c r="AA60" s="6"/>
      <c r="AB60" s="9"/>
      <c r="AC60" s="7"/>
    </row>
    <row r="61" spans="1:29" x14ac:dyDescent="0.55000000000000004">
      <c r="A61" s="12">
        <v>58</v>
      </c>
      <c r="B61" s="83" t="s">
        <v>95</v>
      </c>
      <c r="C61" s="60" t="s">
        <v>96</v>
      </c>
      <c r="D61" s="61">
        <v>45696</v>
      </c>
      <c r="E61" s="1" t="s">
        <v>14</v>
      </c>
      <c r="R61" s="7"/>
      <c r="S61" s="7"/>
      <c r="T61" s="7"/>
      <c r="U61" s="9"/>
      <c r="V61" s="11"/>
      <c r="W61" s="6"/>
      <c r="X61" s="10"/>
      <c r="Y61" s="74"/>
      <c r="Z61" s="6"/>
      <c r="AA61" s="6"/>
      <c r="AB61" s="9"/>
      <c r="AC61" s="7"/>
    </row>
    <row r="62" spans="1:29" x14ac:dyDescent="0.55000000000000004">
      <c r="A62" s="12">
        <v>59</v>
      </c>
      <c r="B62" s="83"/>
      <c r="C62" s="60" t="s">
        <v>97</v>
      </c>
      <c r="D62" s="61">
        <v>45696</v>
      </c>
      <c r="E62" s="1" t="s">
        <v>14</v>
      </c>
      <c r="R62" s="7"/>
      <c r="S62" s="7"/>
      <c r="T62" s="7"/>
      <c r="U62" s="9"/>
      <c r="V62" s="11"/>
      <c r="W62" s="6"/>
      <c r="X62" s="10"/>
      <c r="Y62" s="74"/>
      <c r="Z62" s="6"/>
      <c r="AA62" s="6"/>
      <c r="AB62" s="6"/>
      <c r="AC62" s="7"/>
    </row>
    <row r="63" spans="1:29" x14ac:dyDescent="0.55000000000000004">
      <c r="A63" s="12">
        <v>60</v>
      </c>
      <c r="B63" s="83"/>
      <c r="C63" s="60" t="s">
        <v>98</v>
      </c>
      <c r="D63" s="77" t="s">
        <v>206</v>
      </c>
      <c r="E63" s="1" t="s">
        <v>14</v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x14ac:dyDescent="0.55000000000000004">
      <c r="A64" s="12">
        <v>61</v>
      </c>
      <c r="B64" s="83"/>
      <c r="C64" s="60" t="s">
        <v>99</v>
      </c>
      <c r="D64" s="22" t="s">
        <v>215</v>
      </c>
      <c r="E64" s="1" t="s">
        <v>14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x14ac:dyDescent="0.55000000000000004">
      <c r="A65" s="12">
        <v>62</v>
      </c>
      <c r="B65" s="83"/>
      <c r="C65" s="21" t="s">
        <v>100</v>
      </c>
      <c r="D65" s="61">
        <v>45696</v>
      </c>
      <c r="E65" s="1" t="s">
        <v>14</v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x14ac:dyDescent="0.55000000000000004">
      <c r="A66" s="12">
        <v>63</v>
      </c>
      <c r="B66" s="83"/>
      <c r="C66" s="21" t="s">
        <v>101</v>
      </c>
      <c r="D66" s="77" t="s">
        <v>206</v>
      </c>
      <c r="E66" s="1" t="s">
        <v>14</v>
      </c>
    </row>
    <row r="67" spans="1:29" x14ac:dyDescent="0.55000000000000004">
      <c r="A67" s="12">
        <v>64</v>
      </c>
      <c r="B67" s="83"/>
      <c r="C67" s="60" t="s">
        <v>102</v>
      </c>
      <c r="D67" s="77" t="s">
        <v>207</v>
      </c>
      <c r="E67" s="1" t="s">
        <v>14</v>
      </c>
    </row>
    <row r="68" spans="1:29" x14ac:dyDescent="0.55000000000000004">
      <c r="A68" s="12">
        <v>65</v>
      </c>
      <c r="B68" s="84" t="s">
        <v>103</v>
      </c>
      <c r="C68" s="62" t="s">
        <v>104</v>
      </c>
      <c r="D68" s="53"/>
      <c r="E68" s="1" t="s">
        <v>14</v>
      </c>
    </row>
    <row r="69" spans="1:29" x14ac:dyDescent="0.55000000000000004">
      <c r="A69" s="12">
        <v>66</v>
      </c>
      <c r="B69" s="84"/>
      <c r="C69" s="62" t="s">
        <v>105</v>
      </c>
      <c r="D69" s="53"/>
      <c r="E69" s="1" t="s">
        <v>14</v>
      </c>
    </row>
    <row r="70" spans="1:29" x14ac:dyDescent="0.55000000000000004">
      <c r="A70" s="12">
        <v>67</v>
      </c>
      <c r="B70" s="84"/>
      <c r="C70" s="62" t="s">
        <v>106</v>
      </c>
      <c r="D70" s="53"/>
      <c r="E70" s="1" t="s">
        <v>14</v>
      </c>
    </row>
    <row r="71" spans="1:29" x14ac:dyDescent="0.55000000000000004">
      <c r="A71" s="12">
        <v>68</v>
      </c>
      <c r="B71" s="84"/>
      <c r="C71" s="62" t="s">
        <v>107</v>
      </c>
      <c r="D71" s="53"/>
      <c r="E71" s="1" t="s">
        <v>14</v>
      </c>
    </row>
    <row r="72" spans="1:29" x14ac:dyDescent="0.55000000000000004">
      <c r="A72" s="12">
        <v>69</v>
      </c>
      <c r="B72" s="85"/>
      <c r="C72" s="63" t="s">
        <v>108</v>
      </c>
      <c r="D72" s="56"/>
      <c r="E72" s="1" t="s">
        <v>14</v>
      </c>
    </row>
  </sheetData>
  <mergeCells count="10">
    <mergeCell ref="F2:K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2"/>
  <sheetViews>
    <sheetView tabSelected="1" zoomScale="70" zoomScaleNormal="70" workbookViewId="0">
      <selection activeCell="A11" sqref="A11"/>
    </sheetView>
  </sheetViews>
  <sheetFormatPr baseColWidth="10" defaultRowHeight="14.4" x14ac:dyDescent="0.55000000000000004"/>
  <cols>
    <col min="1" max="1" width="43.41796875" style="2" bestFit="1" customWidth="1"/>
    <col min="2" max="2" width="11.68359375" bestFit="1" customWidth="1"/>
    <col min="3" max="3" width="15.47265625" bestFit="1" customWidth="1"/>
    <col min="4" max="5" width="17.68359375" bestFit="1" customWidth="1"/>
    <col min="6" max="6" width="12.68359375" customWidth="1"/>
    <col min="7" max="7" width="11.3125" customWidth="1"/>
  </cols>
  <sheetData>
    <row r="1" spans="1:14" s="2" customFormat="1" x14ac:dyDescent="0.55000000000000004">
      <c r="B1" s="2" t="s">
        <v>238</v>
      </c>
      <c r="C1" s="2" t="s">
        <v>238</v>
      </c>
      <c r="D1" s="2" t="s">
        <v>238</v>
      </c>
      <c r="E1" s="2" t="s">
        <v>238</v>
      </c>
      <c r="F1" s="2" t="s">
        <v>238</v>
      </c>
      <c r="G1" s="2" t="s">
        <v>243</v>
      </c>
      <c r="H1" s="2" t="s">
        <v>243</v>
      </c>
      <c r="I1" s="2" t="s">
        <v>243</v>
      </c>
      <c r="J1" s="2" t="s">
        <v>243</v>
      </c>
      <c r="K1" s="2" t="s">
        <v>243</v>
      </c>
      <c r="L1" s="2" t="s">
        <v>243</v>
      </c>
      <c r="M1" s="2" t="s">
        <v>243</v>
      </c>
      <c r="N1" s="2" t="s">
        <v>243</v>
      </c>
    </row>
    <row r="2" spans="1:14" s="2" customFormat="1" x14ac:dyDescent="0.55000000000000004">
      <c r="B2" s="2" t="s">
        <v>246</v>
      </c>
      <c r="C2" s="2" t="s">
        <v>239</v>
      </c>
      <c r="D2" s="2" t="s">
        <v>240</v>
      </c>
      <c r="E2" s="2" t="s">
        <v>241</v>
      </c>
      <c r="F2" s="2" t="s">
        <v>242</v>
      </c>
      <c r="G2" s="2" t="s">
        <v>241</v>
      </c>
      <c r="H2" s="2" t="s">
        <v>244</v>
      </c>
      <c r="I2" s="2" t="s">
        <v>245</v>
      </c>
      <c r="J2" s="2" t="s">
        <v>246</v>
      </c>
      <c r="K2" s="2" t="s">
        <v>240</v>
      </c>
      <c r="L2" s="2" t="s">
        <v>239</v>
      </c>
      <c r="M2" s="2" t="s">
        <v>240</v>
      </c>
      <c r="N2" s="2" t="s">
        <v>239</v>
      </c>
    </row>
    <row r="3" spans="1:14" s="2" customFormat="1" x14ac:dyDescent="0.55000000000000004">
      <c r="B3" s="2" t="s">
        <v>197</v>
      </c>
      <c r="C3" s="2" t="s">
        <v>197</v>
      </c>
      <c r="D3" s="2" t="s">
        <v>197</v>
      </c>
      <c r="E3" s="2" t="s">
        <v>197</v>
      </c>
      <c r="F3" s="2" t="s">
        <v>197</v>
      </c>
      <c r="G3" s="2" t="s">
        <v>197</v>
      </c>
      <c r="H3" s="2" t="s">
        <v>197</v>
      </c>
      <c r="I3" s="2" t="s">
        <v>197</v>
      </c>
      <c r="J3" s="2" t="s">
        <v>197</v>
      </c>
      <c r="K3" s="2" t="s">
        <v>247</v>
      </c>
      <c r="L3" s="2" t="s">
        <v>247</v>
      </c>
      <c r="M3" s="2" t="s">
        <v>248</v>
      </c>
      <c r="N3" s="2" t="s">
        <v>248</v>
      </c>
    </row>
    <row r="4" spans="1:14" x14ac:dyDescent="0.55000000000000004">
      <c r="A4" s="2" t="s">
        <v>166</v>
      </c>
      <c r="B4">
        <v>0.66655203163663812</v>
      </c>
      <c r="C4">
        <v>0.7890476974504943</v>
      </c>
      <c r="D4">
        <v>0.81212363741870497</v>
      </c>
      <c r="E4">
        <v>0.67816646854707796</v>
      </c>
      <c r="F4">
        <v>0.41758817977742296</v>
      </c>
      <c r="G4">
        <v>0.72305740683734354</v>
      </c>
      <c r="H4">
        <v>0.10752105712154068</v>
      </c>
      <c r="I4">
        <v>0.25216204697897182</v>
      </c>
      <c r="J4">
        <v>0.70488769135921681</v>
      </c>
      <c r="K4">
        <v>0.77618509644229694</v>
      </c>
      <c r="L4">
        <v>1.3077496563317397</v>
      </c>
      <c r="M4">
        <v>0.86212118455911779</v>
      </c>
      <c r="N4">
        <v>0.96051565346738732</v>
      </c>
    </row>
    <row r="5" spans="1:14" x14ac:dyDescent="0.55000000000000004">
      <c r="A5" s="2" t="s">
        <v>167</v>
      </c>
      <c r="B5">
        <v>0</v>
      </c>
      <c r="C5">
        <v>0</v>
      </c>
      <c r="D5">
        <v>0</v>
      </c>
      <c r="E5">
        <v>0</v>
      </c>
      <c r="F5">
        <v>0</v>
      </c>
      <c r="G5">
        <v>1.8340548482588287E-2</v>
      </c>
      <c r="H5">
        <v>0</v>
      </c>
      <c r="I5">
        <v>0</v>
      </c>
      <c r="J5">
        <v>0</v>
      </c>
      <c r="K5">
        <v>2.710937578248513E-2</v>
      </c>
      <c r="L5">
        <v>2.3403294110480782E-2</v>
      </c>
      <c r="M5">
        <v>3.1937472660005871E-2</v>
      </c>
      <c r="N5">
        <v>4.0086017505833035E-3</v>
      </c>
    </row>
    <row r="6" spans="1:14" x14ac:dyDescent="0.55000000000000004">
      <c r="A6" s="2" t="s">
        <v>168</v>
      </c>
      <c r="B6">
        <v>0.12665853371755384</v>
      </c>
      <c r="C6">
        <v>0.10711655530605925</v>
      </c>
      <c r="D6">
        <v>9.9524528930867481E-2</v>
      </c>
      <c r="E6">
        <v>0.13978064740298876</v>
      </c>
      <c r="F6">
        <v>0.2285366656762905</v>
      </c>
      <c r="G6">
        <v>0.29503286808655971</v>
      </c>
      <c r="H6">
        <v>0.74645992701846853</v>
      </c>
      <c r="I6">
        <v>0.70227987507497636</v>
      </c>
      <c r="J6">
        <v>0.10127958303229379</v>
      </c>
      <c r="K6">
        <v>0.3105863436080743</v>
      </c>
      <c r="L6">
        <v>0</v>
      </c>
      <c r="M6">
        <v>0.20372935316014656</v>
      </c>
      <c r="N6">
        <v>0.10100205134616273</v>
      </c>
    </row>
    <row r="7" spans="1:14" x14ac:dyDescent="0.55000000000000004">
      <c r="A7" s="2" t="s">
        <v>169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55000000000000004">
      <c r="A8" s="2" t="s">
        <v>170</v>
      </c>
      <c r="B8">
        <v>5.0776234152781459E-3</v>
      </c>
      <c r="C8">
        <v>1.558434304772956E-3</v>
      </c>
      <c r="D8">
        <v>4.3415733324210997E-4</v>
      </c>
      <c r="E8">
        <v>5.5622733014950177E-3</v>
      </c>
      <c r="F8">
        <v>1.6017497964821131E-2</v>
      </c>
      <c r="G8">
        <v>4.9948755256775468E-3</v>
      </c>
      <c r="H8">
        <v>9.5434430181442695E-3</v>
      </c>
      <c r="I8">
        <v>7.2945424658141678E-3</v>
      </c>
      <c r="J8">
        <v>8.8538086528462973E-3</v>
      </c>
      <c r="K8">
        <v>4.6553306968318076E-3</v>
      </c>
      <c r="L8">
        <v>0</v>
      </c>
      <c r="M8">
        <v>3.1909026829903394E-3</v>
      </c>
      <c r="N8">
        <v>4.3807931371620456E-3</v>
      </c>
    </row>
    <row r="9" spans="1:14" x14ac:dyDescent="0.55000000000000004">
      <c r="A9" s="2" t="s">
        <v>250</v>
      </c>
      <c r="B9">
        <v>0</v>
      </c>
      <c r="C9">
        <v>0</v>
      </c>
      <c r="D9">
        <v>0</v>
      </c>
      <c r="E9">
        <v>0</v>
      </c>
      <c r="F9">
        <v>0</v>
      </c>
      <c r="G9">
        <v>2.2674487730691619E-5</v>
      </c>
      <c r="H9">
        <v>0</v>
      </c>
      <c r="I9">
        <v>0</v>
      </c>
      <c r="J9">
        <v>0</v>
      </c>
      <c r="K9">
        <v>0</v>
      </c>
      <c r="L9">
        <v>7.1728886710703454E-5</v>
      </c>
      <c r="M9">
        <v>4.3178883931296389E-5</v>
      </c>
      <c r="N9">
        <v>0</v>
      </c>
    </row>
    <row r="10" spans="1:14" x14ac:dyDescent="0.55000000000000004">
      <c r="A10" s="2" t="s">
        <v>229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55000000000000004">
      <c r="A11" s="3" t="s">
        <v>230</v>
      </c>
      <c r="B11">
        <v>8.5721517926744997E-2</v>
      </c>
      <c r="C11">
        <v>0.10750608460587138</v>
      </c>
      <c r="D11">
        <v>0.10986751189209137</v>
      </c>
      <c r="E11">
        <v>0.13393588053567396</v>
      </c>
      <c r="F11">
        <v>0.21674764288268836</v>
      </c>
      <c r="G11">
        <v>0.14066186064868999</v>
      </c>
      <c r="H11">
        <v>0.32983250754634641</v>
      </c>
      <c r="I11">
        <v>0.28358901509274392</v>
      </c>
      <c r="J11">
        <v>5.4257036861612339E-2</v>
      </c>
      <c r="K11">
        <v>0.15208031635883398</v>
      </c>
      <c r="L11">
        <v>0</v>
      </c>
      <c r="M11">
        <v>0.1145721194796377</v>
      </c>
      <c r="N11">
        <v>4.3088396587423194E-2</v>
      </c>
    </row>
    <row r="12" spans="1:14" x14ac:dyDescent="0.55000000000000004">
      <c r="A12" s="2" t="s">
        <v>171</v>
      </c>
      <c r="B12">
        <v>3.8872937239099174E-2</v>
      </c>
      <c r="C12">
        <v>4.4173873272840322E-2</v>
      </c>
      <c r="D12">
        <v>4.9916687935456991E-2</v>
      </c>
      <c r="E12">
        <v>4.3875319544782576E-2</v>
      </c>
      <c r="F12">
        <v>3.7441473184261796E-2</v>
      </c>
      <c r="G12">
        <v>4.5823695261203091E-2</v>
      </c>
      <c r="H12">
        <v>4.92206818573293E-2</v>
      </c>
      <c r="I12">
        <v>5.2447258011963281E-2</v>
      </c>
      <c r="J12">
        <v>5.1368819988336929E-2</v>
      </c>
      <c r="K12">
        <v>3.9883716437757129E-2</v>
      </c>
      <c r="L12">
        <v>0</v>
      </c>
      <c r="M12">
        <v>4.6373405856779029E-2</v>
      </c>
      <c r="N12">
        <v>5.8074440881516427E-2</v>
      </c>
    </row>
    <row r="13" spans="1:14" x14ac:dyDescent="0.55000000000000004">
      <c r="A13" s="80" t="s">
        <v>228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55000000000000004">
      <c r="A14" s="2" t="s">
        <v>172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55000000000000004">
      <c r="A15" s="2" t="s">
        <v>227</v>
      </c>
      <c r="B15">
        <v>5.1026669289917087E-2</v>
      </c>
      <c r="C15">
        <v>7.6511436916057871E-2</v>
      </c>
      <c r="D15">
        <v>9.1357076783488991E-2</v>
      </c>
      <c r="E15">
        <v>7.3025891634951046E-2</v>
      </c>
      <c r="F15">
        <v>5.6609610409075362E-2</v>
      </c>
      <c r="G15">
        <v>6.4199905813494385E-2</v>
      </c>
      <c r="H15">
        <v>3.9582763365339904E-2</v>
      </c>
      <c r="I15">
        <v>5.2807151615310119E-2</v>
      </c>
      <c r="J15">
        <v>7.0493510024284931E-2</v>
      </c>
      <c r="K15">
        <v>7.5628121359496467E-2</v>
      </c>
      <c r="L15">
        <v>0.11423913123652588</v>
      </c>
      <c r="M15">
        <v>5.6096376355983336E-2</v>
      </c>
      <c r="N15">
        <v>9.7891548054286168E-2</v>
      </c>
    </row>
    <row r="16" spans="1:14" x14ac:dyDescent="0.55000000000000004">
      <c r="A16" s="2" t="s">
        <v>173</v>
      </c>
      <c r="B16">
        <v>3.2507756611005696E-2</v>
      </c>
      <c r="C16">
        <v>2.0235119186237532E-2</v>
      </c>
      <c r="D16">
        <v>1.3603405911190677E-2</v>
      </c>
      <c r="E16">
        <v>1.4156883641375941E-2</v>
      </c>
      <c r="F16">
        <v>0</v>
      </c>
      <c r="G16">
        <v>1.8866041944879494E-2</v>
      </c>
      <c r="H16">
        <v>2.1057882044547081E-4</v>
      </c>
      <c r="I16">
        <v>9.7466223619536094E-3</v>
      </c>
      <c r="J16">
        <v>2.4568008780217258E-2</v>
      </c>
      <c r="K16">
        <v>1.6282954902862939E-2</v>
      </c>
      <c r="L16">
        <v>0</v>
      </c>
      <c r="M16">
        <v>2.7108245758001762E-2</v>
      </c>
      <c r="N16">
        <v>1.851011256777145E-2</v>
      </c>
    </row>
    <row r="17" spans="1:14" x14ac:dyDescent="0.55000000000000004">
      <c r="A17" s="2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55000000000000004">
      <c r="A18" s="2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55000000000000004">
      <c r="A19" s="80" t="s">
        <v>226</v>
      </c>
      <c r="B19">
        <v>0.38171117908553548</v>
      </c>
      <c r="C19">
        <v>0.49792366318479242</v>
      </c>
      <c r="D19">
        <v>0.5202988821035901</v>
      </c>
      <c r="E19">
        <v>0.38143257498489674</v>
      </c>
      <c r="F19">
        <v>0.10251444242838842</v>
      </c>
      <c r="G19">
        <v>0.10551276022328447</v>
      </c>
      <c r="H19">
        <v>0</v>
      </c>
      <c r="I19">
        <v>0</v>
      </c>
      <c r="J19">
        <v>0.35563861172264855</v>
      </c>
      <c r="K19">
        <v>0</v>
      </c>
      <c r="L19">
        <v>0</v>
      </c>
      <c r="M19">
        <v>0.1066791202769367</v>
      </c>
      <c r="N19">
        <v>0.23667446597010749</v>
      </c>
    </row>
    <row r="20" spans="1:14" x14ac:dyDescent="0.55000000000000004">
      <c r="A20" s="2" t="s">
        <v>231</v>
      </c>
      <c r="B20">
        <v>7.2643671414883634E-3</v>
      </c>
      <c r="C20">
        <v>2.3190550440182787E-2</v>
      </c>
      <c r="D20">
        <v>3.3917903629062142E-2</v>
      </c>
      <c r="E20">
        <v>2.4981713502629298E-2</v>
      </c>
      <c r="F20">
        <v>2.3308337134901429E-2</v>
      </c>
      <c r="G20">
        <v>6.9876787923114315E-3</v>
      </c>
      <c r="H20">
        <v>0</v>
      </c>
      <c r="I20">
        <v>0</v>
      </c>
      <c r="J20">
        <v>3.1247524035741808E-2</v>
      </c>
      <c r="K20">
        <v>0</v>
      </c>
      <c r="L20">
        <v>0</v>
      </c>
      <c r="M20">
        <v>0</v>
      </c>
      <c r="N20">
        <v>4.1634998180100649E-2</v>
      </c>
    </row>
    <row r="21" spans="1:14" x14ac:dyDescent="0.55000000000000004">
      <c r="A21" s="2" t="s">
        <v>176</v>
      </c>
      <c r="B21">
        <v>0</v>
      </c>
      <c r="C21">
        <v>6.028649375455334E-3</v>
      </c>
      <c r="D21">
        <v>5.8782318559026554E-3</v>
      </c>
      <c r="E21">
        <v>1.5360740385078975E-2</v>
      </c>
      <c r="F21">
        <v>4.5073196947063202E-2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55000000000000004">
      <c r="A22" s="2" t="s">
        <v>232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55000000000000004">
      <c r="A23" s="2" t="s">
        <v>177</v>
      </c>
      <c r="B23">
        <v>5.2324502842939456E-3</v>
      </c>
      <c r="C23">
        <v>6.9610795191705653E-4</v>
      </c>
      <c r="D23">
        <v>8.5197966659099681E-4</v>
      </c>
      <c r="E23">
        <v>1.3633554746497326E-3</v>
      </c>
      <c r="F23">
        <v>0</v>
      </c>
      <c r="G23">
        <v>1.3374965026519141E-3</v>
      </c>
      <c r="H23">
        <v>0</v>
      </c>
      <c r="I23">
        <v>0</v>
      </c>
      <c r="J23">
        <v>6.1148018269160768E-3</v>
      </c>
      <c r="K23">
        <v>0</v>
      </c>
      <c r="L23">
        <v>0</v>
      </c>
      <c r="M23">
        <v>7.2955254945870104E-4</v>
      </c>
      <c r="N23">
        <v>4.1636821926490418E-3</v>
      </c>
    </row>
    <row r="24" spans="1:14" x14ac:dyDescent="0.55000000000000004">
      <c r="A24" s="2" t="s">
        <v>178</v>
      </c>
      <c r="B24">
        <v>1.5875339499184091E-4</v>
      </c>
      <c r="C24">
        <v>5.2043478317770913E-5</v>
      </c>
      <c r="D24">
        <v>3.3997341701273288E-5</v>
      </c>
      <c r="E24">
        <v>4.9041029261414865E-5</v>
      </c>
      <c r="F24">
        <v>0</v>
      </c>
      <c r="G24">
        <v>2.1555753299109292E-3</v>
      </c>
      <c r="H24">
        <v>0</v>
      </c>
      <c r="I24">
        <v>0</v>
      </c>
      <c r="J24">
        <v>7.1868140599629375E-4</v>
      </c>
      <c r="K24">
        <v>0</v>
      </c>
      <c r="L24">
        <v>0</v>
      </c>
      <c r="M24">
        <v>3.1285260451097349E-3</v>
      </c>
      <c r="N24">
        <v>8.0264647489932065E-3</v>
      </c>
    </row>
    <row r="25" spans="1:14" x14ac:dyDescent="0.55000000000000004">
      <c r="A25" s="2" t="s">
        <v>179</v>
      </c>
      <c r="B25">
        <v>8.5581430750828278E-3</v>
      </c>
      <c r="C25">
        <v>9.0633981502637895E-3</v>
      </c>
      <c r="D25">
        <v>9.3022703539556058E-3</v>
      </c>
      <c r="E25">
        <v>8.6804283283608095E-3</v>
      </c>
      <c r="F25">
        <v>7.5827254322658934E-3</v>
      </c>
      <c r="G25">
        <v>8.8596078276959537E-3</v>
      </c>
      <c r="H25">
        <v>6.7847870238666895E-3</v>
      </c>
      <c r="I25">
        <v>3.4432024903004329E-3</v>
      </c>
      <c r="J25">
        <v>4.1182732147487487E-3</v>
      </c>
      <c r="K25">
        <v>1.1549874509340136E-2</v>
      </c>
      <c r="L25">
        <v>5.7422181581000507E-3</v>
      </c>
      <c r="M25">
        <v>1.2633927180263757E-2</v>
      </c>
      <c r="N25">
        <v>3.5908419534390864E-3</v>
      </c>
    </row>
    <row r="26" spans="1:14" x14ac:dyDescent="0.55000000000000004">
      <c r="A26" s="2" t="s">
        <v>180</v>
      </c>
      <c r="B26">
        <v>6.6039791076522893E-3</v>
      </c>
      <c r="C26">
        <v>1.1299580075245796E-2</v>
      </c>
      <c r="D26">
        <v>1.2860052367007376E-2</v>
      </c>
      <c r="E26">
        <v>1.0541135710720398E-2</v>
      </c>
      <c r="F26">
        <v>9.0510548669459189E-3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55000000000000004">
      <c r="A27" s="2" t="s">
        <v>181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55000000000000004">
      <c r="A28" s="2" t="s">
        <v>182</v>
      </c>
      <c r="B28">
        <v>0</v>
      </c>
      <c r="C28">
        <v>0</v>
      </c>
      <c r="D28">
        <v>0</v>
      </c>
      <c r="E28">
        <v>0</v>
      </c>
      <c r="F28" s="5">
        <v>0</v>
      </c>
      <c r="G28" s="5">
        <v>2.6638888516284195E-4</v>
      </c>
      <c r="H28" s="5">
        <v>1.3602346013553983E-3</v>
      </c>
      <c r="I28" s="5">
        <v>0</v>
      </c>
      <c r="J28" s="5">
        <v>0</v>
      </c>
      <c r="K28">
        <v>0</v>
      </c>
      <c r="L28">
        <v>3.8689888626143695E-4</v>
      </c>
      <c r="M28">
        <v>2.3290284945322545E-4</v>
      </c>
      <c r="N28">
        <v>0</v>
      </c>
    </row>
    <row r="29" spans="1:14" x14ac:dyDescent="0.55000000000000004">
      <c r="A29" s="2" t="s">
        <v>233</v>
      </c>
      <c r="B29">
        <v>0</v>
      </c>
      <c r="C29">
        <v>0</v>
      </c>
      <c r="D29">
        <v>0</v>
      </c>
      <c r="E29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>
        <v>0</v>
      </c>
      <c r="L29">
        <v>0</v>
      </c>
      <c r="M29">
        <v>0</v>
      </c>
      <c r="N29">
        <v>0</v>
      </c>
    </row>
    <row r="30" spans="1:14" x14ac:dyDescent="0.55000000000000004">
      <c r="A30" s="2" t="s">
        <v>234</v>
      </c>
      <c r="B30">
        <v>9.1425071330042906E-2</v>
      </c>
      <c r="C30">
        <v>0.11465829154373314</v>
      </c>
      <c r="D30">
        <v>0.1156767580113597</v>
      </c>
      <c r="E30">
        <v>0.11724442662905858</v>
      </c>
      <c r="F30" s="5">
        <v>0.13780547997685683</v>
      </c>
      <c r="G30" s="5">
        <v>8.990245194213306E-2</v>
      </c>
      <c r="H30" s="5">
        <v>0.25429772858784377</v>
      </c>
      <c r="I30" s="5">
        <v>0.17234544069964564</v>
      </c>
      <c r="J30" s="5">
        <v>7.1834299449216946E-2</v>
      </c>
      <c r="K30">
        <v>5.2111109307389866E-2</v>
      </c>
      <c r="L30">
        <v>4.5128477907281063E-2</v>
      </c>
      <c r="M30">
        <v>5.3820161128844364E-2</v>
      </c>
      <c r="N30">
        <v>6.3403936219535953E-2</v>
      </c>
    </row>
    <row r="31" spans="1:14" x14ac:dyDescent="0.55000000000000004">
      <c r="A31" s="2" t="s">
        <v>115</v>
      </c>
      <c r="B31">
        <v>2.0039681908476038E-3</v>
      </c>
      <c r="C31">
        <v>7.4340693153498753E-3</v>
      </c>
      <c r="D31">
        <v>7.2166993625323375E-3</v>
      </c>
      <c r="E31">
        <v>4.7681690133864491E-3</v>
      </c>
      <c r="F31" s="5">
        <v>1.3343371957735891E-3</v>
      </c>
      <c r="G31" s="5">
        <v>2.2518242184367404E-3</v>
      </c>
      <c r="H31" s="5">
        <v>1.8290364807107547E-3</v>
      </c>
      <c r="I31" s="5">
        <v>2.0956457453851318E-3</v>
      </c>
      <c r="J31" s="5">
        <v>2.3462656453195393E-3</v>
      </c>
      <c r="K31">
        <v>2.3646102950145805E-3</v>
      </c>
      <c r="L31">
        <v>2.0632464718080227E-3</v>
      </c>
      <c r="M31">
        <v>2.4033043966976771E-3</v>
      </c>
      <c r="N31">
        <v>2.061734537068836E-3</v>
      </c>
    </row>
    <row r="32" spans="1:14" x14ac:dyDescent="0.55000000000000004">
      <c r="A32" s="2" t="s">
        <v>114</v>
      </c>
      <c r="B32">
        <v>0</v>
      </c>
      <c r="C32">
        <v>0</v>
      </c>
      <c r="D32">
        <v>0</v>
      </c>
      <c r="E32">
        <v>4.5415317303881868E-2</v>
      </c>
      <c r="F32" s="5">
        <v>0.16981086356253949</v>
      </c>
      <c r="G32" s="5">
        <v>2.3662180932934939E-2</v>
      </c>
      <c r="H32" s="5">
        <v>0.15036324602136653</v>
      </c>
      <c r="I32" s="5">
        <v>4.2617691398844991E-2</v>
      </c>
      <c r="J32" s="5">
        <v>2.0780985283732546E-4</v>
      </c>
      <c r="K32">
        <v>6.187070520222466E-3</v>
      </c>
      <c r="L32">
        <v>0</v>
      </c>
      <c r="M32">
        <v>5.7266917857084565E-3</v>
      </c>
      <c r="N32">
        <v>0</v>
      </c>
    </row>
    <row r="33" spans="1:14" x14ac:dyDescent="0.55000000000000004">
      <c r="A33" s="2" t="s">
        <v>183</v>
      </c>
      <c r="B33">
        <v>1.3133221519494608E-3</v>
      </c>
      <c r="C33">
        <v>1.5514721664379896E-3</v>
      </c>
      <c r="D33">
        <v>1.0041206457997054E-3</v>
      </c>
      <c r="E33">
        <v>8.6430144192563491E-4</v>
      </c>
      <c r="F33" s="5">
        <v>0</v>
      </c>
      <c r="G33" s="5">
        <v>7.2478557247064612E-4</v>
      </c>
      <c r="H33" s="5">
        <v>0</v>
      </c>
      <c r="I33" s="5">
        <v>0</v>
      </c>
      <c r="J33" s="5">
        <v>1.3560565189487557E-3</v>
      </c>
      <c r="K33">
        <v>0</v>
      </c>
      <c r="L33">
        <v>6.2019199417424735E-4</v>
      </c>
      <c r="M33">
        <v>9.794848709937761E-4</v>
      </c>
      <c r="N33">
        <v>1.3447732402718522E-3</v>
      </c>
    </row>
    <row r="34" spans="1:14" x14ac:dyDescent="0.55000000000000004">
      <c r="A34" s="2" t="s">
        <v>184</v>
      </c>
      <c r="B34">
        <v>2.4503177496075262E-2</v>
      </c>
      <c r="C34">
        <v>2.2961899826851088E-2</v>
      </c>
      <c r="D34">
        <v>2.225615875438931E-2</v>
      </c>
      <c r="E34">
        <v>3.1307232066984755E-2</v>
      </c>
      <c r="F34" s="5">
        <v>5.4278100291495546E-2</v>
      </c>
      <c r="G34" s="5">
        <v>1.3597212638453328E-2</v>
      </c>
      <c r="H34" s="5">
        <v>5.2555889817765357E-2</v>
      </c>
      <c r="I34" s="5">
        <v>1.5802841128659675E-2</v>
      </c>
      <c r="J34" s="5">
        <v>1.5422029344186882E-2</v>
      </c>
      <c r="K34">
        <v>6.3035674944730913E-3</v>
      </c>
      <c r="L34">
        <v>1.8577333746801193E-3</v>
      </c>
      <c r="M34">
        <v>7.5289605138620644E-3</v>
      </c>
      <c r="N34">
        <v>7.4081147021806638E-3</v>
      </c>
    </row>
    <row r="35" spans="1:14" x14ac:dyDescent="0.55000000000000004">
      <c r="A35" s="2" t="s">
        <v>185</v>
      </c>
      <c r="B35">
        <v>1.8271054828747633E-3</v>
      </c>
      <c r="C35">
        <v>1.4947261813314779E-3</v>
      </c>
      <c r="D35">
        <v>1.0410269191589822E-3</v>
      </c>
      <c r="E35">
        <v>1.0822229927795227E-3</v>
      </c>
      <c r="F35" s="5">
        <v>4.5213753789011209E-4</v>
      </c>
      <c r="G35" s="5">
        <v>2.836677312916823E-4</v>
      </c>
      <c r="H35" s="5">
        <v>2.580663236582724E-5</v>
      </c>
      <c r="I35" s="5">
        <v>0</v>
      </c>
      <c r="J35">
        <v>3.8276422714217877E-4</v>
      </c>
      <c r="K35">
        <v>3.1099934031241367E-4</v>
      </c>
      <c r="L35">
        <v>1.1411173915637997E-3</v>
      </c>
      <c r="M35">
        <v>2.9787329200089974E-4</v>
      </c>
      <c r="N35">
        <v>2.1219554024159515E-4</v>
      </c>
    </row>
    <row r="36" spans="1:14" x14ac:dyDescent="0.55000000000000004">
      <c r="A36" s="2" t="s">
        <v>186</v>
      </c>
      <c r="B36">
        <v>6.5001939377552897E-3</v>
      </c>
      <c r="C36">
        <v>7.1348388951736593E-3</v>
      </c>
      <c r="D36">
        <v>4.1740928690690788E-3</v>
      </c>
      <c r="E36">
        <v>3.8675533283659305E-3</v>
      </c>
      <c r="F36" s="5">
        <v>0</v>
      </c>
      <c r="G36" s="5">
        <v>1.4131297860145366E-4</v>
      </c>
      <c r="H36" s="5">
        <v>0</v>
      </c>
      <c r="I36" s="5">
        <v>0</v>
      </c>
      <c r="J36">
        <v>1.3269321896734623E-3</v>
      </c>
      <c r="K36">
        <v>0</v>
      </c>
      <c r="L36">
        <v>0</v>
      </c>
      <c r="M36">
        <v>0</v>
      </c>
      <c r="N36">
        <v>0</v>
      </c>
    </row>
    <row r="37" spans="1:14" x14ac:dyDescent="0.55000000000000004">
      <c r="A37" s="2" t="s">
        <v>187</v>
      </c>
      <c r="B37">
        <v>0</v>
      </c>
      <c r="C37">
        <v>0</v>
      </c>
      <c r="D37">
        <v>0</v>
      </c>
      <c r="E37">
        <v>0</v>
      </c>
      <c r="F37" s="5">
        <v>0</v>
      </c>
      <c r="G37" s="5">
        <v>3.5960144474159356E-5</v>
      </c>
      <c r="H37" s="5">
        <v>3.3948219501837417E-4</v>
      </c>
      <c r="I37" s="5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55000000000000004">
      <c r="A38" s="2" t="s">
        <v>188</v>
      </c>
      <c r="B38">
        <v>1.4918859098567871E-4</v>
      </c>
      <c r="C38">
        <v>6.3134038421885799E-5</v>
      </c>
      <c r="D38">
        <v>5.8331031302131027E-5</v>
      </c>
      <c r="E38">
        <v>6.8907928032714907E-5</v>
      </c>
      <c r="F38">
        <v>3.6428811104109209E-5</v>
      </c>
      <c r="G38" s="5">
        <v>9.4161981292444473E-5</v>
      </c>
      <c r="H38" s="5">
        <v>0</v>
      </c>
      <c r="I38" s="5">
        <v>0</v>
      </c>
      <c r="J38">
        <v>1.2020026109401679E-4</v>
      </c>
      <c r="K38">
        <v>7.1353623118553113E-5</v>
      </c>
      <c r="L38">
        <v>2.501544514231366E-4</v>
      </c>
      <c r="M38">
        <v>1.0855045410375947E-4</v>
      </c>
      <c r="N38">
        <v>1.5345632050867646E-4</v>
      </c>
    </row>
    <row r="39" spans="1:14" x14ac:dyDescent="0.55000000000000004">
      <c r="A39" s="2" t="s">
        <v>189</v>
      </c>
      <c r="B39">
        <v>1.3429673559939381E-3</v>
      </c>
      <c r="C39">
        <v>1.1653940625951976E-3</v>
      </c>
      <c r="D39">
        <v>1.0356005519330524E-3</v>
      </c>
      <c r="E39">
        <v>8.2979705562745236E-4</v>
      </c>
      <c r="F39">
        <v>0</v>
      </c>
      <c r="G39" s="5">
        <v>5.9808626850513073E-4</v>
      </c>
      <c r="H39" s="5">
        <v>0</v>
      </c>
      <c r="I39" s="5">
        <v>0</v>
      </c>
      <c r="J39">
        <v>2.2833257681294725E-3</v>
      </c>
      <c r="K39">
        <v>1.5105304368154835E-4</v>
      </c>
      <c r="L39">
        <v>5.5456592037233686E-4</v>
      </c>
      <c r="M39">
        <v>4.2259196233692867E-4</v>
      </c>
      <c r="N39">
        <v>1.4254432271401164E-3</v>
      </c>
    </row>
    <row r="40" spans="1:14" x14ac:dyDescent="0.55000000000000004">
      <c r="A40" s="2" t="s">
        <v>190</v>
      </c>
      <c r="B40">
        <v>6.1252393463067956E-5</v>
      </c>
      <c r="C40">
        <v>2.4610270950939492E-4</v>
      </c>
      <c r="D40">
        <v>3.009437615088316E-4</v>
      </c>
      <c r="E40">
        <v>1.7131989871811028E-4</v>
      </c>
      <c r="F40">
        <v>0</v>
      </c>
      <c r="G40" s="5">
        <v>0</v>
      </c>
      <c r="H40" s="5">
        <v>0</v>
      </c>
      <c r="I40" s="5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55000000000000004">
      <c r="A41" s="2" t="s">
        <v>191</v>
      </c>
      <c r="B41">
        <v>4.4084497400017891E-3</v>
      </c>
      <c r="C41">
        <v>2.7535739517498344E-3</v>
      </c>
      <c r="D41">
        <v>2.348230744997582E-3</v>
      </c>
      <c r="E41">
        <v>2.1335034450049657E-3</v>
      </c>
      <c r="F41">
        <v>0</v>
      </c>
      <c r="G41" s="5">
        <v>1.3769421553274039E-3</v>
      </c>
      <c r="H41" s="5">
        <v>0</v>
      </c>
      <c r="I41" s="5">
        <v>1.4025264726274676E-4</v>
      </c>
      <c r="J41">
        <v>3.6046780383061816E-3</v>
      </c>
      <c r="K41">
        <v>7.2062385507049053E-4</v>
      </c>
      <c r="L41">
        <v>4.8851444801519049E-4</v>
      </c>
      <c r="M41">
        <v>1.3073105502957511E-3</v>
      </c>
      <c r="N41">
        <v>3.4760130954591276E-3</v>
      </c>
    </row>
    <row r="42" spans="1:14" x14ac:dyDescent="0.55000000000000004">
      <c r="A42" s="2" t="s">
        <v>192</v>
      </c>
      <c r="B42">
        <v>1.1987463311307512E-3</v>
      </c>
      <c r="C42">
        <v>9.8636262221276348E-4</v>
      </c>
      <c r="D42">
        <v>6.3042545001944E-4</v>
      </c>
      <c r="E42">
        <v>6.6837475806735835E-4</v>
      </c>
      <c r="F42">
        <v>2.2088668540224063E-4</v>
      </c>
      <c r="G42" s="5">
        <v>2.1869647504722785E-3</v>
      </c>
      <c r="H42" s="5">
        <v>7.2936259909994847E-4</v>
      </c>
      <c r="I42" s="5">
        <v>1.8471009288190646E-3</v>
      </c>
      <c r="J42">
        <v>2.5867511208651887E-4</v>
      </c>
      <c r="K42">
        <v>2.7946212630915713E-3</v>
      </c>
      <c r="L42">
        <v>3.7046414658526957E-3</v>
      </c>
      <c r="M42">
        <v>3.0395066534609858E-3</v>
      </c>
      <c r="N42">
        <v>8.3910090165554348E-4</v>
      </c>
    </row>
    <row r="43" spans="1:14" x14ac:dyDescent="0.55000000000000004">
      <c r="A43" s="2" t="s">
        <v>235</v>
      </c>
      <c r="B43">
        <v>0</v>
      </c>
      <c r="C43">
        <v>0</v>
      </c>
      <c r="D43">
        <v>0</v>
      </c>
      <c r="E43">
        <v>0</v>
      </c>
      <c r="F43">
        <v>0</v>
      </c>
      <c r="G43" s="5">
        <v>0</v>
      </c>
      <c r="H43" s="5">
        <v>0</v>
      </c>
      <c r="I43" s="5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55000000000000004">
      <c r="A44" s="2" t="s">
        <v>236</v>
      </c>
      <c r="B44">
        <v>0</v>
      </c>
      <c r="C44">
        <v>0</v>
      </c>
      <c r="D44">
        <v>0</v>
      </c>
      <c r="E44">
        <v>0</v>
      </c>
      <c r="F44">
        <v>0</v>
      </c>
      <c r="G44" s="5">
        <v>7.2083583541635092E-5</v>
      </c>
      <c r="H44" s="5">
        <v>0</v>
      </c>
      <c r="I44" s="5">
        <v>0</v>
      </c>
      <c r="J44">
        <v>6.7686654329305771E-4</v>
      </c>
      <c r="K44">
        <v>0</v>
      </c>
      <c r="L44">
        <v>0</v>
      </c>
      <c r="M44">
        <v>0</v>
      </c>
      <c r="N44">
        <v>0</v>
      </c>
    </row>
    <row r="45" spans="1:14" x14ac:dyDescent="0.55000000000000004">
      <c r="A45" s="2" t="s">
        <v>193</v>
      </c>
      <c r="B45">
        <v>7.8206783057469587E-2</v>
      </c>
      <c r="C45">
        <v>8.4677494168478376E-2</v>
      </c>
      <c r="D45">
        <v>8.6469320240155509E-2</v>
      </c>
      <c r="E45">
        <v>6.8983596724529708E-2</v>
      </c>
      <c r="F45">
        <v>2.7371893790738233E-2</v>
      </c>
      <c r="G45" s="5">
        <v>8.174719445765799E-2</v>
      </c>
      <c r="H45" s="5">
        <v>1.7229529022435455E-3</v>
      </c>
      <c r="I45" s="5">
        <v>4.3557461703298557E-2</v>
      </c>
      <c r="J45">
        <v>8.9894614192405756E-2</v>
      </c>
      <c r="K45">
        <v>8.5087948837550748E-2</v>
      </c>
      <c r="L45">
        <v>0.14723352959020747</v>
      </c>
      <c r="M45">
        <v>9.2815973932817736E-2</v>
      </c>
      <c r="N45">
        <v>0.11713434639258051</v>
      </c>
    </row>
    <row r="46" spans="1:14" x14ac:dyDescent="0.55000000000000004">
      <c r="A46" s="2" t="s">
        <v>237</v>
      </c>
      <c r="B46">
        <v>0</v>
      </c>
      <c r="C46">
        <v>0</v>
      </c>
      <c r="D46">
        <v>0</v>
      </c>
      <c r="E46">
        <v>0</v>
      </c>
      <c r="F46">
        <v>0</v>
      </c>
      <c r="G46" s="5">
        <v>0</v>
      </c>
      <c r="H46" s="5">
        <v>0</v>
      </c>
      <c r="I46" s="5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55000000000000004">
      <c r="A47" s="2" t="s">
        <v>194</v>
      </c>
      <c r="B47">
        <v>0</v>
      </c>
      <c r="C47">
        <v>4.220867291126502E-4</v>
      </c>
      <c r="D47">
        <v>4.1155547495019812E-4</v>
      </c>
      <c r="E47">
        <v>2.3146965368057681E-4</v>
      </c>
      <c r="F47">
        <v>0</v>
      </c>
      <c r="G47" s="5">
        <v>0</v>
      </c>
      <c r="H47" s="5">
        <v>0</v>
      </c>
      <c r="I47" s="5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55000000000000004">
      <c r="A48" s="2" t="s">
        <v>195</v>
      </c>
      <c r="B48">
        <v>0</v>
      </c>
      <c r="C48">
        <v>0</v>
      </c>
      <c r="D48">
        <v>0</v>
      </c>
      <c r="E48">
        <v>0</v>
      </c>
      <c r="F48">
        <v>0</v>
      </c>
      <c r="G48" s="5">
        <v>0</v>
      </c>
      <c r="H48" s="5">
        <v>0</v>
      </c>
      <c r="I48" s="5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55000000000000004">
      <c r="A49" s="2" t="s">
        <v>196</v>
      </c>
      <c r="B49">
        <v>0</v>
      </c>
      <c r="C49">
        <v>0</v>
      </c>
      <c r="D49">
        <v>0</v>
      </c>
      <c r="E49">
        <v>0</v>
      </c>
      <c r="F49">
        <v>0</v>
      </c>
      <c r="G49" s="5">
        <v>0</v>
      </c>
      <c r="H49" s="5">
        <v>0</v>
      </c>
      <c r="I49" s="5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55000000000000004">
      <c r="G50" s="5"/>
      <c r="H50" s="5"/>
      <c r="I50" s="5"/>
    </row>
    <row r="51" spans="1:14" x14ac:dyDescent="0.55000000000000004">
      <c r="G51" s="5"/>
      <c r="H51" s="5"/>
      <c r="I51" s="5"/>
    </row>
    <row r="52" spans="1:14" x14ac:dyDescent="0.55000000000000004">
      <c r="G52" s="5"/>
      <c r="H52" s="5"/>
      <c r="I52" s="5"/>
    </row>
    <row r="53" spans="1:14" x14ac:dyDescent="0.55000000000000004">
      <c r="B53" s="5"/>
      <c r="D53" s="5"/>
      <c r="G53" s="5"/>
      <c r="H53" s="5"/>
      <c r="I53" s="5"/>
    </row>
    <row r="54" spans="1:14" x14ac:dyDescent="0.55000000000000004">
      <c r="B54" s="5"/>
      <c r="D54" s="5"/>
      <c r="G54" s="5"/>
      <c r="H54" s="5"/>
      <c r="I54" s="5"/>
    </row>
    <row r="55" spans="1:14" x14ac:dyDescent="0.55000000000000004">
      <c r="B55" s="5"/>
      <c r="D55" s="5"/>
      <c r="G55" s="5"/>
      <c r="H55" s="5"/>
      <c r="I55" s="5"/>
    </row>
    <row r="56" spans="1:14" x14ac:dyDescent="0.55000000000000004">
      <c r="B56" s="5"/>
      <c r="D56" s="5"/>
      <c r="G56" s="5"/>
      <c r="H56" s="5"/>
      <c r="I56" s="5"/>
    </row>
    <row r="57" spans="1:14" x14ac:dyDescent="0.55000000000000004">
      <c r="B57" s="5"/>
      <c r="D57" s="5"/>
      <c r="G57" s="5"/>
      <c r="H57" s="5"/>
      <c r="I57" s="5"/>
    </row>
    <row r="58" spans="1:14" x14ac:dyDescent="0.55000000000000004">
      <c r="B58" s="5"/>
      <c r="D58" s="5"/>
      <c r="G58" s="5"/>
      <c r="H58" s="5"/>
      <c r="I58" s="5"/>
    </row>
    <row r="59" spans="1:14" x14ac:dyDescent="0.55000000000000004">
      <c r="B59" s="5"/>
      <c r="D59" s="5"/>
      <c r="G59" s="5"/>
      <c r="H59" s="5"/>
      <c r="I59" s="5"/>
    </row>
    <row r="60" spans="1:14" x14ac:dyDescent="0.55000000000000004">
      <c r="B60" s="5"/>
      <c r="D60" s="5"/>
      <c r="G60" s="5"/>
      <c r="H60" s="5"/>
      <c r="I60" s="5"/>
    </row>
    <row r="61" spans="1:14" x14ac:dyDescent="0.55000000000000004">
      <c r="B61" s="5"/>
      <c r="D61" s="5"/>
      <c r="G61" s="5"/>
      <c r="H61" s="5"/>
      <c r="I61" s="5"/>
    </row>
    <row r="62" spans="1:14" x14ac:dyDescent="0.55000000000000004">
      <c r="B62" s="5"/>
      <c r="D62" s="5"/>
      <c r="G62" s="5"/>
      <c r="H62" s="5"/>
      <c r="I62" s="5"/>
    </row>
    <row r="63" spans="1:14" x14ac:dyDescent="0.55000000000000004">
      <c r="B63" s="5"/>
      <c r="D63" s="5"/>
      <c r="G63" s="5"/>
      <c r="H63" s="5"/>
      <c r="I63" s="5"/>
    </row>
    <row r="64" spans="1:14" x14ac:dyDescent="0.55000000000000004">
      <c r="B64" s="5"/>
      <c r="D64" s="5"/>
      <c r="G64" s="5"/>
      <c r="H64" s="5"/>
      <c r="I64" s="5"/>
    </row>
    <row r="65" spans="2:9" x14ac:dyDescent="0.55000000000000004">
      <c r="B65" s="5"/>
      <c r="D65" s="5"/>
      <c r="G65" s="5"/>
      <c r="H65" s="5"/>
      <c r="I65" s="5"/>
    </row>
    <row r="66" spans="2:9" x14ac:dyDescent="0.55000000000000004">
      <c r="B66" s="5"/>
      <c r="D66" s="5"/>
      <c r="G66" s="5"/>
      <c r="H66" s="5"/>
      <c r="I66" s="5"/>
    </row>
    <row r="67" spans="2:9" x14ac:dyDescent="0.55000000000000004">
      <c r="B67" s="5"/>
      <c r="C67" s="5"/>
    </row>
    <row r="68" spans="2:9" x14ac:dyDescent="0.55000000000000004">
      <c r="B68" s="5"/>
      <c r="C68" s="5"/>
    </row>
    <row r="69" spans="2:9" x14ac:dyDescent="0.55000000000000004">
      <c r="B69" s="5"/>
      <c r="C69" s="5"/>
    </row>
    <row r="70" spans="2:9" x14ac:dyDescent="0.55000000000000004">
      <c r="B70" s="5"/>
      <c r="C70" s="5"/>
    </row>
    <row r="71" spans="2:9" x14ac:dyDescent="0.55000000000000004">
      <c r="B71" s="5"/>
      <c r="C71" s="5"/>
    </row>
    <row r="72" spans="2:9" x14ac:dyDescent="0.55000000000000004">
      <c r="B72" s="5"/>
      <c r="C72" s="5"/>
    </row>
    <row r="73" spans="2:9" x14ac:dyDescent="0.55000000000000004">
      <c r="B73" s="5"/>
      <c r="C73" s="5"/>
    </row>
    <row r="74" spans="2:9" x14ac:dyDescent="0.55000000000000004">
      <c r="B74" s="5"/>
      <c r="C74" s="5"/>
    </row>
    <row r="75" spans="2:9" x14ac:dyDescent="0.55000000000000004">
      <c r="B75" s="5"/>
      <c r="C75" s="5"/>
    </row>
    <row r="76" spans="2:9" x14ac:dyDescent="0.55000000000000004">
      <c r="B76" s="5"/>
      <c r="C76" s="5"/>
    </row>
    <row r="77" spans="2:9" x14ac:dyDescent="0.55000000000000004">
      <c r="B77" s="5"/>
      <c r="C77" s="5"/>
    </row>
    <row r="78" spans="2:9" x14ac:dyDescent="0.55000000000000004">
      <c r="B78" s="5"/>
      <c r="C78" s="5"/>
    </row>
    <row r="79" spans="2:9" x14ac:dyDescent="0.55000000000000004">
      <c r="B79" s="5"/>
      <c r="C79" s="5"/>
    </row>
    <row r="80" spans="2:9" x14ac:dyDescent="0.55000000000000004">
      <c r="B80" s="5"/>
      <c r="C80" s="5"/>
    </row>
    <row r="81" spans="2:3" x14ac:dyDescent="0.55000000000000004">
      <c r="B81" s="5"/>
      <c r="C81" s="5"/>
    </row>
    <row r="82" spans="2:3" x14ac:dyDescent="0.55000000000000004">
      <c r="B82" s="5"/>
      <c r="C82" s="5"/>
    </row>
    <row r="83" spans="2:3" x14ac:dyDescent="0.55000000000000004">
      <c r="B83" s="5"/>
      <c r="C83" s="5"/>
    </row>
    <row r="84" spans="2:3" x14ac:dyDescent="0.55000000000000004">
      <c r="B84" s="5"/>
      <c r="C84" s="5"/>
    </row>
    <row r="85" spans="2:3" x14ac:dyDescent="0.55000000000000004">
      <c r="B85" s="5"/>
      <c r="C85" s="5"/>
    </row>
    <row r="86" spans="2:3" x14ac:dyDescent="0.55000000000000004">
      <c r="B86" s="5"/>
      <c r="C86" s="5"/>
    </row>
    <row r="87" spans="2:3" x14ac:dyDescent="0.55000000000000004">
      <c r="B87" s="5"/>
      <c r="C87" s="5"/>
    </row>
    <row r="88" spans="2:3" x14ac:dyDescent="0.55000000000000004">
      <c r="B88" s="5"/>
      <c r="C88" s="5"/>
    </row>
    <row r="89" spans="2:3" x14ac:dyDescent="0.55000000000000004">
      <c r="B89" s="5"/>
      <c r="C89" s="5"/>
    </row>
    <row r="90" spans="2:3" x14ac:dyDescent="0.55000000000000004">
      <c r="B90" s="5"/>
      <c r="C90" s="5"/>
    </row>
    <row r="91" spans="2:3" x14ac:dyDescent="0.55000000000000004">
      <c r="B91" s="5"/>
      <c r="C91" s="5"/>
    </row>
    <row r="92" spans="2:3" x14ac:dyDescent="0.55000000000000004">
      <c r="B92" s="5"/>
      <c r="C92" s="5"/>
    </row>
    <row r="93" spans="2:3" x14ac:dyDescent="0.55000000000000004">
      <c r="B93" s="5"/>
      <c r="C93" s="5"/>
    </row>
    <row r="94" spans="2:3" x14ac:dyDescent="0.55000000000000004">
      <c r="B94" s="5"/>
      <c r="C94" s="5"/>
    </row>
    <row r="95" spans="2:3" x14ac:dyDescent="0.55000000000000004">
      <c r="B95" s="5"/>
      <c r="C95" s="5"/>
    </row>
    <row r="96" spans="2:3" x14ac:dyDescent="0.55000000000000004">
      <c r="B96" s="5"/>
      <c r="C96" s="5"/>
    </row>
    <row r="97" spans="2:3" x14ac:dyDescent="0.55000000000000004">
      <c r="B97" s="5"/>
      <c r="C97" s="5"/>
    </row>
    <row r="98" spans="2:3" x14ac:dyDescent="0.55000000000000004">
      <c r="B98" s="5"/>
      <c r="C98" s="5"/>
    </row>
    <row r="99" spans="2:3" x14ac:dyDescent="0.55000000000000004">
      <c r="B99" s="5"/>
      <c r="C99" s="5"/>
    </row>
    <row r="100" spans="2:3" x14ac:dyDescent="0.55000000000000004">
      <c r="B100" s="5"/>
      <c r="C100" s="5"/>
    </row>
    <row r="101" spans="2:3" x14ac:dyDescent="0.55000000000000004">
      <c r="B101" s="5"/>
      <c r="C101" s="5"/>
    </row>
    <row r="102" spans="2:3" x14ac:dyDescent="0.55000000000000004">
      <c r="B102" s="5"/>
      <c r="C102" s="5"/>
    </row>
    <row r="103" spans="2:3" x14ac:dyDescent="0.55000000000000004">
      <c r="B103" s="5"/>
      <c r="C103" s="5"/>
    </row>
    <row r="104" spans="2:3" x14ac:dyDescent="0.55000000000000004">
      <c r="B104" s="5"/>
      <c r="C104" s="5"/>
    </row>
    <row r="105" spans="2:3" x14ac:dyDescent="0.55000000000000004">
      <c r="B105" s="5"/>
      <c r="C105" s="5"/>
    </row>
    <row r="106" spans="2:3" x14ac:dyDescent="0.55000000000000004">
      <c r="B106" s="5"/>
      <c r="C106" s="5"/>
    </row>
    <row r="107" spans="2:3" x14ac:dyDescent="0.55000000000000004">
      <c r="B107" s="5"/>
      <c r="C107" s="5"/>
    </row>
    <row r="108" spans="2:3" x14ac:dyDescent="0.55000000000000004">
      <c r="B108" s="5"/>
      <c r="C108" s="5"/>
    </row>
    <row r="109" spans="2:3" x14ac:dyDescent="0.55000000000000004">
      <c r="B109" s="5"/>
      <c r="C109" s="5"/>
    </row>
    <row r="110" spans="2:3" x14ac:dyDescent="0.55000000000000004">
      <c r="B110" s="5"/>
      <c r="C110" s="5"/>
    </row>
    <row r="111" spans="2:3" x14ac:dyDescent="0.55000000000000004">
      <c r="B111" s="5"/>
      <c r="C111" s="5"/>
    </row>
    <row r="112" spans="2:3" x14ac:dyDescent="0.55000000000000004">
      <c r="B112" s="5"/>
      <c r="C112" s="5"/>
    </row>
    <row r="113" spans="2:3" x14ac:dyDescent="0.55000000000000004">
      <c r="B113" s="5"/>
      <c r="C113" s="5"/>
    </row>
    <row r="114" spans="2:3" x14ac:dyDescent="0.55000000000000004">
      <c r="B114" s="5"/>
      <c r="C114" s="5"/>
    </row>
    <row r="115" spans="2:3" x14ac:dyDescent="0.55000000000000004">
      <c r="B115" s="5"/>
      <c r="C115" s="5"/>
    </row>
    <row r="116" spans="2:3" x14ac:dyDescent="0.55000000000000004">
      <c r="B116" s="5"/>
      <c r="C116" s="5"/>
    </row>
    <row r="117" spans="2:3" x14ac:dyDescent="0.55000000000000004">
      <c r="B117" s="5"/>
      <c r="C117" s="5"/>
    </row>
    <row r="118" spans="2:3" x14ac:dyDescent="0.55000000000000004">
      <c r="B118" s="5"/>
      <c r="C118" s="5"/>
    </row>
    <row r="119" spans="2:3" x14ac:dyDescent="0.55000000000000004">
      <c r="B119" s="5"/>
      <c r="C119" s="5"/>
    </row>
    <row r="120" spans="2:3" x14ac:dyDescent="0.55000000000000004">
      <c r="B120" s="5"/>
      <c r="C120" s="5"/>
    </row>
    <row r="121" spans="2:3" x14ac:dyDescent="0.55000000000000004">
      <c r="B121" s="5"/>
      <c r="C121" s="5"/>
    </row>
    <row r="122" spans="2:3" x14ac:dyDescent="0.55000000000000004">
      <c r="B122" s="5"/>
      <c r="C122" s="5"/>
    </row>
    <row r="123" spans="2:3" x14ac:dyDescent="0.55000000000000004">
      <c r="B123" s="5"/>
      <c r="C123" s="5"/>
    </row>
    <row r="124" spans="2:3" x14ac:dyDescent="0.55000000000000004">
      <c r="B124" s="5"/>
      <c r="C124" s="5"/>
    </row>
    <row r="125" spans="2:3" x14ac:dyDescent="0.55000000000000004">
      <c r="B125" s="5"/>
      <c r="C125" s="5"/>
    </row>
    <row r="126" spans="2:3" x14ac:dyDescent="0.55000000000000004">
      <c r="B126" s="5"/>
      <c r="C126" s="5"/>
    </row>
    <row r="127" spans="2:3" x14ac:dyDescent="0.55000000000000004">
      <c r="B127" s="5"/>
      <c r="C127" s="5"/>
    </row>
    <row r="128" spans="2:3" x14ac:dyDescent="0.55000000000000004">
      <c r="B128" s="5"/>
      <c r="C128" s="5"/>
    </row>
    <row r="129" spans="2:3" x14ac:dyDescent="0.55000000000000004">
      <c r="B129" s="5"/>
      <c r="C129" s="5"/>
    </row>
    <row r="130" spans="2:3" x14ac:dyDescent="0.55000000000000004">
      <c r="B130" s="5"/>
      <c r="C130" s="5"/>
    </row>
    <row r="131" spans="2:3" x14ac:dyDescent="0.55000000000000004">
      <c r="B131" s="5"/>
      <c r="C131" s="5"/>
    </row>
    <row r="132" spans="2:3" x14ac:dyDescent="0.55000000000000004">
      <c r="B132" s="5"/>
      <c r="C132" s="5"/>
    </row>
    <row r="133" spans="2:3" x14ac:dyDescent="0.55000000000000004">
      <c r="B133" s="5"/>
      <c r="C133" s="5"/>
    </row>
    <row r="134" spans="2:3" x14ac:dyDescent="0.55000000000000004">
      <c r="B134" s="5"/>
      <c r="C134" s="5"/>
    </row>
    <row r="135" spans="2:3" x14ac:dyDescent="0.55000000000000004">
      <c r="B135" s="5"/>
      <c r="C135" s="5"/>
    </row>
    <row r="136" spans="2:3" x14ac:dyDescent="0.55000000000000004">
      <c r="B136" s="5"/>
      <c r="C136" s="5"/>
    </row>
    <row r="137" spans="2:3" x14ac:dyDescent="0.55000000000000004">
      <c r="B137" s="5"/>
      <c r="C137" s="5"/>
    </row>
    <row r="138" spans="2:3" x14ac:dyDescent="0.55000000000000004">
      <c r="B138" s="5"/>
      <c r="C138" s="5"/>
    </row>
    <row r="139" spans="2:3" x14ac:dyDescent="0.55000000000000004">
      <c r="B139" s="5"/>
      <c r="C139" s="5"/>
    </row>
    <row r="140" spans="2:3" x14ac:dyDescent="0.55000000000000004">
      <c r="B140" s="5"/>
      <c r="C140" s="5"/>
    </row>
    <row r="141" spans="2:3" x14ac:dyDescent="0.55000000000000004">
      <c r="B141" s="5"/>
      <c r="C141" s="5"/>
    </row>
    <row r="142" spans="2:3" x14ac:dyDescent="0.55000000000000004">
      <c r="B142" s="5"/>
      <c r="C142" s="5"/>
    </row>
    <row r="143" spans="2:3" x14ac:dyDescent="0.55000000000000004">
      <c r="B143" s="5"/>
      <c r="C143" s="5"/>
    </row>
    <row r="144" spans="2:3" x14ac:dyDescent="0.55000000000000004">
      <c r="B144" s="5"/>
      <c r="C144" s="5"/>
    </row>
    <row r="145" spans="2:3" x14ac:dyDescent="0.55000000000000004">
      <c r="B145" s="5"/>
      <c r="C145" s="5"/>
    </row>
    <row r="146" spans="2:3" x14ac:dyDescent="0.55000000000000004">
      <c r="B146" s="5"/>
      <c r="C146" s="5"/>
    </row>
    <row r="147" spans="2:3" x14ac:dyDescent="0.55000000000000004">
      <c r="B147" s="5"/>
      <c r="C147" s="5"/>
    </row>
    <row r="148" spans="2:3" x14ac:dyDescent="0.55000000000000004">
      <c r="B148" s="5"/>
      <c r="C148" s="5"/>
    </row>
    <row r="149" spans="2:3" x14ac:dyDescent="0.55000000000000004">
      <c r="B149" s="5"/>
      <c r="C149" s="5"/>
    </row>
    <row r="150" spans="2:3" x14ac:dyDescent="0.55000000000000004">
      <c r="B150" s="5"/>
      <c r="C150" s="5"/>
    </row>
    <row r="151" spans="2:3" x14ac:dyDescent="0.55000000000000004">
      <c r="B151" s="5"/>
      <c r="C151" s="5"/>
    </row>
    <row r="152" spans="2:3" x14ac:dyDescent="0.55000000000000004">
      <c r="B152" s="5"/>
      <c r="C152" s="5"/>
    </row>
    <row r="153" spans="2:3" x14ac:dyDescent="0.55000000000000004">
      <c r="B153" s="5"/>
      <c r="C153" s="5"/>
    </row>
    <row r="154" spans="2:3" x14ac:dyDescent="0.55000000000000004">
      <c r="B154" s="5"/>
      <c r="C154" s="5"/>
    </row>
    <row r="155" spans="2:3" x14ac:dyDescent="0.55000000000000004">
      <c r="B155" s="5"/>
      <c r="C155" s="5"/>
    </row>
    <row r="156" spans="2:3" x14ac:dyDescent="0.55000000000000004">
      <c r="B156" s="5"/>
      <c r="C156" s="5"/>
    </row>
    <row r="157" spans="2:3" x14ac:dyDescent="0.55000000000000004">
      <c r="B157" s="5"/>
      <c r="C157" s="5"/>
    </row>
    <row r="158" spans="2:3" x14ac:dyDescent="0.55000000000000004">
      <c r="B158" s="5"/>
      <c r="C158" s="5"/>
    </row>
    <row r="159" spans="2:3" x14ac:dyDescent="0.55000000000000004">
      <c r="B159" s="5"/>
      <c r="C159" s="5"/>
    </row>
    <row r="160" spans="2:3" x14ac:dyDescent="0.55000000000000004">
      <c r="B160" s="5"/>
      <c r="C160" s="5"/>
    </row>
    <row r="161" spans="2:3" x14ac:dyDescent="0.55000000000000004">
      <c r="B161" s="5"/>
      <c r="C161" s="5"/>
    </row>
    <row r="162" spans="2:3" x14ac:dyDescent="0.55000000000000004">
      <c r="B162" s="5"/>
      <c r="C162" s="5"/>
    </row>
    <row r="163" spans="2:3" x14ac:dyDescent="0.55000000000000004">
      <c r="B163" s="5"/>
      <c r="C163" s="5"/>
    </row>
    <row r="164" spans="2:3" x14ac:dyDescent="0.55000000000000004">
      <c r="B164" s="5"/>
      <c r="C164" s="5"/>
    </row>
    <row r="165" spans="2:3" x14ac:dyDescent="0.55000000000000004">
      <c r="B165" s="5"/>
      <c r="C165" s="5"/>
    </row>
    <row r="166" spans="2:3" x14ac:dyDescent="0.55000000000000004">
      <c r="B166" s="5"/>
      <c r="C166" s="5"/>
    </row>
    <row r="167" spans="2:3" x14ac:dyDescent="0.55000000000000004">
      <c r="B167" s="5"/>
      <c r="C167" s="5"/>
    </row>
    <row r="168" spans="2:3" x14ac:dyDescent="0.55000000000000004">
      <c r="B168" s="5"/>
      <c r="C168" s="5"/>
    </row>
    <row r="169" spans="2:3" x14ac:dyDescent="0.55000000000000004">
      <c r="B169" s="5"/>
      <c r="C169" s="5"/>
    </row>
    <row r="170" spans="2:3" x14ac:dyDescent="0.55000000000000004">
      <c r="B170" s="5"/>
      <c r="C170" s="5"/>
    </row>
    <row r="171" spans="2:3" x14ac:dyDescent="0.55000000000000004">
      <c r="B171" s="5"/>
      <c r="C171" s="5"/>
    </row>
    <row r="172" spans="2:3" x14ac:dyDescent="0.55000000000000004">
      <c r="B172" s="5"/>
      <c r="C172" s="5"/>
    </row>
    <row r="173" spans="2:3" x14ac:dyDescent="0.55000000000000004">
      <c r="B173" s="5"/>
      <c r="C173" s="5"/>
    </row>
    <row r="174" spans="2:3" x14ac:dyDescent="0.55000000000000004">
      <c r="B174" s="5"/>
      <c r="C174" s="5"/>
    </row>
    <row r="175" spans="2:3" x14ac:dyDescent="0.55000000000000004">
      <c r="B175" s="5"/>
      <c r="C175" s="5"/>
    </row>
    <row r="176" spans="2:3" x14ac:dyDescent="0.55000000000000004">
      <c r="B176" s="5"/>
      <c r="C176" s="5"/>
    </row>
    <row r="177" spans="2:3" x14ac:dyDescent="0.55000000000000004">
      <c r="B177" s="5"/>
      <c r="C177" s="5"/>
    </row>
    <row r="178" spans="2:3" x14ac:dyDescent="0.55000000000000004">
      <c r="B178" s="5"/>
      <c r="C178" s="5"/>
    </row>
    <row r="179" spans="2:3" x14ac:dyDescent="0.55000000000000004">
      <c r="B179" s="5"/>
      <c r="C179" s="5"/>
    </row>
    <row r="180" spans="2:3" x14ac:dyDescent="0.55000000000000004">
      <c r="B180" s="5"/>
      <c r="C180" s="5"/>
    </row>
    <row r="181" spans="2:3" x14ac:dyDescent="0.55000000000000004">
      <c r="B181" s="5"/>
      <c r="C181" s="5"/>
    </row>
    <row r="182" spans="2:3" x14ac:dyDescent="0.55000000000000004">
      <c r="B182" s="5"/>
      <c r="C182" s="5"/>
    </row>
    <row r="183" spans="2:3" x14ac:dyDescent="0.55000000000000004">
      <c r="B183" s="5"/>
      <c r="C183" s="5"/>
    </row>
    <row r="184" spans="2:3" x14ac:dyDescent="0.55000000000000004">
      <c r="B184" s="5"/>
      <c r="C184" s="5"/>
    </row>
    <row r="185" spans="2:3" x14ac:dyDescent="0.55000000000000004">
      <c r="B185" s="5"/>
      <c r="C185" s="5"/>
    </row>
    <row r="186" spans="2:3" x14ac:dyDescent="0.55000000000000004">
      <c r="B186" s="5"/>
      <c r="C186" s="5"/>
    </row>
    <row r="187" spans="2:3" x14ac:dyDescent="0.55000000000000004">
      <c r="B187" s="5"/>
      <c r="C187" s="5"/>
    </row>
    <row r="188" spans="2:3" x14ac:dyDescent="0.55000000000000004">
      <c r="B188" s="5"/>
      <c r="C188" s="5"/>
    </row>
    <row r="189" spans="2:3" x14ac:dyDescent="0.55000000000000004">
      <c r="B189" s="5"/>
      <c r="C189" s="5"/>
    </row>
    <row r="190" spans="2:3" x14ac:dyDescent="0.55000000000000004">
      <c r="B190" s="5"/>
      <c r="C190" s="5"/>
    </row>
    <row r="191" spans="2:3" x14ac:dyDescent="0.55000000000000004">
      <c r="B191" s="5"/>
      <c r="C191" s="5"/>
    </row>
    <row r="192" spans="2:3" x14ac:dyDescent="0.55000000000000004">
      <c r="B192" s="5"/>
      <c r="C192" s="5"/>
    </row>
    <row r="193" spans="2:3" x14ac:dyDescent="0.55000000000000004">
      <c r="B193" s="5"/>
      <c r="C193" s="5"/>
    </row>
    <row r="194" spans="2:3" x14ac:dyDescent="0.55000000000000004">
      <c r="B194" s="5"/>
      <c r="C194" s="5"/>
    </row>
    <row r="195" spans="2:3" x14ac:dyDescent="0.55000000000000004">
      <c r="B195" s="5"/>
      <c r="C195" s="5"/>
    </row>
    <row r="196" spans="2:3" x14ac:dyDescent="0.55000000000000004">
      <c r="B196" s="5"/>
      <c r="C196" s="5"/>
    </row>
    <row r="197" spans="2:3" x14ac:dyDescent="0.55000000000000004">
      <c r="B197" s="5"/>
      <c r="C197" s="5"/>
    </row>
    <row r="198" spans="2:3" x14ac:dyDescent="0.55000000000000004">
      <c r="B198" s="5"/>
      <c r="C198" s="5"/>
    </row>
    <row r="199" spans="2:3" x14ac:dyDescent="0.55000000000000004">
      <c r="B199" s="5"/>
      <c r="C199" s="5"/>
    </row>
    <row r="200" spans="2:3" x14ac:dyDescent="0.55000000000000004">
      <c r="B200" s="5"/>
      <c r="C200" s="5"/>
    </row>
    <row r="201" spans="2:3" x14ac:dyDescent="0.55000000000000004">
      <c r="B201" s="5"/>
      <c r="C201" s="5"/>
    </row>
    <row r="202" spans="2:3" x14ac:dyDescent="0.55000000000000004">
      <c r="B202" s="5"/>
      <c r="C202" s="5"/>
    </row>
    <row r="203" spans="2:3" x14ac:dyDescent="0.55000000000000004">
      <c r="B203" s="5"/>
      <c r="C203" s="5"/>
    </row>
    <row r="204" spans="2:3" x14ac:dyDescent="0.55000000000000004">
      <c r="B204" s="5"/>
      <c r="C204" s="5"/>
    </row>
    <row r="205" spans="2:3" x14ac:dyDescent="0.55000000000000004">
      <c r="B205" s="5"/>
      <c r="C205" s="5"/>
    </row>
    <row r="206" spans="2:3" x14ac:dyDescent="0.55000000000000004">
      <c r="B206" s="5"/>
      <c r="C206" s="5"/>
    </row>
    <row r="207" spans="2:3" x14ac:dyDescent="0.55000000000000004">
      <c r="B207" s="5"/>
      <c r="C207" s="5"/>
    </row>
    <row r="208" spans="2:3" x14ac:dyDescent="0.55000000000000004">
      <c r="B208" s="5"/>
      <c r="C208" s="5"/>
    </row>
    <row r="209" spans="2:3" x14ac:dyDescent="0.55000000000000004">
      <c r="B209" s="5"/>
      <c r="C209" s="5"/>
    </row>
    <row r="210" spans="2:3" x14ac:dyDescent="0.55000000000000004">
      <c r="B210" s="5"/>
      <c r="C210" s="5"/>
    </row>
    <row r="211" spans="2:3" x14ac:dyDescent="0.55000000000000004">
      <c r="B211" s="5"/>
      <c r="C211" s="5"/>
    </row>
    <row r="212" spans="2:3" x14ac:dyDescent="0.55000000000000004">
      <c r="B212" s="5"/>
      <c r="C212" s="5"/>
    </row>
    <row r="213" spans="2:3" x14ac:dyDescent="0.55000000000000004">
      <c r="B213" s="5"/>
      <c r="C213" s="5"/>
    </row>
    <row r="214" spans="2:3" x14ac:dyDescent="0.55000000000000004">
      <c r="B214" s="5"/>
      <c r="C214" s="5"/>
    </row>
    <row r="215" spans="2:3" x14ac:dyDescent="0.55000000000000004">
      <c r="B215" s="5"/>
      <c r="C215" s="5"/>
    </row>
    <row r="216" spans="2:3" x14ac:dyDescent="0.55000000000000004">
      <c r="B216" s="5"/>
      <c r="C216" s="5"/>
    </row>
    <row r="217" spans="2:3" x14ac:dyDescent="0.55000000000000004">
      <c r="B217" s="5"/>
      <c r="C217" s="5"/>
    </row>
    <row r="218" spans="2:3" x14ac:dyDescent="0.55000000000000004">
      <c r="B218" s="5"/>
      <c r="C218" s="5"/>
    </row>
    <row r="219" spans="2:3" x14ac:dyDescent="0.55000000000000004">
      <c r="B219" s="5"/>
      <c r="C219" s="5"/>
    </row>
    <row r="220" spans="2:3" x14ac:dyDescent="0.55000000000000004">
      <c r="B220" s="5"/>
      <c r="C220" s="5"/>
    </row>
    <row r="221" spans="2:3" x14ac:dyDescent="0.55000000000000004">
      <c r="B221" s="5"/>
      <c r="C221" s="5"/>
    </row>
    <row r="222" spans="2:3" x14ac:dyDescent="0.55000000000000004">
      <c r="B222" s="5"/>
      <c r="C222" s="5"/>
    </row>
    <row r="223" spans="2:3" x14ac:dyDescent="0.55000000000000004">
      <c r="B223" s="5"/>
      <c r="C223" s="5"/>
    </row>
    <row r="224" spans="2:3" x14ac:dyDescent="0.55000000000000004">
      <c r="B224" s="5"/>
      <c r="C224" s="5"/>
    </row>
    <row r="225" spans="2:3" x14ac:dyDescent="0.55000000000000004">
      <c r="B225" s="5"/>
      <c r="C225" s="5"/>
    </row>
    <row r="226" spans="2:3" x14ac:dyDescent="0.55000000000000004">
      <c r="B226" s="5"/>
      <c r="C226" s="5"/>
    </row>
    <row r="227" spans="2:3" x14ac:dyDescent="0.55000000000000004">
      <c r="B227" s="5"/>
      <c r="C227" s="5"/>
    </row>
    <row r="228" spans="2:3" x14ac:dyDescent="0.55000000000000004">
      <c r="B228" s="5"/>
      <c r="C228" s="5"/>
    </row>
    <row r="229" spans="2:3" x14ac:dyDescent="0.55000000000000004">
      <c r="B229" s="5"/>
      <c r="C229" s="5"/>
    </row>
    <row r="230" spans="2:3" x14ac:dyDescent="0.55000000000000004">
      <c r="B230" s="5"/>
      <c r="C230" s="5"/>
    </row>
    <row r="231" spans="2:3" x14ac:dyDescent="0.55000000000000004">
      <c r="B231" s="5"/>
      <c r="C231" s="5"/>
    </row>
    <row r="232" spans="2:3" x14ac:dyDescent="0.55000000000000004">
      <c r="B232" s="5"/>
      <c r="C232" s="5"/>
    </row>
    <row r="233" spans="2:3" x14ac:dyDescent="0.55000000000000004">
      <c r="B233" s="5"/>
      <c r="C233" s="5"/>
    </row>
    <row r="234" spans="2:3" x14ac:dyDescent="0.55000000000000004">
      <c r="B234" s="5"/>
      <c r="C234" s="5"/>
    </row>
    <row r="235" spans="2:3" x14ac:dyDescent="0.55000000000000004">
      <c r="B235" s="5"/>
      <c r="C235" s="5"/>
    </row>
    <row r="236" spans="2:3" x14ac:dyDescent="0.55000000000000004">
      <c r="B236" s="5"/>
      <c r="C236" s="5"/>
    </row>
    <row r="237" spans="2:3" x14ac:dyDescent="0.55000000000000004">
      <c r="B237" s="5"/>
      <c r="C237" s="5"/>
    </row>
    <row r="238" spans="2:3" x14ac:dyDescent="0.55000000000000004">
      <c r="B238" s="5"/>
      <c r="C238" s="5"/>
    </row>
    <row r="239" spans="2:3" x14ac:dyDescent="0.55000000000000004">
      <c r="B239" s="5"/>
      <c r="C239" s="5"/>
    </row>
    <row r="240" spans="2:3" x14ac:dyDescent="0.55000000000000004">
      <c r="B240" s="5"/>
      <c r="C240" s="5"/>
    </row>
    <row r="241" spans="2:3" x14ac:dyDescent="0.55000000000000004">
      <c r="B241" s="5"/>
      <c r="C241" s="5"/>
    </row>
    <row r="242" spans="2:3" x14ac:dyDescent="0.55000000000000004">
      <c r="B242" s="5"/>
      <c r="C242" s="5"/>
    </row>
    <row r="243" spans="2:3" x14ac:dyDescent="0.55000000000000004">
      <c r="B243" s="5"/>
      <c r="C243" s="5"/>
    </row>
    <row r="244" spans="2:3" x14ac:dyDescent="0.55000000000000004">
      <c r="B244" s="5"/>
      <c r="C244" s="5"/>
    </row>
    <row r="245" spans="2:3" x14ac:dyDescent="0.55000000000000004">
      <c r="B245" s="5"/>
      <c r="C245" s="5"/>
    </row>
    <row r="246" spans="2:3" x14ac:dyDescent="0.55000000000000004">
      <c r="B246" s="5"/>
      <c r="C246" s="5"/>
    </row>
    <row r="247" spans="2:3" x14ac:dyDescent="0.55000000000000004">
      <c r="B247" s="5"/>
      <c r="C247" s="5"/>
    </row>
    <row r="248" spans="2:3" x14ac:dyDescent="0.55000000000000004">
      <c r="B248" s="5"/>
      <c r="C248" s="5"/>
    </row>
    <row r="249" spans="2:3" x14ac:dyDescent="0.55000000000000004">
      <c r="B249" s="5"/>
      <c r="C249" s="5"/>
    </row>
    <row r="250" spans="2:3" x14ac:dyDescent="0.55000000000000004">
      <c r="B250" s="5"/>
      <c r="C250" s="5"/>
    </row>
    <row r="251" spans="2:3" x14ac:dyDescent="0.55000000000000004">
      <c r="B251" s="5"/>
      <c r="C251" s="5"/>
    </row>
    <row r="252" spans="2:3" x14ac:dyDescent="0.55000000000000004">
      <c r="B252" s="5"/>
      <c r="C252" s="5"/>
    </row>
    <row r="253" spans="2:3" x14ac:dyDescent="0.55000000000000004">
      <c r="B253" s="5"/>
      <c r="C253" s="5"/>
    </row>
    <row r="254" spans="2:3" x14ac:dyDescent="0.55000000000000004">
      <c r="B254" s="5"/>
      <c r="C254" s="5"/>
    </row>
    <row r="255" spans="2:3" x14ac:dyDescent="0.55000000000000004">
      <c r="B255" s="5"/>
      <c r="C255" s="5"/>
    </row>
    <row r="256" spans="2:3" x14ac:dyDescent="0.55000000000000004">
      <c r="B256" s="5"/>
      <c r="C256" s="5"/>
    </row>
    <row r="257" spans="2:3" x14ac:dyDescent="0.55000000000000004">
      <c r="B257" s="5"/>
      <c r="C257" s="5"/>
    </row>
    <row r="258" spans="2:3" x14ac:dyDescent="0.55000000000000004">
      <c r="B258" s="5"/>
      <c r="C258" s="5"/>
    </row>
    <row r="259" spans="2:3" x14ac:dyDescent="0.55000000000000004">
      <c r="B259" s="5"/>
      <c r="C259" s="5"/>
    </row>
    <row r="260" spans="2:3" x14ac:dyDescent="0.55000000000000004">
      <c r="B260" s="5"/>
      <c r="C260" s="5"/>
    </row>
    <row r="261" spans="2:3" x14ac:dyDescent="0.55000000000000004">
      <c r="B261" s="5"/>
      <c r="C261" s="5"/>
    </row>
    <row r="262" spans="2:3" x14ac:dyDescent="0.55000000000000004">
      <c r="B262" s="5"/>
      <c r="C262" s="5"/>
    </row>
    <row r="263" spans="2:3" x14ac:dyDescent="0.55000000000000004">
      <c r="B263" s="5"/>
      <c r="C263" s="5"/>
    </row>
    <row r="264" spans="2:3" x14ac:dyDescent="0.55000000000000004">
      <c r="B264" s="5"/>
      <c r="C264" s="5"/>
    </row>
    <row r="265" spans="2:3" x14ac:dyDescent="0.55000000000000004">
      <c r="B265" s="5"/>
      <c r="C265" s="5"/>
    </row>
    <row r="266" spans="2:3" x14ac:dyDescent="0.55000000000000004">
      <c r="B266" s="5"/>
      <c r="C266" s="5"/>
    </row>
    <row r="267" spans="2:3" x14ac:dyDescent="0.55000000000000004">
      <c r="B267" s="5"/>
      <c r="C267" s="5"/>
    </row>
    <row r="268" spans="2:3" x14ac:dyDescent="0.55000000000000004">
      <c r="B268" s="5"/>
      <c r="C268" s="5"/>
    </row>
    <row r="269" spans="2:3" x14ac:dyDescent="0.55000000000000004">
      <c r="B269" s="5"/>
      <c r="C269" s="5"/>
    </row>
    <row r="270" spans="2:3" x14ac:dyDescent="0.55000000000000004">
      <c r="B270" s="5"/>
      <c r="C270" s="5"/>
    </row>
    <row r="271" spans="2:3" x14ac:dyDescent="0.55000000000000004">
      <c r="B271" s="5"/>
      <c r="C271" s="5"/>
    </row>
    <row r="272" spans="2:3" x14ac:dyDescent="0.55000000000000004">
      <c r="B272" s="5"/>
      <c r="C272" s="5"/>
    </row>
    <row r="273" spans="2:3" x14ac:dyDescent="0.55000000000000004">
      <c r="B273" s="5"/>
      <c r="C273" s="5"/>
    </row>
    <row r="274" spans="2:3" x14ac:dyDescent="0.55000000000000004">
      <c r="B274" s="5"/>
      <c r="C274" s="5"/>
    </row>
    <row r="275" spans="2:3" x14ac:dyDescent="0.55000000000000004">
      <c r="B275" s="5"/>
      <c r="C275" s="5"/>
    </row>
    <row r="276" spans="2:3" x14ac:dyDescent="0.55000000000000004">
      <c r="B276" s="5"/>
      <c r="C276" s="5"/>
    </row>
    <row r="277" spans="2:3" x14ac:dyDescent="0.55000000000000004">
      <c r="B277" s="5"/>
      <c r="C277" s="5"/>
    </row>
    <row r="278" spans="2:3" x14ac:dyDescent="0.55000000000000004">
      <c r="B278" s="5"/>
      <c r="C278" s="5"/>
    </row>
    <row r="279" spans="2:3" x14ac:dyDescent="0.55000000000000004">
      <c r="B279" s="5"/>
      <c r="C279" s="5"/>
    </row>
    <row r="280" spans="2:3" x14ac:dyDescent="0.55000000000000004">
      <c r="B280" s="5"/>
      <c r="C280" s="5"/>
    </row>
    <row r="281" spans="2:3" x14ac:dyDescent="0.55000000000000004">
      <c r="B281" s="5"/>
      <c r="C281" s="5"/>
    </row>
    <row r="282" spans="2:3" x14ac:dyDescent="0.55000000000000004">
      <c r="B282" s="5"/>
      <c r="C282" s="5"/>
    </row>
    <row r="283" spans="2:3" x14ac:dyDescent="0.55000000000000004">
      <c r="B283" s="5"/>
      <c r="C283" s="5"/>
    </row>
    <row r="284" spans="2:3" x14ac:dyDescent="0.55000000000000004">
      <c r="B284" s="5"/>
      <c r="C284" s="5"/>
    </row>
    <row r="285" spans="2:3" x14ac:dyDescent="0.55000000000000004">
      <c r="B285" s="5"/>
      <c r="C285" s="5"/>
    </row>
    <row r="286" spans="2:3" x14ac:dyDescent="0.55000000000000004">
      <c r="B286" s="5"/>
      <c r="C286" s="5"/>
    </row>
    <row r="287" spans="2:3" x14ac:dyDescent="0.55000000000000004">
      <c r="B287" s="5"/>
      <c r="C287" s="5"/>
    </row>
    <row r="288" spans="2:3" x14ac:dyDescent="0.55000000000000004">
      <c r="B288" s="5"/>
      <c r="C288" s="5"/>
    </row>
    <row r="289" spans="2:3" x14ac:dyDescent="0.55000000000000004">
      <c r="B289" s="5"/>
      <c r="C289" s="5"/>
    </row>
    <row r="290" spans="2:3" x14ac:dyDescent="0.55000000000000004">
      <c r="B290" s="5"/>
      <c r="C290" s="5"/>
    </row>
    <row r="291" spans="2:3" x14ac:dyDescent="0.55000000000000004">
      <c r="B291" s="5"/>
      <c r="C291" s="5"/>
    </row>
    <row r="292" spans="2:3" x14ac:dyDescent="0.55000000000000004">
      <c r="B292" s="5"/>
      <c r="C292" s="5"/>
    </row>
    <row r="293" spans="2:3" x14ac:dyDescent="0.55000000000000004">
      <c r="B293" s="5"/>
      <c r="C293" s="5"/>
    </row>
    <row r="294" spans="2:3" x14ac:dyDescent="0.55000000000000004">
      <c r="B294" s="5"/>
      <c r="C294" s="5"/>
    </row>
    <row r="295" spans="2:3" x14ac:dyDescent="0.55000000000000004">
      <c r="B295" s="5"/>
      <c r="C295" s="5"/>
    </row>
    <row r="296" spans="2:3" x14ac:dyDescent="0.55000000000000004">
      <c r="B296" s="5"/>
      <c r="C296" s="5"/>
    </row>
    <row r="297" spans="2:3" x14ac:dyDescent="0.55000000000000004">
      <c r="B297" s="5"/>
      <c r="C297" s="5"/>
    </row>
    <row r="298" spans="2:3" x14ac:dyDescent="0.55000000000000004">
      <c r="B298" s="5"/>
      <c r="C298" s="5"/>
    </row>
    <row r="299" spans="2:3" x14ac:dyDescent="0.55000000000000004">
      <c r="B299" s="5"/>
      <c r="C299" s="5"/>
    </row>
    <row r="300" spans="2:3" x14ac:dyDescent="0.55000000000000004">
      <c r="B300" s="5"/>
      <c r="C300" s="5"/>
    </row>
    <row r="301" spans="2:3" x14ac:dyDescent="0.55000000000000004">
      <c r="B301" s="5"/>
      <c r="C301" s="5"/>
    </row>
    <row r="302" spans="2:3" x14ac:dyDescent="0.55000000000000004">
      <c r="B302" s="5"/>
      <c r="C302" s="5"/>
    </row>
    <row r="303" spans="2:3" x14ac:dyDescent="0.55000000000000004">
      <c r="B303" s="5"/>
      <c r="C303" s="5"/>
    </row>
    <row r="304" spans="2:3" x14ac:dyDescent="0.55000000000000004">
      <c r="B304" s="5"/>
      <c r="C304" s="5"/>
    </row>
    <row r="305" spans="2:3" x14ac:dyDescent="0.55000000000000004">
      <c r="B305" s="5"/>
      <c r="C305" s="5"/>
    </row>
    <row r="306" spans="2:3" x14ac:dyDescent="0.55000000000000004">
      <c r="B306" s="5"/>
      <c r="C306" s="5"/>
    </row>
    <row r="307" spans="2:3" x14ac:dyDescent="0.55000000000000004">
      <c r="B307" s="5"/>
      <c r="C307" s="5"/>
    </row>
    <row r="308" spans="2:3" x14ac:dyDescent="0.55000000000000004">
      <c r="B308" s="5"/>
      <c r="C308" s="5"/>
    </row>
    <row r="309" spans="2:3" x14ac:dyDescent="0.55000000000000004">
      <c r="B309" s="5"/>
      <c r="C309" s="5"/>
    </row>
    <row r="310" spans="2:3" x14ac:dyDescent="0.55000000000000004">
      <c r="B310" s="5"/>
      <c r="C310" s="5"/>
    </row>
    <row r="311" spans="2:3" x14ac:dyDescent="0.55000000000000004">
      <c r="B311" s="5"/>
      <c r="C311" s="5"/>
    </row>
    <row r="312" spans="2:3" x14ac:dyDescent="0.55000000000000004">
      <c r="B312" s="5"/>
      <c r="C312" s="5"/>
    </row>
    <row r="313" spans="2:3" x14ac:dyDescent="0.55000000000000004">
      <c r="B313" s="5"/>
      <c r="C313" s="5"/>
    </row>
    <row r="314" spans="2:3" x14ac:dyDescent="0.55000000000000004">
      <c r="B314" s="5"/>
      <c r="C314" s="5"/>
    </row>
    <row r="315" spans="2:3" x14ac:dyDescent="0.55000000000000004">
      <c r="B315" s="5"/>
      <c r="C315" s="5"/>
    </row>
    <row r="316" spans="2:3" x14ac:dyDescent="0.55000000000000004">
      <c r="B316" s="5"/>
      <c r="C316" s="5"/>
    </row>
    <row r="317" spans="2:3" x14ac:dyDescent="0.55000000000000004">
      <c r="B317" s="5"/>
      <c r="C317" s="5"/>
    </row>
    <row r="318" spans="2:3" x14ac:dyDescent="0.55000000000000004">
      <c r="B318" s="5"/>
      <c r="C318" s="5"/>
    </row>
    <row r="319" spans="2:3" x14ac:dyDescent="0.55000000000000004">
      <c r="B319" s="5"/>
      <c r="C319" s="5"/>
    </row>
    <row r="320" spans="2:3" x14ac:dyDescent="0.55000000000000004">
      <c r="B320" s="5"/>
      <c r="C320" s="5"/>
    </row>
    <row r="321" spans="2:3" x14ac:dyDescent="0.55000000000000004">
      <c r="B321" s="5"/>
      <c r="C321" s="5"/>
    </row>
    <row r="322" spans="2:3" x14ac:dyDescent="0.55000000000000004">
      <c r="B322" s="5"/>
      <c r="C322" s="5"/>
    </row>
    <row r="323" spans="2:3" x14ac:dyDescent="0.55000000000000004">
      <c r="B323" s="5"/>
      <c r="C323" s="5"/>
    </row>
    <row r="324" spans="2:3" x14ac:dyDescent="0.55000000000000004">
      <c r="B324" s="5"/>
      <c r="C324" s="5"/>
    </row>
    <row r="325" spans="2:3" x14ac:dyDescent="0.55000000000000004">
      <c r="B325" s="5"/>
      <c r="C325" s="5"/>
    </row>
    <row r="326" spans="2:3" x14ac:dyDescent="0.55000000000000004">
      <c r="B326" s="5"/>
      <c r="C326" s="5"/>
    </row>
    <row r="327" spans="2:3" x14ac:dyDescent="0.55000000000000004">
      <c r="B327" s="5"/>
      <c r="C327" s="5"/>
    </row>
    <row r="328" spans="2:3" x14ac:dyDescent="0.55000000000000004">
      <c r="B328" s="5"/>
      <c r="C328" s="5"/>
    </row>
    <row r="329" spans="2:3" x14ac:dyDescent="0.55000000000000004">
      <c r="B329" s="5"/>
      <c r="C329" s="5"/>
    </row>
    <row r="330" spans="2:3" x14ac:dyDescent="0.55000000000000004">
      <c r="B330" s="5"/>
      <c r="C330" s="5"/>
    </row>
    <row r="331" spans="2:3" x14ac:dyDescent="0.55000000000000004">
      <c r="B331" s="5"/>
      <c r="C331" s="5"/>
    </row>
    <row r="332" spans="2:3" x14ac:dyDescent="0.55000000000000004">
      <c r="B332" s="5"/>
      <c r="C332" s="5"/>
    </row>
    <row r="333" spans="2:3" x14ac:dyDescent="0.55000000000000004">
      <c r="B333" s="5"/>
      <c r="C333" s="5"/>
    </row>
    <row r="334" spans="2:3" x14ac:dyDescent="0.55000000000000004">
      <c r="B334" s="5"/>
      <c r="C334" s="5"/>
    </row>
    <row r="335" spans="2:3" x14ac:dyDescent="0.55000000000000004">
      <c r="B335" s="5"/>
      <c r="C335" s="5"/>
    </row>
    <row r="336" spans="2:3" x14ac:dyDescent="0.55000000000000004">
      <c r="B336" s="5"/>
      <c r="C336" s="5"/>
    </row>
    <row r="337" spans="2:3" x14ac:dyDescent="0.55000000000000004">
      <c r="B337" s="5"/>
      <c r="C337" s="5"/>
    </row>
    <row r="338" spans="2:3" x14ac:dyDescent="0.55000000000000004">
      <c r="B338" s="5"/>
      <c r="C338" s="5"/>
    </row>
    <row r="339" spans="2:3" x14ac:dyDescent="0.55000000000000004">
      <c r="B339" s="5"/>
      <c r="C339" s="5"/>
    </row>
    <row r="340" spans="2:3" x14ac:dyDescent="0.55000000000000004">
      <c r="B340" s="5"/>
      <c r="C340" s="5"/>
    </row>
    <row r="341" spans="2:3" x14ac:dyDescent="0.55000000000000004">
      <c r="B341" s="5"/>
      <c r="C341" s="5"/>
    </row>
    <row r="342" spans="2:3" x14ac:dyDescent="0.55000000000000004">
      <c r="B342" s="5"/>
      <c r="C342" s="5"/>
    </row>
    <row r="343" spans="2:3" x14ac:dyDescent="0.55000000000000004">
      <c r="B343" s="5"/>
      <c r="C343" s="5"/>
    </row>
    <row r="344" spans="2:3" x14ac:dyDescent="0.55000000000000004">
      <c r="B344" s="5"/>
      <c r="C344" s="5"/>
    </row>
    <row r="345" spans="2:3" x14ac:dyDescent="0.55000000000000004">
      <c r="B345" s="5"/>
      <c r="C345" s="5"/>
    </row>
    <row r="346" spans="2:3" x14ac:dyDescent="0.55000000000000004">
      <c r="B346" s="5"/>
      <c r="C346" s="5"/>
    </row>
    <row r="347" spans="2:3" x14ac:dyDescent="0.55000000000000004">
      <c r="B347" s="5"/>
      <c r="C347" s="5"/>
    </row>
    <row r="348" spans="2:3" x14ac:dyDescent="0.55000000000000004">
      <c r="B348" s="5"/>
      <c r="C348" s="5"/>
    </row>
    <row r="349" spans="2:3" x14ac:dyDescent="0.55000000000000004">
      <c r="B349" s="5"/>
      <c r="C349" s="5"/>
    </row>
    <row r="350" spans="2:3" x14ac:dyDescent="0.55000000000000004">
      <c r="B350" s="5"/>
      <c r="C350" s="5"/>
    </row>
    <row r="351" spans="2:3" x14ac:dyDescent="0.55000000000000004">
      <c r="B351" s="5"/>
      <c r="C351" s="5"/>
    </row>
    <row r="352" spans="2:3" x14ac:dyDescent="0.55000000000000004">
      <c r="B352" s="5"/>
      <c r="C352" s="5"/>
    </row>
    <row r="353" spans="2:3" x14ac:dyDescent="0.55000000000000004">
      <c r="B353" s="5"/>
      <c r="C353" s="5"/>
    </row>
    <row r="354" spans="2:3" x14ac:dyDescent="0.55000000000000004">
      <c r="B354" s="5"/>
      <c r="C354" s="5"/>
    </row>
    <row r="355" spans="2:3" x14ac:dyDescent="0.55000000000000004">
      <c r="B355" s="5"/>
      <c r="C355" s="5"/>
    </row>
    <row r="356" spans="2:3" x14ac:dyDescent="0.55000000000000004">
      <c r="B356" s="5"/>
      <c r="C356" s="5"/>
    </row>
    <row r="357" spans="2:3" x14ac:dyDescent="0.55000000000000004">
      <c r="B357" s="5"/>
      <c r="C357" s="5"/>
    </row>
    <row r="358" spans="2:3" x14ac:dyDescent="0.55000000000000004">
      <c r="B358" s="5"/>
      <c r="C358" s="5"/>
    </row>
    <row r="359" spans="2:3" x14ac:dyDescent="0.55000000000000004">
      <c r="B359" s="5"/>
      <c r="C359" s="5"/>
    </row>
    <row r="360" spans="2:3" x14ac:dyDescent="0.55000000000000004">
      <c r="B360" s="5"/>
      <c r="C360" s="5"/>
    </row>
    <row r="361" spans="2:3" x14ac:dyDescent="0.55000000000000004">
      <c r="B361" s="5"/>
      <c r="C361" s="5"/>
    </row>
    <row r="362" spans="2:3" x14ac:dyDescent="0.55000000000000004">
      <c r="B362" s="5"/>
      <c r="C362" s="5"/>
    </row>
    <row r="363" spans="2:3" x14ac:dyDescent="0.55000000000000004">
      <c r="B363" s="5"/>
      <c r="C363" s="5"/>
    </row>
    <row r="364" spans="2:3" x14ac:dyDescent="0.55000000000000004">
      <c r="B364" s="5"/>
      <c r="C364" s="5"/>
    </row>
    <row r="365" spans="2:3" x14ac:dyDescent="0.55000000000000004">
      <c r="B365" s="5"/>
      <c r="C365" s="5"/>
    </row>
    <row r="366" spans="2:3" x14ac:dyDescent="0.55000000000000004">
      <c r="B366" s="5"/>
      <c r="C366" s="5"/>
    </row>
    <row r="367" spans="2:3" x14ac:dyDescent="0.55000000000000004">
      <c r="B367" s="5"/>
      <c r="C367" s="5"/>
    </row>
    <row r="368" spans="2:3" x14ac:dyDescent="0.55000000000000004">
      <c r="B368" s="5"/>
      <c r="C368" s="5"/>
    </row>
    <row r="369" spans="2:3" x14ac:dyDescent="0.55000000000000004">
      <c r="B369" s="5"/>
      <c r="C369" s="5"/>
    </row>
    <row r="370" spans="2:3" x14ac:dyDescent="0.55000000000000004">
      <c r="B370" s="5"/>
      <c r="C370" s="5"/>
    </row>
    <row r="371" spans="2:3" x14ac:dyDescent="0.55000000000000004">
      <c r="B371" s="5"/>
      <c r="C371" s="5"/>
    </row>
    <row r="372" spans="2:3" x14ac:dyDescent="0.55000000000000004">
      <c r="B372" s="5"/>
      <c r="C372" s="5"/>
    </row>
    <row r="373" spans="2:3" x14ac:dyDescent="0.55000000000000004">
      <c r="B373" s="5"/>
      <c r="C373" s="5"/>
    </row>
    <row r="374" spans="2:3" x14ac:dyDescent="0.55000000000000004">
      <c r="B374" s="5"/>
      <c r="C374" s="5"/>
    </row>
    <row r="375" spans="2:3" x14ac:dyDescent="0.55000000000000004">
      <c r="B375" s="5"/>
      <c r="C375" s="5"/>
    </row>
    <row r="376" spans="2:3" x14ac:dyDescent="0.55000000000000004">
      <c r="B376" s="5"/>
      <c r="C376" s="5"/>
    </row>
    <row r="377" spans="2:3" x14ac:dyDescent="0.55000000000000004">
      <c r="B377" s="5"/>
      <c r="C377" s="5"/>
    </row>
    <row r="378" spans="2:3" x14ac:dyDescent="0.55000000000000004">
      <c r="B378" s="5"/>
      <c r="C378" s="5"/>
    </row>
    <row r="379" spans="2:3" x14ac:dyDescent="0.55000000000000004">
      <c r="B379" s="5"/>
      <c r="C379" s="5"/>
    </row>
    <row r="380" spans="2:3" x14ac:dyDescent="0.55000000000000004">
      <c r="B380" s="5"/>
      <c r="C380" s="5"/>
    </row>
    <row r="381" spans="2:3" x14ac:dyDescent="0.55000000000000004">
      <c r="B381" s="5"/>
      <c r="C381" s="5"/>
    </row>
    <row r="382" spans="2:3" x14ac:dyDescent="0.55000000000000004">
      <c r="B382" s="5"/>
      <c r="C382" s="5"/>
    </row>
    <row r="383" spans="2:3" x14ac:dyDescent="0.55000000000000004">
      <c r="B383" s="5"/>
      <c r="C383" s="5"/>
    </row>
    <row r="384" spans="2:3" x14ac:dyDescent="0.55000000000000004">
      <c r="B384" s="5"/>
      <c r="C384" s="5"/>
    </row>
    <row r="385" spans="2:3" x14ac:dyDescent="0.55000000000000004">
      <c r="B385" s="5"/>
      <c r="C385" s="5"/>
    </row>
    <row r="386" spans="2:3" x14ac:dyDescent="0.55000000000000004">
      <c r="B386" s="5"/>
      <c r="C386" s="5"/>
    </row>
    <row r="387" spans="2:3" x14ac:dyDescent="0.55000000000000004">
      <c r="B387" s="5"/>
      <c r="C387" s="5"/>
    </row>
    <row r="388" spans="2:3" x14ac:dyDescent="0.55000000000000004">
      <c r="B388" s="5"/>
      <c r="C388" s="5"/>
    </row>
    <row r="389" spans="2:3" x14ac:dyDescent="0.55000000000000004">
      <c r="B389" s="5"/>
      <c r="C389" s="5"/>
    </row>
    <row r="390" spans="2:3" x14ac:dyDescent="0.55000000000000004">
      <c r="B390" s="5"/>
      <c r="C390" s="5"/>
    </row>
    <row r="391" spans="2:3" x14ac:dyDescent="0.55000000000000004">
      <c r="B391" s="5"/>
      <c r="C391" s="5"/>
    </row>
    <row r="392" spans="2:3" x14ac:dyDescent="0.55000000000000004">
      <c r="B392" s="5"/>
      <c r="C392" s="5"/>
    </row>
    <row r="393" spans="2:3" x14ac:dyDescent="0.55000000000000004">
      <c r="B393" s="5"/>
      <c r="C393" s="5"/>
    </row>
    <row r="394" spans="2:3" x14ac:dyDescent="0.55000000000000004">
      <c r="B394" s="5"/>
      <c r="C394" s="5"/>
    </row>
    <row r="395" spans="2:3" x14ac:dyDescent="0.55000000000000004">
      <c r="B395" s="5"/>
      <c r="C395" s="5"/>
    </row>
    <row r="396" spans="2:3" x14ac:dyDescent="0.55000000000000004">
      <c r="B396" s="5"/>
      <c r="C396" s="5"/>
    </row>
    <row r="397" spans="2:3" x14ac:dyDescent="0.55000000000000004">
      <c r="B397" s="5"/>
      <c r="C397" s="5"/>
    </row>
    <row r="398" spans="2:3" x14ac:dyDescent="0.55000000000000004">
      <c r="B398" s="5"/>
      <c r="C398" s="5"/>
    </row>
    <row r="399" spans="2:3" x14ac:dyDescent="0.55000000000000004">
      <c r="B399" s="5"/>
      <c r="C399" s="5"/>
    </row>
    <row r="400" spans="2:3" x14ac:dyDescent="0.55000000000000004">
      <c r="B400" s="5"/>
      <c r="C400" s="5"/>
    </row>
    <row r="401" spans="2:3" x14ac:dyDescent="0.55000000000000004">
      <c r="B401" s="5"/>
      <c r="C401" s="5"/>
    </row>
    <row r="402" spans="2:3" x14ac:dyDescent="0.55000000000000004">
      <c r="B402" s="5"/>
      <c r="C402" s="5"/>
    </row>
    <row r="403" spans="2:3" x14ac:dyDescent="0.55000000000000004">
      <c r="B403" s="5"/>
      <c r="C403" s="5"/>
    </row>
    <row r="404" spans="2:3" x14ac:dyDescent="0.55000000000000004">
      <c r="B404" s="5"/>
      <c r="C404" s="5"/>
    </row>
    <row r="405" spans="2:3" x14ac:dyDescent="0.55000000000000004">
      <c r="B405" s="5"/>
      <c r="C405" s="5"/>
    </row>
    <row r="406" spans="2:3" x14ac:dyDescent="0.55000000000000004">
      <c r="B406" s="5"/>
      <c r="C406" s="5"/>
    </row>
    <row r="407" spans="2:3" x14ac:dyDescent="0.55000000000000004">
      <c r="B407" s="5"/>
      <c r="C407" s="5"/>
    </row>
    <row r="408" spans="2:3" x14ac:dyDescent="0.55000000000000004">
      <c r="B408" s="5"/>
      <c r="C408" s="5"/>
    </row>
    <row r="409" spans="2:3" x14ac:dyDescent="0.55000000000000004">
      <c r="B409" s="5"/>
      <c r="C409" s="5"/>
    </row>
    <row r="410" spans="2:3" x14ac:dyDescent="0.55000000000000004">
      <c r="B410" s="5"/>
      <c r="C410" s="5"/>
    </row>
    <row r="411" spans="2:3" x14ac:dyDescent="0.55000000000000004">
      <c r="B411" s="5"/>
      <c r="C411" s="5"/>
    </row>
    <row r="412" spans="2:3" x14ac:dyDescent="0.55000000000000004">
      <c r="B412" s="5"/>
      <c r="C412" s="5"/>
    </row>
    <row r="413" spans="2:3" x14ac:dyDescent="0.55000000000000004">
      <c r="B413" s="5"/>
      <c r="C413" s="5"/>
    </row>
    <row r="414" spans="2:3" x14ac:dyDescent="0.55000000000000004">
      <c r="B414" s="5"/>
      <c r="C414" s="5"/>
    </row>
    <row r="415" spans="2:3" x14ac:dyDescent="0.55000000000000004">
      <c r="B415" s="5"/>
      <c r="C415" s="5"/>
    </row>
    <row r="416" spans="2:3" x14ac:dyDescent="0.55000000000000004">
      <c r="B416" s="5"/>
      <c r="C416" s="5"/>
    </row>
    <row r="417" spans="2:3" x14ac:dyDescent="0.55000000000000004">
      <c r="B417" s="5"/>
      <c r="C417" s="5"/>
    </row>
    <row r="418" spans="2:3" x14ac:dyDescent="0.55000000000000004">
      <c r="B418" s="5"/>
      <c r="C418" s="5"/>
    </row>
    <row r="419" spans="2:3" x14ac:dyDescent="0.55000000000000004">
      <c r="B419" s="5"/>
      <c r="C419" s="5"/>
    </row>
    <row r="420" spans="2:3" x14ac:dyDescent="0.55000000000000004">
      <c r="B420" s="5"/>
      <c r="C420" s="5"/>
    </row>
    <row r="421" spans="2:3" x14ac:dyDescent="0.55000000000000004">
      <c r="B421" s="5"/>
      <c r="C421" s="5"/>
    </row>
    <row r="422" spans="2:3" x14ac:dyDescent="0.55000000000000004">
      <c r="B422" s="5"/>
      <c r="C422" s="5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1442-E40B-4FC7-B116-D2393179DCDE}">
  <dimension ref="A1:AA150"/>
  <sheetViews>
    <sheetView topLeftCell="A88" zoomScale="70" zoomScaleNormal="70" workbookViewId="0">
      <selection activeCell="A108" sqref="A108:A111"/>
    </sheetView>
  </sheetViews>
  <sheetFormatPr baseColWidth="10" defaultRowHeight="14.4" x14ac:dyDescent="0.55000000000000004"/>
  <cols>
    <col min="1" max="1" width="44.734375" bestFit="1" customWidth="1"/>
    <col min="2" max="2" width="34.83984375" bestFit="1" customWidth="1"/>
  </cols>
  <sheetData>
    <row r="1" spans="1:15" s="2" customFormat="1" x14ac:dyDescent="0.55000000000000004">
      <c r="C1" s="2" t="s">
        <v>238</v>
      </c>
      <c r="D1" s="2" t="s">
        <v>238</v>
      </c>
      <c r="E1" s="2" t="s">
        <v>238</v>
      </c>
      <c r="F1" s="2" t="s">
        <v>238</v>
      </c>
      <c r="G1" s="2" t="s">
        <v>238</v>
      </c>
      <c r="H1" s="2" t="s">
        <v>243</v>
      </c>
      <c r="I1" s="2" t="s">
        <v>243</v>
      </c>
      <c r="J1" s="2" t="s">
        <v>243</v>
      </c>
      <c r="K1" s="2" t="s">
        <v>243</v>
      </c>
      <c r="L1" s="2" t="s">
        <v>243</v>
      </c>
      <c r="M1" s="2" t="s">
        <v>243</v>
      </c>
      <c r="N1" s="2" t="s">
        <v>243</v>
      </c>
      <c r="O1" s="2" t="s">
        <v>243</v>
      </c>
    </row>
    <row r="2" spans="1:15" s="2" customFormat="1" x14ac:dyDescent="0.55000000000000004">
      <c r="C2" s="2" t="s">
        <v>246</v>
      </c>
      <c r="D2" s="2" t="s">
        <v>239</v>
      </c>
      <c r="E2" s="2" t="s">
        <v>240</v>
      </c>
      <c r="F2" s="2" t="s">
        <v>241</v>
      </c>
      <c r="G2" s="2" t="s">
        <v>242</v>
      </c>
      <c r="H2" s="2" t="s">
        <v>241</v>
      </c>
      <c r="I2" s="2" t="s">
        <v>244</v>
      </c>
      <c r="J2" s="2" t="s">
        <v>245</v>
      </c>
      <c r="K2" s="2" t="s">
        <v>246</v>
      </c>
      <c r="L2" s="2" t="s">
        <v>240</v>
      </c>
      <c r="M2" s="2" t="s">
        <v>239</v>
      </c>
      <c r="N2" s="2" t="s">
        <v>240</v>
      </c>
      <c r="O2" s="2" t="s">
        <v>239</v>
      </c>
    </row>
    <row r="3" spans="1:15" s="2" customFormat="1" x14ac:dyDescent="0.55000000000000004">
      <c r="C3" s="2" t="s">
        <v>197</v>
      </c>
      <c r="D3" s="2" t="s">
        <v>197</v>
      </c>
      <c r="E3" s="2" t="s">
        <v>197</v>
      </c>
      <c r="F3" s="2" t="s">
        <v>197</v>
      </c>
      <c r="G3" s="2" t="s">
        <v>197</v>
      </c>
      <c r="H3" s="2" t="s">
        <v>197</v>
      </c>
      <c r="I3" s="2" t="s">
        <v>197</v>
      </c>
      <c r="J3" s="2" t="s">
        <v>197</v>
      </c>
      <c r="K3" s="2" t="s">
        <v>197</v>
      </c>
      <c r="L3" s="2" t="s">
        <v>247</v>
      </c>
      <c r="M3" s="2" t="s">
        <v>247</v>
      </c>
      <c r="N3" s="2" t="s">
        <v>248</v>
      </c>
      <c r="O3" s="2" t="s">
        <v>248</v>
      </c>
    </row>
    <row r="4" spans="1:15" s="2" customFormat="1" x14ac:dyDescent="0.55000000000000004">
      <c r="B4" s="2" t="s">
        <v>117</v>
      </c>
      <c r="C4" s="2" t="s">
        <v>118</v>
      </c>
    </row>
    <row r="5" spans="1:15" s="2" customFormat="1" x14ac:dyDescent="0.55000000000000004">
      <c r="B5" s="2" t="s">
        <v>202</v>
      </c>
      <c r="C5" s="2" t="s">
        <v>119</v>
      </c>
      <c r="D5" s="2" t="s">
        <v>119</v>
      </c>
      <c r="E5" s="2" t="s">
        <v>119</v>
      </c>
      <c r="F5" s="2" t="s">
        <v>119</v>
      </c>
      <c r="G5" s="2" t="s">
        <v>119</v>
      </c>
      <c r="H5" s="2" t="s">
        <v>119</v>
      </c>
      <c r="I5" s="2" t="s">
        <v>119</v>
      </c>
      <c r="J5" s="2" t="s">
        <v>119</v>
      </c>
      <c r="K5" s="2" t="s">
        <v>119</v>
      </c>
      <c r="L5" s="2" t="s">
        <v>119</v>
      </c>
      <c r="M5" s="2" t="s">
        <v>119</v>
      </c>
      <c r="N5" s="2" t="s">
        <v>119</v>
      </c>
      <c r="O5" s="2" t="s">
        <v>119</v>
      </c>
    </row>
    <row r="6" spans="1:15" x14ac:dyDescent="0.55000000000000004">
      <c r="A6" t="s">
        <v>166</v>
      </c>
      <c r="B6" t="s">
        <v>120</v>
      </c>
      <c r="C6">
        <v>134.83654061951998</v>
      </c>
      <c r="D6">
        <v>174.50191255358402</v>
      </c>
      <c r="E6">
        <v>184.20117646410245</v>
      </c>
      <c r="F6">
        <v>142.21461384783947</v>
      </c>
      <c r="G6">
        <v>78.067763611200007</v>
      </c>
      <c r="H6">
        <v>541.58637932629642</v>
      </c>
      <c r="I6">
        <v>65.622013800000005</v>
      </c>
      <c r="J6">
        <v>168.77868233999999</v>
      </c>
      <c r="K6">
        <v>511.15841759544003</v>
      </c>
      <c r="L6">
        <v>567.89062226711997</v>
      </c>
      <c r="M6">
        <v>1244.5506804029521</v>
      </c>
      <c r="N6">
        <v>681.47349769603204</v>
      </c>
      <c r="O6">
        <v>798.52755300792001</v>
      </c>
    </row>
    <row r="7" spans="1:15" x14ac:dyDescent="0.55000000000000004">
      <c r="A7" t="s">
        <v>167</v>
      </c>
      <c r="B7" t="s">
        <v>121</v>
      </c>
      <c r="C7">
        <v>0</v>
      </c>
      <c r="D7">
        <v>0</v>
      </c>
      <c r="E7">
        <v>0</v>
      </c>
      <c r="F7">
        <v>0</v>
      </c>
      <c r="G7">
        <v>0</v>
      </c>
      <c r="H7">
        <v>13.737486337344</v>
      </c>
      <c r="I7">
        <v>0</v>
      </c>
      <c r="J7">
        <v>0</v>
      </c>
      <c r="K7">
        <v>0</v>
      </c>
      <c r="L7">
        <v>19.834393049999999</v>
      </c>
      <c r="M7">
        <v>22.272294599999999</v>
      </c>
      <c r="N7">
        <v>25.245338579999999</v>
      </c>
      <c r="O7">
        <v>3.3325630199999998</v>
      </c>
    </row>
    <row r="8" spans="1:15" x14ac:dyDescent="0.55000000000000004">
      <c r="A8" t="s">
        <v>168</v>
      </c>
      <c r="B8" t="s">
        <v>122</v>
      </c>
      <c r="C8">
        <v>25.621703506750002</v>
      </c>
      <c r="D8">
        <v>23.689371159</v>
      </c>
      <c r="E8">
        <v>22.573576819374999</v>
      </c>
      <c r="F8">
        <v>29.312641830266301</v>
      </c>
      <c r="G8">
        <v>42.72473996275</v>
      </c>
      <c r="H8">
        <v>220.986302468232</v>
      </c>
      <c r="I8">
        <v>455.57777186455399</v>
      </c>
      <c r="J8">
        <v>470.05436927999995</v>
      </c>
      <c r="K8">
        <v>73.444198319999998</v>
      </c>
      <c r="L8">
        <v>227.23841612999999</v>
      </c>
      <c r="M8">
        <v>0</v>
      </c>
      <c r="N8">
        <v>161.04018479999999</v>
      </c>
      <c r="O8">
        <v>83.968356600000007</v>
      </c>
    </row>
    <row r="9" spans="1:15" x14ac:dyDescent="0.55000000000000004">
      <c r="A9" t="s">
        <v>169</v>
      </c>
      <c r="B9" t="s">
        <v>123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55000000000000004">
      <c r="A10" t="s">
        <v>170</v>
      </c>
      <c r="B10" t="s">
        <v>124</v>
      </c>
      <c r="C10">
        <v>1.0271503849500001</v>
      </c>
      <c r="D10">
        <v>0.34465567499999999</v>
      </c>
      <c r="E10">
        <v>9.8473050000000006E-2</v>
      </c>
      <c r="F10">
        <v>1.166434181541</v>
      </c>
      <c r="G10">
        <v>2.9944579500000001</v>
      </c>
      <c r="H10">
        <v>3.74127493274649</v>
      </c>
      <c r="I10">
        <v>5.8245330375450006</v>
      </c>
      <c r="J10">
        <v>4.8824288999999998</v>
      </c>
      <c r="K10">
        <v>6.4204537491</v>
      </c>
      <c r="L10">
        <v>3.4060414950000002</v>
      </c>
      <c r="M10">
        <v>0</v>
      </c>
      <c r="N10">
        <v>2.5222853249999999</v>
      </c>
      <c r="O10">
        <v>3.6419854392</v>
      </c>
    </row>
    <row r="11" spans="1:15" x14ac:dyDescent="0.55000000000000004">
      <c r="A11" t="s">
        <v>250</v>
      </c>
      <c r="B11" t="s">
        <v>125</v>
      </c>
      <c r="C11">
        <v>0</v>
      </c>
      <c r="D11">
        <v>0</v>
      </c>
      <c r="E11">
        <v>0</v>
      </c>
      <c r="F11">
        <v>0</v>
      </c>
      <c r="G11">
        <v>0</v>
      </c>
      <c r="H11">
        <v>1.6983705024000002E-2</v>
      </c>
      <c r="I11">
        <v>0</v>
      </c>
      <c r="J11">
        <v>0</v>
      </c>
      <c r="K11">
        <v>0</v>
      </c>
      <c r="L11">
        <v>0</v>
      </c>
      <c r="M11">
        <v>6.826248E-2</v>
      </c>
      <c r="N11">
        <v>3.413124E-2</v>
      </c>
      <c r="O11">
        <v>0</v>
      </c>
    </row>
    <row r="12" spans="1:15" x14ac:dyDescent="0.55000000000000004">
      <c r="A12" t="s">
        <v>229</v>
      </c>
      <c r="B12" t="s">
        <v>126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55000000000000004">
      <c r="A13" t="s">
        <v>230</v>
      </c>
      <c r="B13" t="s">
        <v>127</v>
      </c>
      <c r="C13">
        <v>17.340571156187497</v>
      </c>
      <c r="D13">
        <v>23.775517545374999</v>
      </c>
      <c r="E13">
        <v>24.919512267900004</v>
      </c>
      <c r="F13">
        <v>28.086967454406</v>
      </c>
      <c r="G13">
        <v>40.520791936374998</v>
      </c>
      <c r="H13">
        <v>105.3589204641968</v>
      </c>
      <c r="I13">
        <v>201.30264658232002</v>
      </c>
      <c r="J13">
        <v>189.81357768499998</v>
      </c>
      <c r="K13">
        <v>39.345191362499996</v>
      </c>
      <c r="L13">
        <v>111.26854391750001</v>
      </c>
      <c r="M13">
        <v>0</v>
      </c>
      <c r="N13">
        <v>90.564835197925007</v>
      </c>
      <c r="O13">
        <v>35.821667003324997</v>
      </c>
    </row>
    <row r="14" spans="1:15" x14ac:dyDescent="0.55000000000000004">
      <c r="A14" t="s">
        <v>171</v>
      </c>
      <c r="B14" t="s">
        <v>128</v>
      </c>
      <c r="C14">
        <v>7.8635907360000008</v>
      </c>
      <c r="D14">
        <v>9.7692768078750003</v>
      </c>
      <c r="E14">
        <v>11.3218138461375</v>
      </c>
      <c r="F14">
        <v>9.2008554181098692</v>
      </c>
      <c r="G14">
        <v>6.999652335375</v>
      </c>
      <c r="H14">
        <v>34.322985933327701</v>
      </c>
      <c r="I14">
        <v>30.040257699809999</v>
      </c>
      <c r="J14">
        <v>35.104327576875001</v>
      </c>
      <c r="K14">
        <v>37.250763576750003</v>
      </c>
      <c r="L14">
        <v>29.180653751250002</v>
      </c>
      <c r="M14">
        <v>0</v>
      </c>
      <c r="N14">
        <v>36.6563861964</v>
      </c>
      <c r="O14">
        <v>48.280359619350001</v>
      </c>
    </row>
    <row r="15" spans="1:15" x14ac:dyDescent="0.55000000000000004">
      <c r="A15" t="s">
        <v>228</v>
      </c>
      <c r="B15" t="s">
        <v>129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55000000000000004">
      <c r="A16" t="s">
        <v>172</v>
      </c>
      <c r="B16" t="s">
        <v>130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55000000000000004">
      <c r="A17" t="s">
        <v>227</v>
      </c>
      <c r="B17" t="s">
        <v>131</v>
      </c>
      <c r="C17">
        <v>10.322164271999998</v>
      </c>
      <c r="D17">
        <v>16.9208935242</v>
      </c>
      <c r="E17">
        <v>20.721082660920001</v>
      </c>
      <c r="F17">
        <v>15.3138638688648</v>
      </c>
      <c r="G17">
        <v>10.583119679999999</v>
      </c>
      <c r="H17">
        <v>48.087183968839923</v>
      </c>
      <c r="I17">
        <v>24.158064599999999</v>
      </c>
      <c r="J17">
        <v>35.345213819999998</v>
      </c>
      <c r="K17">
        <v>51.119279675999998</v>
      </c>
      <c r="L17">
        <v>55.332807981749994</v>
      </c>
      <c r="M17">
        <v>108.71835279839999</v>
      </c>
      <c r="N17">
        <v>44.342018834549997</v>
      </c>
      <c r="O17">
        <v>81.382430411999991</v>
      </c>
    </row>
    <row r="18" spans="1:15" x14ac:dyDescent="0.55000000000000004">
      <c r="A18" t="s">
        <v>173</v>
      </c>
      <c r="B18" t="s">
        <v>132</v>
      </c>
      <c r="C18">
        <v>6.5759809237500004</v>
      </c>
      <c r="D18">
        <v>4.4750995537499998</v>
      </c>
      <c r="E18">
        <v>3.0854456849999998</v>
      </c>
      <c r="F18">
        <v>2.9687633254125001</v>
      </c>
      <c r="G18">
        <v>0</v>
      </c>
      <c r="H18">
        <v>14.131092846192001</v>
      </c>
      <c r="I18">
        <v>0.12852</v>
      </c>
      <c r="J18">
        <v>6.523670390625</v>
      </c>
      <c r="K18">
        <v>17.815809022499998</v>
      </c>
      <c r="L18">
        <v>11.913314793750001</v>
      </c>
      <c r="M18">
        <v>0</v>
      </c>
      <c r="N18">
        <v>21.428021238749999</v>
      </c>
      <c r="O18">
        <v>15.388437285</v>
      </c>
    </row>
    <row r="19" spans="1:15" x14ac:dyDescent="0.55000000000000004">
      <c r="A19" t="s">
        <v>174</v>
      </c>
      <c r="B19" t="s">
        <v>133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55000000000000004">
      <c r="A20" t="s">
        <v>175</v>
      </c>
      <c r="B20" t="s">
        <v>134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55000000000000004">
      <c r="A21" t="s">
        <v>226</v>
      </c>
      <c r="B21" t="s">
        <v>135</v>
      </c>
      <c r="C21">
        <v>77.216199877625002</v>
      </c>
      <c r="D21">
        <v>110.11835128875001</v>
      </c>
      <c r="E21">
        <v>118.01117684625</v>
      </c>
      <c r="F21">
        <v>79.988157593047504</v>
      </c>
      <c r="G21">
        <v>19.164989925</v>
      </c>
      <c r="H21">
        <v>79.03144790674591</v>
      </c>
      <c r="I21">
        <v>0</v>
      </c>
      <c r="J21">
        <v>0</v>
      </c>
      <c r="K21">
        <v>257.89593467499998</v>
      </c>
      <c r="L21">
        <v>0</v>
      </c>
      <c r="M21">
        <v>0</v>
      </c>
      <c r="N21">
        <v>84.325724188575009</v>
      </c>
      <c r="O21">
        <v>196.76002310667499</v>
      </c>
    </row>
    <row r="22" spans="1:15" x14ac:dyDescent="0.55000000000000004">
      <c r="A22" t="s">
        <v>231</v>
      </c>
      <c r="B22" t="s">
        <v>136</v>
      </c>
      <c r="C22">
        <v>1.469505888</v>
      </c>
      <c r="D22">
        <v>5.1287082112500002</v>
      </c>
      <c r="E22">
        <v>7.6930623168750003</v>
      </c>
      <c r="F22">
        <v>5.2387797153187501</v>
      </c>
      <c r="G22">
        <v>4.35747428145</v>
      </c>
      <c r="H22">
        <v>5.2339297284516002</v>
      </c>
      <c r="I22">
        <v>0</v>
      </c>
      <c r="J22">
        <v>0</v>
      </c>
      <c r="K22">
        <v>22.659545819400002</v>
      </c>
      <c r="L22">
        <v>0</v>
      </c>
      <c r="M22">
        <v>0</v>
      </c>
      <c r="N22">
        <v>0</v>
      </c>
      <c r="O22">
        <v>34.613379902999995</v>
      </c>
    </row>
    <row r="23" spans="1:15" x14ac:dyDescent="0.55000000000000004">
      <c r="A23" t="s">
        <v>176</v>
      </c>
      <c r="B23" t="s">
        <v>137</v>
      </c>
      <c r="C23">
        <v>0</v>
      </c>
      <c r="D23">
        <v>1.33326648</v>
      </c>
      <c r="E23">
        <v>1.33326648</v>
      </c>
      <c r="F23">
        <v>3.2212175971499999</v>
      </c>
      <c r="G23">
        <v>8.4263967584999993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55000000000000004">
      <c r="A24" t="s">
        <v>232</v>
      </c>
      <c r="B24" t="s">
        <v>138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55000000000000004">
      <c r="A25" t="s">
        <v>177</v>
      </c>
      <c r="B25" t="s">
        <v>139</v>
      </c>
      <c r="C25">
        <v>1.0584702496</v>
      </c>
      <c r="D25">
        <v>0.15394781499999999</v>
      </c>
      <c r="E25">
        <v>0.19324109</v>
      </c>
      <c r="F25">
        <v>0.28590188597800004</v>
      </c>
      <c r="G25">
        <v>0</v>
      </c>
      <c r="H25">
        <v>1.0018151828376001</v>
      </c>
      <c r="I25">
        <v>0</v>
      </c>
      <c r="J25">
        <v>0</v>
      </c>
      <c r="K25">
        <v>4.4342275571999998</v>
      </c>
      <c r="L25">
        <v>0</v>
      </c>
      <c r="M25">
        <v>0</v>
      </c>
      <c r="N25">
        <v>0.576683112</v>
      </c>
      <c r="O25">
        <v>3.4614896079999999</v>
      </c>
    </row>
    <row r="26" spans="1:15" x14ac:dyDescent="0.55000000000000004">
      <c r="A26" t="s">
        <v>178</v>
      </c>
      <c r="B26" t="s">
        <v>140</v>
      </c>
      <c r="C26">
        <v>3.2114160000000003E-2</v>
      </c>
      <c r="D26">
        <v>1.150968E-2</v>
      </c>
      <c r="E26">
        <v>7.7110800000000004E-3</v>
      </c>
      <c r="F26">
        <v>1.02841284E-2</v>
      </c>
      <c r="G26">
        <v>0</v>
      </c>
      <c r="H26">
        <v>1.6145747588672001</v>
      </c>
      <c r="I26">
        <v>0</v>
      </c>
      <c r="J26">
        <v>0</v>
      </c>
      <c r="K26">
        <v>0.52116110800000004</v>
      </c>
      <c r="L26">
        <v>0</v>
      </c>
      <c r="M26">
        <v>0</v>
      </c>
      <c r="N26">
        <v>2.4729790020000002</v>
      </c>
      <c r="O26">
        <v>6.6728254060000003</v>
      </c>
    </row>
    <row r="27" spans="1:15" x14ac:dyDescent="0.55000000000000004">
      <c r="A27" t="s">
        <v>179</v>
      </c>
      <c r="B27" t="s">
        <v>141</v>
      </c>
      <c r="C27">
        <v>1.7312232978086999</v>
      </c>
      <c r="D27">
        <v>2.0044166107649999</v>
      </c>
      <c r="E27">
        <v>2.1098870467949999</v>
      </c>
      <c r="F27">
        <v>1.8203255690250661</v>
      </c>
      <c r="G27">
        <v>1.4175842259</v>
      </c>
      <c r="H27">
        <v>6.6360469864215936</v>
      </c>
      <c r="I27">
        <v>4.1408762118749998</v>
      </c>
      <c r="J27">
        <v>2.3046258796874999</v>
      </c>
      <c r="K27">
        <v>2.9864190359423999</v>
      </c>
      <c r="L27">
        <v>8.4503882544</v>
      </c>
      <c r="M27">
        <v>5.4647167988799996</v>
      </c>
      <c r="N27">
        <v>9.9866314613</v>
      </c>
      <c r="O27">
        <v>2.9852571667799999</v>
      </c>
    </row>
    <row r="28" spans="1:15" x14ac:dyDescent="0.55000000000000004">
      <c r="A28" t="s">
        <v>180</v>
      </c>
      <c r="B28" t="s">
        <v>142</v>
      </c>
      <c r="C28">
        <v>1.3359162600000001</v>
      </c>
      <c r="D28">
        <v>2.4989596199999999</v>
      </c>
      <c r="E28">
        <v>2.9168425425</v>
      </c>
      <c r="F28">
        <v>2.2105244274750002</v>
      </c>
      <c r="G28">
        <v>1.692087195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55000000000000004">
      <c r="A29" t="s">
        <v>181</v>
      </c>
      <c r="B29" t="s">
        <v>143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55000000000000004">
      <c r="A30" t="s">
        <v>182</v>
      </c>
      <c r="B30" t="s">
        <v>144</v>
      </c>
      <c r="C30">
        <v>0</v>
      </c>
      <c r="D30">
        <v>0</v>
      </c>
      <c r="E30">
        <v>0</v>
      </c>
      <c r="F30">
        <v>0</v>
      </c>
      <c r="G30">
        <v>0</v>
      </c>
      <c r="H30">
        <v>0.199531310299636</v>
      </c>
      <c r="I30">
        <v>0.83017537374545503</v>
      </c>
      <c r="J30">
        <v>0</v>
      </c>
      <c r="K30">
        <v>0</v>
      </c>
      <c r="L30">
        <v>0</v>
      </c>
      <c r="M30">
        <v>0.36820141363636399</v>
      </c>
      <c r="N30">
        <v>0.184100706818182</v>
      </c>
      <c r="O30">
        <v>0</v>
      </c>
    </row>
    <row r="31" spans="1:15" x14ac:dyDescent="0.55000000000000004">
      <c r="A31" t="s">
        <v>233</v>
      </c>
      <c r="B31" t="s">
        <v>145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55000000000000004">
      <c r="A32" t="s">
        <v>234</v>
      </c>
      <c r="B32" t="s">
        <v>146</v>
      </c>
      <c r="C32">
        <v>18.494340664999999</v>
      </c>
      <c r="D32">
        <v>25.357264496374999</v>
      </c>
      <c r="E32">
        <v>26.23713180295</v>
      </c>
      <c r="F32">
        <v>24.586693138316704</v>
      </c>
      <c r="G32">
        <v>25.762620103125002</v>
      </c>
      <c r="H32">
        <v>67.338973336662505</v>
      </c>
      <c r="I32">
        <v>155.20242733325</v>
      </c>
      <c r="J32">
        <v>115.35533097500002</v>
      </c>
      <c r="K32">
        <v>52.091570452500001</v>
      </c>
      <c r="L32">
        <v>38.126743771874999</v>
      </c>
      <c r="M32">
        <v>42.947576099999999</v>
      </c>
      <c r="N32">
        <v>42.542758614375003</v>
      </c>
      <c r="O32">
        <v>52.711051462500002</v>
      </c>
    </row>
    <row r="33" spans="1:15" x14ac:dyDescent="0.55000000000000004">
      <c r="A33" t="s">
        <v>115</v>
      </c>
      <c r="B33" t="s">
        <v>147</v>
      </c>
      <c r="C33">
        <v>0.40538191400000001</v>
      </c>
      <c r="D33">
        <v>1.6440822497500001</v>
      </c>
      <c r="E33">
        <v>1.6368499222499999</v>
      </c>
      <c r="F33">
        <v>0.99990687603999995</v>
      </c>
      <c r="G33">
        <v>0.24945323124999999</v>
      </c>
      <c r="H33">
        <v>1.6866673569900499</v>
      </c>
      <c r="I33">
        <v>1.1162935</v>
      </c>
      <c r="J33">
        <v>1.40267075</v>
      </c>
      <c r="K33">
        <v>1.701424849975</v>
      </c>
      <c r="L33">
        <v>1.7300512700000001</v>
      </c>
      <c r="M33">
        <v>1.963536972</v>
      </c>
      <c r="N33">
        <v>1.8997192999999999</v>
      </c>
      <c r="O33">
        <v>1.7140291560000001</v>
      </c>
    </row>
    <row r="34" spans="1:15" x14ac:dyDescent="0.55000000000000004">
      <c r="A34" t="s">
        <v>114</v>
      </c>
      <c r="B34" t="s">
        <v>148</v>
      </c>
      <c r="C34">
        <v>0</v>
      </c>
      <c r="D34">
        <v>0</v>
      </c>
      <c r="E34">
        <v>0</v>
      </c>
      <c r="F34">
        <v>9.5238000000000014</v>
      </c>
      <c r="G34">
        <v>31.746000000000002</v>
      </c>
      <c r="H34">
        <v>17.723509609680001</v>
      </c>
      <c r="I34">
        <v>91.769363783999992</v>
      </c>
      <c r="J34">
        <v>28.52514042</v>
      </c>
      <c r="K34">
        <v>0.150696</v>
      </c>
      <c r="L34">
        <v>4.5267286679999996</v>
      </c>
      <c r="M34">
        <v>0</v>
      </c>
      <c r="N34">
        <v>4.5267286679999996</v>
      </c>
      <c r="O34">
        <v>0</v>
      </c>
    </row>
    <row r="35" spans="1:15" x14ac:dyDescent="0.55000000000000004">
      <c r="A35" t="s">
        <v>183</v>
      </c>
      <c r="B35" t="s">
        <v>149</v>
      </c>
      <c r="C35">
        <v>0.26567140640624998</v>
      </c>
      <c r="D35">
        <v>0.3431159626875</v>
      </c>
      <c r="E35">
        <v>0.2277488251125</v>
      </c>
      <c r="F35">
        <v>0.181247970096375</v>
      </c>
      <c r="G35">
        <v>0</v>
      </c>
      <c r="H35">
        <v>0.54288081453900006</v>
      </c>
      <c r="I35">
        <v>0</v>
      </c>
      <c r="J35">
        <v>0</v>
      </c>
      <c r="K35">
        <v>0.98336190699999992</v>
      </c>
      <c r="L35">
        <v>0</v>
      </c>
      <c r="M35">
        <v>0.59022028000000004</v>
      </c>
      <c r="N35">
        <v>0.77424495874999999</v>
      </c>
      <c r="O35">
        <v>1.1179812437500001</v>
      </c>
    </row>
    <row r="36" spans="1:15" x14ac:dyDescent="0.55000000000000004">
      <c r="A36" t="s">
        <v>184</v>
      </c>
      <c r="B36" t="s">
        <v>150</v>
      </c>
      <c r="C36">
        <v>4.9567378553246231</v>
      </c>
      <c r="D36">
        <v>5.0781409648568445</v>
      </c>
      <c r="E36">
        <v>5.0480129345339009</v>
      </c>
      <c r="F36">
        <v>6.5652699234595886</v>
      </c>
      <c r="G36">
        <v>10.14724579867185</v>
      </c>
      <c r="H36">
        <v>10.18462032496168</v>
      </c>
      <c r="I36">
        <v>32.075794446423309</v>
      </c>
      <c r="J36">
        <v>10.57725670804837</v>
      </c>
      <c r="K36">
        <v>11.183483854689289</v>
      </c>
      <c r="L36">
        <v>4.6119628982147542</v>
      </c>
      <c r="M36">
        <v>1.76795560547172</v>
      </c>
      <c r="N36">
        <v>5.9513524865077301</v>
      </c>
      <c r="O36">
        <v>6.1587582505079652</v>
      </c>
    </row>
    <row r="37" spans="1:15" x14ac:dyDescent="0.55000000000000004">
      <c r="A37" t="s">
        <v>185</v>
      </c>
      <c r="B37" t="s">
        <v>151</v>
      </c>
      <c r="C37">
        <v>0.36960442840881003</v>
      </c>
      <c r="D37">
        <v>0.3305662993872725</v>
      </c>
      <c r="E37">
        <v>0.23611969213133499</v>
      </c>
      <c r="F37">
        <v>0.22694711719547189</v>
      </c>
      <c r="G37">
        <v>8.4526737434400007E-2</v>
      </c>
      <c r="H37">
        <v>0.21247355752006999</v>
      </c>
      <c r="I37">
        <v>1.5750246794239999E-2</v>
      </c>
      <c r="J37">
        <v>0</v>
      </c>
      <c r="K37">
        <v>0.27756642520011199</v>
      </c>
      <c r="L37">
        <v>0.2275405824</v>
      </c>
      <c r="M37">
        <v>1.085971171328</v>
      </c>
      <c r="N37">
        <v>0.235457332224</v>
      </c>
      <c r="O37">
        <v>0.17640939520000001</v>
      </c>
    </row>
    <row r="38" spans="1:15" x14ac:dyDescent="0.55000000000000004">
      <c r="A38" t="s">
        <v>186</v>
      </c>
      <c r="B38" t="s">
        <v>152</v>
      </c>
      <c r="C38">
        <v>1.3149215999999999</v>
      </c>
      <c r="D38">
        <v>1.5779059200000001</v>
      </c>
      <c r="E38">
        <v>0.94674355200000004</v>
      </c>
      <c r="F38">
        <v>0.81104364288000008</v>
      </c>
      <c r="G38">
        <v>0</v>
      </c>
      <c r="H38">
        <v>0.10584662256256</v>
      </c>
      <c r="I38">
        <v>0</v>
      </c>
      <c r="J38">
        <v>0</v>
      </c>
      <c r="K38">
        <v>0.96224202329600006</v>
      </c>
      <c r="L38">
        <v>0</v>
      </c>
      <c r="M38">
        <v>0</v>
      </c>
      <c r="N38">
        <v>0</v>
      </c>
      <c r="O38">
        <v>0</v>
      </c>
    </row>
    <row r="39" spans="1:15" x14ac:dyDescent="0.55000000000000004">
      <c r="A39" t="s">
        <v>187</v>
      </c>
      <c r="B39" t="s">
        <v>153</v>
      </c>
      <c r="C39">
        <v>0</v>
      </c>
      <c r="D39">
        <v>0</v>
      </c>
      <c r="E39">
        <v>0</v>
      </c>
      <c r="F39">
        <v>0</v>
      </c>
      <c r="G39">
        <v>0</v>
      </c>
      <c r="H39">
        <v>2.6934962925E-2</v>
      </c>
      <c r="I39">
        <v>0.20719202249999999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55000000000000004">
      <c r="A40" t="s">
        <v>188</v>
      </c>
      <c r="B40" t="s">
        <v>154</v>
      </c>
      <c r="C40">
        <v>3.017929967E-2</v>
      </c>
      <c r="D40">
        <v>1.3962413789999999E-2</v>
      </c>
      <c r="E40">
        <v>1.3230306440000001E-2</v>
      </c>
      <c r="F40">
        <v>1.4450308044899999E-2</v>
      </c>
      <c r="G40">
        <v>6.8103360000000002E-3</v>
      </c>
      <c r="H40">
        <v>7.0529457324040007E-2</v>
      </c>
      <c r="I40">
        <v>0</v>
      </c>
      <c r="J40">
        <v>0</v>
      </c>
      <c r="K40">
        <v>8.7164772500000001E-2</v>
      </c>
      <c r="L40">
        <v>5.2205399999999999E-2</v>
      </c>
      <c r="M40">
        <v>0.23806536</v>
      </c>
      <c r="N40">
        <v>8.5804941299999993E-2</v>
      </c>
      <c r="O40">
        <v>0.1275763697</v>
      </c>
    </row>
    <row r="41" spans="1:15" x14ac:dyDescent="0.55000000000000004">
      <c r="A41" t="s">
        <v>189</v>
      </c>
      <c r="B41" t="s">
        <v>155</v>
      </c>
      <c r="C41">
        <v>0.27166832273024999</v>
      </c>
      <c r="D41">
        <v>0.25773282585900004</v>
      </c>
      <c r="E41">
        <v>0.23488891496775</v>
      </c>
      <c r="F41">
        <v>0.17401224229053749</v>
      </c>
      <c r="G41">
        <v>0</v>
      </c>
      <c r="H41">
        <v>0.4479801653665042</v>
      </c>
      <c r="I41">
        <v>0</v>
      </c>
      <c r="J41">
        <v>0</v>
      </c>
      <c r="K41">
        <v>1.655783184753</v>
      </c>
      <c r="L41">
        <v>0.11051694675</v>
      </c>
      <c r="M41">
        <v>0.52776568526400003</v>
      </c>
      <c r="N41">
        <v>0.33404262397200002</v>
      </c>
      <c r="O41">
        <v>1.1850464779109999</v>
      </c>
    </row>
    <row r="42" spans="1:15" x14ac:dyDescent="0.55000000000000004">
      <c r="A42" t="s">
        <v>190</v>
      </c>
      <c r="B42" t="s">
        <v>156</v>
      </c>
      <c r="C42">
        <v>1.2390721875E-2</v>
      </c>
      <c r="D42">
        <v>5.4426866249999997E-2</v>
      </c>
      <c r="E42">
        <v>6.8258319750000004E-2</v>
      </c>
      <c r="F42">
        <v>3.59265672525E-2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55000000000000004">
      <c r="A43" t="s">
        <v>191</v>
      </c>
      <c r="B43" t="s">
        <v>157</v>
      </c>
      <c r="C43">
        <v>0.89178351310000004</v>
      </c>
      <c r="D43">
        <v>0.608966888175</v>
      </c>
      <c r="E43">
        <v>0.53261208750500011</v>
      </c>
      <c r="F43">
        <v>0.44740544194769999</v>
      </c>
      <c r="G43">
        <v>0</v>
      </c>
      <c r="H43">
        <v>1.0313608703731501</v>
      </c>
      <c r="I43">
        <v>0</v>
      </c>
      <c r="J43">
        <v>9.3874781249999997E-2</v>
      </c>
      <c r="K43">
        <v>2.6139788573249998</v>
      </c>
      <c r="L43">
        <v>0.52723961249999995</v>
      </c>
      <c r="M43">
        <v>0.46490625000000002</v>
      </c>
      <c r="N43">
        <v>1.0333784962500001</v>
      </c>
      <c r="O43">
        <v>2.8897938532499996</v>
      </c>
    </row>
    <row r="44" spans="1:15" x14ac:dyDescent="0.55000000000000004">
      <c r="A44" t="s">
        <v>192</v>
      </c>
      <c r="B44" t="s">
        <v>158</v>
      </c>
      <c r="C44">
        <v>0.24249391000000001</v>
      </c>
      <c r="D44">
        <v>0.218139112</v>
      </c>
      <c r="E44">
        <v>0.14298944669999999</v>
      </c>
      <c r="F44">
        <v>0.140161247323</v>
      </c>
      <c r="G44">
        <v>4.1294582500000003E-2</v>
      </c>
      <c r="H44">
        <v>1.6380861460270799</v>
      </c>
      <c r="I44">
        <v>0.44514296850000001</v>
      </c>
      <c r="J44">
        <v>1.236313175</v>
      </c>
      <c r="K44">
        <v>0.18758159999999999</v>
      </c>
      <c r="L44">
        <v>2.0446659120000001</v>
      </c>
      <c r="M44">
        <v>3.5256090755999998</v>
      </c>
      <c r="N44">
        <v>2.4026126111999999</v>
      </c>
      <c r="O44">
        <v>0.69758903699999997</v>
      </c>
    </row>
    <row r="45" spans="1:15" x14ac:dyDescent="0.55000000000000004">
      <c r="A45" t="s">
        <v>235</v>
      </c>
      <c r="B45" t="s">
        <v>159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55000000000000004">
      <c r="A46" t="s">
        <v>236</v>
      </c>
      <c r="B46" t="s">
        <v>160</v>
      </c>
      <c r="C46">
        <v>0</v>
      </c>
      <c r="D46">
        <v>0</v>
      </c>
      <c r="E46">
        <v>0</v>
      </c>
      <c r="F46">
        <v>0</v>
      </c>
      <c r="G46">
        <v>0</v>
      </c>
      <c r="H46">
        <v>5.3992237200000001E-2</v>
      </c>
      <c r="I46">
        <v>0</v>
      </c>
      <c r="J46">
        <v>0</v>
      </c>
      <c r="K46">
        <v>0.49083852</v>
      </c>
      <c r="L46">
        <v>0</v>
      </c>
      <c r="M46">
        <v>0</v>
      </c>
      <c r="N46">
        <v>0</v>
      </c>
      <c r="O46">
        <v>0</v>
      </c>
    </row>
    <row r="47" spans="1:15" x14ac:dyDescent="0.55000000000000004">
      <c r="A47" t="s">
        <v>193</v>
      </c>
      <c r="B47" t="s">
        <v>161</v>
      </c>
      <c r="C47">
        <v>15.820418481897333</v>
      </c>
      <c r="D47">
        <v>18.726858630205331</v>
      </c>
      <c r="E47">
        <v>19.612470050635931</v>
      </c>
      <c r="F47">
        <v>14.46617611606823</v>
      </c>
      <c r="G47">
        <v>5.1171528255066665</v>
      </c>
      <c r="H47">
        <v>61.230500715090812</v>
      </c>
      <c r="I47">
        <v>1.051548804993333</v>
      </c>
      <c r="J47">
        <v>29.154153372536669</v>
      </c>
      <c r="K47">
        <v>65.188241054880322</v>
      </c>
      <c r="L47">
        <v>62.254027337384997</v>
      </c>
      <c r="M47">
        <v>140.11824705319449</v>
      </c>
      <c r="N47">
        <v>73.36744245579284</v>
      </c>
      <c r="O47">
        <v>97.379988197376335</v>
      </c>
    </row>
    <row r="48" spans="1:15" x14ac:dyDescent="0.55000000000000004">
      <c r="A48" t="s">
        <v>237</v>
      </c>
      <c r="B48" t="s">
        <v>162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55000000000000004">
      <c r="A49" t="s">
        <v>194</v>
      </c>
      <c r="B49" t="s">
        <v>163</v>
      </c>
      <c r="C49">
        <v>0</v>
      </c>
      <c r="D49">
        <v>9.3346627500000001E-2</v>
      </c>
      <c r="E49">
        <v>9.3346627500000001E-2</v>
      </c>
      <c r="F49">
        <v>4.8540246299999999E-2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55000000000000004">
      <c r="A50" t="s">
        <v>195</v>
      </c>
      <c r="B50" t="s">
        <v>164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55000000000000004">
      <c r="A51" t="s">
        <v>196</v>
      </c>
      <c r="B51" t="s">
        <v>165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s="2" customFormat="1" x14ac:dyDescent="0.55000000000000004">
      <c r="B52" s="2" t="s">
        <v>118</v>
      </c>
      <c r="C52" s="2">
        <v>329.50672345060337</v>
      </c>
      <c r="D52" s="2">
        <v>429.03039578138515</v>
      </c>
      <c r="E52" s="2">
        <v>454.21667067833141</v>
      </c>
      <c r="F52" s="2">
        <v>379.26091168004916</v>
      </c>
      <c r="G52" s="2">
        <v>290.10416147603786</v>
      </c>
      <c r="H52" s="2">
        <v>1237.980312033045</v>
      </c>
      <c r="I52" s="2">
        <v>1069.5083722763104</v>
      </c>
      <c r="J52" s="2">
        <v>1099.1516360540224</v>
      </c>
      <c r="K52" s="2">
        <v>1162.6253349999511</v>
      </c>
      <c r="L52" s="2">
        <v>1148.7268640398947</v>
      </c>
      <c r="M52" s="2">
        <v>1574.6723620467269</v>
      </c>
      <c r="N52" s="2">
        <v>1294.006360067722</v>
      </c>
      <c r="O52" s="2">
        <v>1478.994551020445</v>
      </c>
    </row>
    <row r="53" spans="1:15" s="2" customFormat="1" x14ac:dyDescent="0.55000000000000004">
      <c r="B53" s="2" t="s">
        <v>225</v>
      </c>
      <c r="C53" s="2">
        <v>202.28959513999999</v>
      </c>
      <c r="D53" s="2">
        <v>221.15508747749999</v>
      </c>
      <c r="E53" s="78">
        <v>226.814204115</v>
      </c>
      <c r="F53" s="2">
        <v>209.704579102125</v>
      </c>
      <c r="G53" s="2">
        <v>186.94917000000001</v>
      </c>
      <c r="H53" s="2">
        <v>749.02265602284297</v>
      </c>
      <c r="I53" s="2">
        <v>610.31778850371199</v>
      </c>
      <c r="J53" s="2">
        <v>669.32627000000002</v>
      </c>
      <c r="K53" s="2">
        <v>725.16292150000004</v>
      </c>
      <c r="L53" s="2">
        <v>731.64329599999996</v>
      </c>
      <c r="M53" s="2">
        <v>951.6734907</v>
      </c>
      <c r="N53" s="2">
        <v>790.46137584999997</v>
      </c>
      <c r="O53" s="2">
        <v>831.35298224999997</v>
      </c>
    </row>
    <row r="54" spans="1:15" s="2" customFormat="1" x14ac:dyDescent="0.55000000000000004">
      <c r="B54" s="2" t="s">
        <v>199</v>
      </c>
      <c r="C54" s="2">
        <v>681.249534412</v>
      </c>
      <c r="D54" s="2">
        <v>793.60483018324999</v>
      </c>
      <c r="E54" s="78">
        <v>810.92430237149995</v>
      </c>
      <c r="F54" s="2">
        <v>733.04671806761701</v>
      </c>
      <c r="G54" s="2">
        <v>636.64232008249996</v>
      </c>
      <c r="H54" s="2">
        <v>2681.9243568565998</v>
      </c>
      <c r="I54" s="2">
        <v>2536.512545</v>
      </c>
      <c r="J54" s="2">
        <v>2408.32587375</v>
      </c>
      <c r="K54" s="2">
        <v>2349.17210282</v>
      </c>
      <c r="L54" s="2">
        <v>2629.9764599999999</v>
      </c>
      <c r="M54" s="2">
        <v>3454.5868460000002</v>
      </c>
      <c r="N54" s="2">
        <v>2786.3776929999999</v>
      </c>
      <c r="O54" s="2">
        <v>2918.8367979999998</v>
      </c>
    </row>
    <row r="55" spans="1:15" x14ac:dyDescent="0.55000000000000004">
      <c r="A55" s="2" t="s">
        <v>201</v>
      </c>
    </row>
    <row r="56" spans="1:15" x14ac:dyDescent="0.55000000000000004">
      <c r="A56" t="s">
        <v>166</v>
      </c>
      <c r="B56" t="s">
        <v>120</v>
      </c>
      <c r="C56">
        <f>C6/C$53</f>
        <v>0.66655203163663812</v>
      </c>
      <c r="D56">
        <f t="shared" ref="D56:G56" si="0">D6/D$53</f>
        <v>0.7890476974504943</v>
      </c>
      <c r="E56">
        <f t="shared" si="0"/>
        <v>0.81212363741870519</v>
      </c>
      <c r="F56">
        <f t="shared" si="0"/>
        <v>0.67816646854707796</v>
      </c>
      <c r="G56">
        <f t="shared" si="0"/>
        <v>0.41758817977742296</v>
      </c>
      <c r="H56">
        <f t="shared" ref="H56:K56" si="1">H6/H$53</f>
        <v>0.72305740683734354</v>
      </c>
      <c r="I56">
        <f t="shared" si="1"/>
        <v>0.10752105712154068</v>
      </c>
      <c r="J56">
        <f t="shared" si="1"/>
        <v>0.25216204697897182</v>
      </c>
      <c r="K56">
        <f t="shared" si="1"/>
        <v>0.70488769135921681</v>
      </c>
      <c r="L56">
        <f t="shared" ref="L56:O56" si="2">L6/L$53</f>
        <v>0.77618509644229694</v>
      </c>
      <c r="M56">
        <f t="shared" si="2"/>
        <v>1.3077496563317397</v>
      </c>
      <c r="N56">
        <f t="shared" si="2"/>
        <v>0.86212118455911779</v>
      </c>
      <c r="O56">
        <f t="shared" si="2"/>
        <v>0.96051565346738732</v>
      </c>
    </row>
    <row r="57" spans="1:15" x14ac:dyDescent="0.55000000000000004">
      <c r="A57" t="s">
        <v>167</v>
      </c>
      <c r="B57" t="s">
        <v>121</v>
      </c>
      <c r="C57">
        <f t="shared" ref="C57:C102" si="3">C7/C$53</f>
        <v>0</v>
      </c>
      <c r="D57">
        <f t="shared" ref="D57:G57" si="4">D7/D$53</f>
        <v>0</v>
      </c>
      <c r="E57">
        <f t="shared" si="4"/>
        <v>0</v>
      </c>
      <c r="F57">
        <f t="shared" si="4"/>
        <v>0</v>
      </c>
      <c r="G57">
        <f t="shared" si="4"/>
        <v>0</v>
      </c>
      <c r="H57">
        <f t="shared" ref="H57:K57" si="5">H7/H$53</f>
        <v>1.8340548482588287E-2</v>
      </c>
      <c r="I57">
        <f t="shared" si="5"/>
        <v>0</v>
      </c>
      <c r="J57">
        <f t="shared" si="5"/>
        <v>0</v>
      </c>
      <c r="K57">
        <f t="shared" si="5"/>
        <v>0</v>
      </c>
      <c r="L57">
        <f t="shared" ref="L57:O57" si="6">L7/L$53</f>
        <v>2.710937578248513E-2</v>
      </c>
      <c r="M57">
        <f t="shared" si="6"/>
        <v>2.3403294110480782E-2</v>
      </c>
      <c r="N57">
        <f t="shared" si="6"/>
        <v>3.1937472660005871E-2</v>
      </c>
      <c r="O57">
        <f t="shared" si="6"/>
        <v>4.0086017505833035E-3</v>
      </c>
    </row>
    <row r="58" spans="1:15" x14ac:dyDescent="0.55000000000000004">
      <c r="A58" t="s">
        <v>168</v>
      </c>
      <c r="B58" t="s">
        <v>122</v>
      </c>
      <c r="C58">
        <f t="shared" si="3"/>
        <v>0.12665853371755384</v>
      </c>
      <c r="D58">
        <f t="shared" ref="D58:G58" si="7">D8/D$53</f>
        <v>0.10711655530605925</v>
      </c>
      <c r="E58">
        <f t="shared" si="7"/>
        <v>9.9524528930867481E-2</v>
      </c>
      <c r="F58">
        <f t="shared" si="7"/>
        <v>0.13978064740298876</v>
      </c>
      <c r="G58">
        <f t="shared" si="7"/>
        <v>0.2285366656762905</v>
      </c>
      <c r="H58">
        <f t="shared" ref="H58:K58" si="8">H8/H$53</f>
        <v>0.29503286808655971</v>
      </c>
      <c r="I58">
        <f t="shared" si="8"/>
        <v>0.74645992701846853</v>
      </c>
      <c r="J58">
        <f t="shared" si="8"/>
        <v>0.70227987507497636</v>
      </c>
      <c r="K58">
        <f t="shared" si="8"/>
        <v>0.10127958303229379</v>
      </c>
      <c r="L58">
        <f t="shared" ref="L58:O58" si="9">L8/L$53</f>
        <v>0.3105863436080743</v>
      </c>
      <c r="M58">
        <f t="shared" si="9"/>
        <v>0</v>
      </c>
      <c r="N58">
        <f t="shared" si="9"/>
        <v>0.20372935316014656</v>
      </c>
      <c r="O58">
        <f t="shared" si="9"/>
        <v>0.10100205134616273</v>
      </c>
    </row>
    <row r="59" spans="1:15" x14ac:dyDescent="0.55000000000000004">
      <c r="A59" t="s">
        <v>169</v>
      </c>
      <c r="B59" t="s">
        <v>123</v>
      </c>
      <c r="C59">
        <f t="shared" si="3"/>
        <v>0</v>
      </c>
      <c r="D59">
        <f t="shared" ref="D59:G59" si="10">D9/D$53</f>
        <v>0</v>
      </c>
      <c r="E59">
        <f t="shared" si="10"/>
        <v>0</v>
      </c>
      <c r="F59">
        <f t="shared" si="10"/>
        <v>0</v>
      </c>
      <c r="G59">
        <f t="shared" si="10"/>
        <v>0</v>
      </c>
      <c r="H59">
        <f t="shared" ref="H59:K59" si="11">H9/H$53</f>
        <v>0</v>
      </c>
      <c r="I59">
        <f t="shared" si="11"/>
        <v>0</v>
      </c>
      <c r="J59">
        <f t="shared" si="11"/>
        <v>0</v>
      </c>
      <c r="K59">
        <f t="shared" si="11"/>
        <v>0</v>
      </c>
      <c r="L59">
        <f t="shared" ref="L59:O59" si="12">L9/L$53</f>
        <v>0</v>
      </c>
      <c r="M59">
        <f t="shared" si="12"/>
        <v>0</v>
      </c>
      <c r="N59">
        <f t="shared" si="12"/>
        <v>0</v>
      </c>
      <c r="O59">
        <f t="shared" si="12"/>
        <v>0</v>
      </c>
    </row>
    <row r="60" spans="1:15" x14ac:dyDescent="0.55000000000000004">
      <c r="A60" t="s">
        <v>170</v>
      </c>
      <c r="B60" t="s">
        <v>124</v>
      </c>
      <c r="C60">
        <f t="shared" si="3"/>
        <v>5.0776234152781459E-3</v>
      </c>
      <c r="D60">
        <f t="shared" ref="D60:G60" si="13">D10/D$53</f>
        <v>1.558434304772956E-3</v>
      </c>
      <c r="E60">
        <f t="shared" si="13"/>
        <v>4.3415733324210997E-4</v>
      </c>
      <c r="F60">
        <f t="shared" si="13"/>
        <v>5.5622733014950177E-3</v>
      </c>
      <c r="G60">
        <f t="shared" si="13"/>
        <v>1.6017497964821131E-2</v>
      </c>
      <c r="H60">
        <f t="shared" ref="H60:K60" si="14">H10/H$53</f>
        <v>4.9948755256775468E-3</v>
      </c>
      <c r="I60">
        <f t="shared" si="14"/>
        <v>9.5434430181442695E-3</v>
      </c>
      <c r="J60">
        <f t="shared" si="14"/>
        <v>7.2945424658141678E-3</v>
      </c>
      <c r="K60">
        <f t="shared" si="14"/>
        <v>8.8538086528462973E-3</v>
      </c>
      <c r="L60">
        <f t="shared" ref="L60:O60" si="15">L10/L$53</f>
        <v>4.6553306968318076E-3</v>
      </c>
      <c r="M60">
        <f t="shared" si="15"/>
        <v>0</v>
      </c>
      <c r="N60">
        <f t="shared" si="15"/>
        <v>3.1909026829903394E-3</v>
      </c>
      <c r="O60">
        <f t="shared" si="15"/>
        <v>4.3807931371620456E-3</v>
      </c>
    </row>
    <row r="61" spans="1:15" x14ac:dyDescent="0.55000000000000004">
      <c r="A61" t="s">
        <v>250</v>
      </c>
      <c r="B61" t="s">
        <v>125</v>
      </c>
      <c r="C61">
        <f t="shared" si="3"/>
        <v>0</v>
      </c>
      <c r="D61">
        <f t="shared" ref="D61:G61" si="16">D11/D$53</f>
        <v>0</v>
      </c>
      <c r="E61">
        <f t="shared" si="16"/>
        <v>0</v>
      </c>
      <c r="F61">
        <f t="shared" si="16"/>
        <v>0</v>
      </c>
      <c r="G61">
        <f t="shared" si="16"/>
        <v>0</v>
      </c>
      <c r="H61">
        <f t="shared" ref="H61:K61" si="17">H11/H$53</f>
        <v>2.2674487730691619E-5</v>
      </c>
      <c r="I61">
        <f t="shared" si="17"/>
        <v>0</v>
      </c>
      <c r="J61">
        <f t="shared" si="17"/>
        <v>0</v>
      </c>
      <c r="K61">
        <f t="shared" si="17"/>
        <v>0</v>
      </c>
      <c r="L61">
        <f t="shared" ref="L61:O61" si="18">L11/L$53</f>
        <v>0</v>
      </c>
      <c r="M61">
        <f t="shared" si="18"/>
        <v>7.1728886710703454E-5</v>
      </c>
      <c r="N61">
        <f t="shared" si="18"/>
        <v>4.3178883931296389E-5</v>
      </c>
      <c r="O61">
        <f t="shared" si="18"/>
        <v>0</v>
      </c>
    </row>
    <row r="62" spans="1:15" x14ac:dyDescent="0.55000000000000004">
      <c r="A62" t="s">
        <v>229</v>
      </c>
      <c r="B62" t="s">
        <v>126</v>
      </c>
      <c r="C62">
        <f t="shared" si="3"/>
        <v>0</v>
      </c>
      <c r="D62">
        <f t="shared" ref="D62:G62" si="19">D12/D$53</f>
        <v>0</v>
      </c>
      <c r="E62">
        <f t="shared" si="19"/>
        <v>0</v>
      </c>
      <c r="F62">
        <f t="shared" si="19"/>
        <v>0</v>
      </c>
      <c r="G62">
        <f t="shared" si="19"/>
        <v>0</v>
      </c>
      <c r="H62">
        <f t="shared" ref="H62:K62" si="20">H12/H$53</f>
        <v>0</v>
      </c>
      <c r="I62">
        <f t="shared" si="20"/>
        <v>0</v>
      </c>
      <c r="J62">
        <f t="shared" si="20"/>
        <v>0</v>
      </c>
      <c r="K62">
        <f t="shared" si="20"/>
        <v>0</v>
      </c>
      <c r="L62">
        <f t="shared" ref="L62:O62" si="21">L12/L$53</f>
        <v>0</v>
      </c>
      <c r="M62">
        <f t="shared" si="21"/>
        <v>0</v>
      </c>
      <c r="N62">
        <f t="shared" si="21"/>
        <v>0</v>
      </c>
      <c r="O62">
        <f t="shared" si="21"/>
        <v>0</v>
      </c>
    </row>
    <row r="63" spans="1:15" x14ac:dyDescent="0.55000000000000004">
      <c r="A63" t="s">
        <v>230</v>
      </c>
      <c r="B63" t="s">
        <v>127</v>
      </c>
      <c r="C63">
        <f t="shared" si="3"/>
        <v>8.5721517926744997E-2</v>
      </c>
      <c r="D63">
        <f t="shared" ref="D63:G63" si="22">D13/D$53</f>
        <v>0.10750608460587138</v>
      </c>
      <c r="E63">
        <f t="shared" si="22"/>
        <v>0.10986751189209137</v>
      </c>
      <c r="F63">
        <f t="shared" si="22"/>
        <v>0.13393588053567396</v>
      </c>
      <c r="G63">
        <f t="shared" si="22"/>
        <v>0.21674764288268836</v>
      </c>
      <c r="H63">
        <f t="shared" ref="H63:K63" si="23">H13/H$53</f>
        <v>0.14066186064868999</v>
      </c>
      <c r="I63">
        <f t="shared" si="23"/>
        <v>0.32983250754634641</v>
      </c>
      <c r="J63">
        <f t="shared" si="23"/>
        <v>0.28358901509274392</v>
      </c>
      <c r="K63">
        <f t="shared" si="23"/>
        <v>5.4257036861612339E-2</v>
      </c>
      <c r="L63">
        <f t="shared" ref="L63:O63" si="24">L13/L$53</f>
        <v>0.15208031635883398</v>
      </c>
      <c r="M63">
        <f t="shared" si="24"/>
        <v>0</v>
      </c>
      <c r="N63">
        <f t="shared" si="24"/>
        <v>0.1145721194796377</v>
      </c>
      <c r="O63">
        <f t="shared" si="24"/>
        <v>4.3088396587423194E-2</v>
      </c>
    </row>
    <row r="64" spans="1:15" x14ac:dyDescent="0.55000000000000004">
      <c r="A64" t="s">
        <v>171</v>
      </c>
      <c r="B64" t="s">
        <v>128</v>
      </c>
      <c r="C64">
        <f t="shared" si="3"/>
        <v>3.8872937239099174E-2</v>
      </c>
      <c r="D64">
        <f t="shared" ref="D64:G64" si="25">D14/D$53</f>
        <v>4.4173873272840322E-2</v>
      </c>
      <c r="E64">
        <f t="shared" si="25"/>
        <v>4.9916687935456991E-2</v>
      </c>
      <c r="F64">
        <f t="shared" si="25"/>
        <v>4.3875319544782576E-2</v>
      </c>
      <c r="G64">
        <f t="shared" si="25"/>
        <v>3.7441473184261796E-2</v>
      </c>
      <c r="H64">
        <f t="shared" ref="H64:K64" si="26">H14/H$53</f>
        <v>4.5823695261203091E-2</v>
      </c>
      <c r="I64">
        <f t="shared" si="26"/>
        <v>4.92206818573293E-2</v>
      </c>
      <c r="J64">
        <f t="shared" si="26"/>
        <v>5.2447258011963281E-2</v>
      </c>
      <c r="K64">
        <f t="shared" si="26"/>
        <v>5.1368819988336929E-2</v>
      </c>
      <c r="L64">
        <f t="shared" ref="L64:O64" si="27">L14/L$53</f>
        <v>3.9883716437757129E-2</v>
      </c>
      <c r="M64">
        <f t="shared" si="27"/>
        <v>0</v>
      </c>
      <c r="N64">
        <f t="shared" si="27"/>
        <v>4.6373405856779029E-2</v>
      </c>
      <c r="O64">
        <f t="shared" si="27"/>
        <v>5.8074440881516427E-2</v>
      </c>
    </row>
    <row r="65" spans="1:15" x14ac:dyDescent="0.55000000000000004">
      <c r="A65" t="s">
        <v>228</v>
      </c>
      <c r="B65" t="s">
        <v>129</v>
      </c>
      <c r="C65">
        <f t="shared" si="3"/>
        <v>0</v>
      </c>
      <c r="D65">
        <f t="shared" ref="D65:G65" si="28">D15/D$53</f>
        <v>0</v>
      </c>
      <c r="E65">
        <f t="shared" si="28"/>
        <v>0</v>
      </c>
      <c r="F65">
        <f t="shared" si="28"/>
        <v>0</v>
      </c>
      <c r="G65">
        <f t="shared" si="28"/>
        <v>0</v>
      </c>
      <c r="H65">
        <f t="shared" ref="H65:K65" si="29">H15/H$53</f>
        <v>0</v>
      </c>
      <c r="I65">
        <f t="shared" si="29"/>
        <v>0</v>
      </c>
      <c r="J65">
        <f t="shared" si="29"/>
        <v>0</v>
      </c>
      <c r="K65">
        <f t="shared" si="29"/>
        <v>0</v>
      </c>
      <c r="L65">
        <f t="shared" ref="L65:O65" si="30">L15/L$53</f>
        <v>0</v>
      </c>
      <c r="M65">
        <f t="shared" si="30"/>
        <v>0</v>
      </c>
      <c r="N65">
        <f t="shared" si="30"/>
        <v>0</v>
      </c>
      <c r="O65">
        <f t="shared" si="30"/>
        <v>0</v>
      </c>
    </row>
    <row r="66" spans="1:15" x14ac:dyDescent="0.55000000000000004">
      <c r="A66" t="s">
        <v>172</v>
      </c>
      <c r="B66" t="s">
        <v>130</v>
      </c>
      <c r="C66">
        <f t="shared" si="3"/>
        <v>0</v>
      </c>
      <c r="D66">
        <f t="shared" ref="D66:G66" si="31">D16/D$53</f>
        <v>0</v>
      </c>
      <c r="E66">
        <f t="shared" si="31"/>
        <v>0</v>
      </c>
      <c r="F66">
        <f t="shared" si="31"/>
        <v>0</v>
      </c>
      <c r="G66">
        <f t="shared" si="31"/>
        <v>0</v>
      </c>
      <c r="H66">
        <f t="shared" ref="H66:K66" si="32">H16/H$53</f>
        <v>0</v>
      </c>
      <c r="I66">
        <f t="shared" si="32"/>
        <v>0</v>
      </c>
      <c r="J66">
        <f t="shared" si="32"/>
        <v>0</v>
      </c>
      <c r="K66">
        <f t="shared" si="32"/>
        <v>0</v>
      </c>
      <c r="L66">
        <f t="shared" ref="L66:O66" si="33">L16/L$53</f>
        <v>0</v>
      </c>
      <c r="M66">
        <f t="shared" si="33"/>
        <v>0</v>
      </c>
      <c r="N66">
        <f t="shared" si="33"/>
        <v>0</v>
      </c>
      <c r="O66">
        <f t="shared" si="33"/>
        <v>0</v>
      </c>
    </row>
    <row r="67" spans="1:15" x14ac:dyDescent="0.55000000000000004">
      <c r="A67" t="s">
        <v>227</v>
      </c>
      <c r="B67" t="s">
        <v>131</v>
      </c>
      <c r="C67">
        <f t="shared" si="3"/>
        <v>5.1026669289917087E-2</v>
      </c>
      <c r="D67">
        <f t="shared" ref="D67:G67" si="34">D17/D$53</f>
        <v>7.6511436916057871E-2</v>
      </c>
      <c r="E67">
        <f t="shared" si="34"/>
        <v>9.1357076783488991E-2</v>
      </c>
      <c r="F67">
        <f t="shared" si="34"/>
        <v>7.3025891634951046E-2</v>
      </c>
      <c r="G67">
        <f t="shared" si="34"/>
        <v>5.6609610409075362E-2</v>
      </c>
      <c r="H67">
        <f t="shared" ref="H67:K67" si="35">H17/H$53</f>
        <v>6.4199905813494385E-2</v>
      </c>
      <c r="I67">
        <f t="shared" si="35"/>
        <v>3.9582763365339904E-2</v>
      </c>
      <c r="J67">
        <f t="shared" si="35"/>
        <v>5.2807151615310119E-2</v>
      </c>
      <c r="K67">
        <f t="shared" si="35"/>
        <v>7.0493510024284931E-2</v>
      </c>
      <c r="L67">
        <f t="shared" ref="L67:O67" si="36">L17/L$53</f>
        <v>7.5628121359496467E-2</v>
      </c>
      <c r="M67">
        <f t="shared" si="36"/>
        <v>0.11423913123652588</v>
      </c>
      <c r="N67">
        <f t="shared" si="36"/>
        <v>5.6096376355983336E-2</v>
      </c>
      <c r="O67">
        <f t="shared" si="36"/>
        <v>9.7891548054286168E-2</v>
      </c>
    </row>
    <row r="68" spans="1:15" x14ac:dyDescent="0.55000000000000004">
      <c r="A68" t="s">
        <v>173</v>
      </c>
      <c r="B68" t="s">
        <v>132</v>
      </c>
      <c r="C68">
        <f t="shared" si="3"/>
        <v>3.2507756611005696E-2</v>
      </c>
      <c r="D68">
        <f t="shared" ref="D68:G68" si="37">D18/D$53</f>
        <v>2.0235119186237532E-2</v>
      </c>
      <c r="E68">
        <f t="shared" si="37"/>
        <v>1.3603405911190677E-2</v>
      </c>
      <c r="F68">
        <f t="shared" si="37"/>
        <v>1.4156883641375941E-2</v>
      </c>
      <c r="G68">
        <f t="shared" si="37"/>
        <v>0</v>
      </c>
      <c r="H68">
        <f t="shared" ref="H68:K68" si="38">H18/H$53</f>
        <v>1.8866041944879494E-2</v>
      </c>
      <c r="I68">
        <f t="shared" si="38"/>
        <v>2.1057882044547081E-4</v>
      </c>
      <c r="J68">
        <f t="shared" si="38"/>
        <v>9.7466223619536094E-3</v>
      </c>
      <c r="K68">
        <f t="shared" si="38"/>
        <v>2.4568008780217258E-2</v>
      </c>
      <c r="L68">
        <f t="shared" ref="L68:O68" si="39">L18/L$53</f>
        <v>1.6282954902862939E-2</v>
      </c>
      <c r="M68">
        <f t="shared" si="39"/>
        <v>0</v>
      </c>
      <c r="N68">
        <f t="shared" si="39"/>
        <v>2.7108245758001762E-2</v>
      </c>
      <c r="O68">
        <f t="shared" si="39"/>
        <v>1.851011256777145E-2</v>
      </c>
    </row>
    <row r="69" spans="1:15" x14ac:dyDescent="0.55000000000000004">
      <c r="A69" t="s">
        <v>174</v>
      </c>
      <c r="B69" t="s">
        <v>133</v>
      </c>
      <c r="C69">
        <f t="shared" si="3"/>
        <v>0</v>
      </c>
      <c r="D69">
        <f t="shared" ref="D69:G69" si="40">D19/D$53</f>
        <v>0</v>
      </c>
      <c r="E69">
        <f t="shared" si="40"/>
        <v>0</v>
      </c>
      <c r="F69">
        <f t="shared" si="40"/>
        <v>0</v>
      </c>
      <c r="G69">
        <f t="shared" si="40"/>
        <v>0</v>
      </c>
      <c r="H69">
        <f t="shared" ref="H69:K69" si="41">H19/H$53</f>
        <v>0</v>
      </c>
      <c r="I69">
        <f t="shared" si="41"/>
        <v>0</v>
      </c>
      <c r="J69">
        <f t="shared" si="41"/>
        <v>0</v>
      </c>
      <c r="K69">
        <f t="shared" si="41"/>
        <v>0</v>
      </c>
      <c r="L69">
        <f t="shared" ref="L69:O69" si="42">L19/L$53</f>
        <v>0</v>
      </c>
      <c r="M69">
        <f t="shared" si="42"/>
        <v>0</v>
      </c>
      <c r="N69">
        <f t="shared" si="42"/>
        <v>0</v>
      </c>
      <c r="O69">
        <f t="shared" si="42"/>
        <v>0</v>
      </c>
    </row>
    <row r="70" spans="1:15" x14ac:dyDescent="0.55000000000000004">
      <c r="A70" t="s">
        <v>175</v>
      </c>
      <c r="B70" t="s">
        <v>134</v>
      </c>
      <c r="C70">
        <f t="shared" si="3"/>
        <v>0</v>
      </c>
      <c r="D70">
        <f t="shared" ref="D70:G70" si="43">D20/D$53</f>
        <v>0</v>
      </c>
      <c r="E70">
        <f t="shared" si="43"/>
        <v>0</v>
      </c>
      <c r="F70">
        <f t="shared" si="43"/>
        <v>0</v>
      </c>
      <c r="G70">
        <f t="shared" si="43"/>
        <v>0</v>
      </c>
      <c r="H70">
        <f t="shared" ref="H70:K70" si="44">H20/H$53</f>
        <v>0</v>
      </c>
      <c r="I70">
        <f t="shared" si="44"/>
        <v>0</v>
      </c>
      <c r="J70">
        <f t="shared" si="44"/>
        <v>0</v>
      </c>
      <c r="K70">
        <f t="shared" si="44"/>
        <v>0</v>
      </c>
      <c r="L70">
        <f t="shared" ref="L70:O70" si="45">L20/L$53</f>
        <v>0</v>
      </c>
      <c r="M70">
        <f t="shared" si="45"/>
        <v>0</v>
      </c>
      <c r="N70">
        <f t="shared" si="45"/>
        <v>0</v>
      </c>
      <c r="O70">
        <f t="shared" si="45"/>
        <v>0</v>
      </c>
    </row>
    <row r="71" spans="1:15" x14ac:dyDescent="0.55000000000000004">
      <c r="A71" t="s">
        <v>226</v>
      </c>
      <c r="B71" t="s">
        <v>135</v>
      </c>
      <c r="C71">
        <f t="shared" si="3"/>
        <v>0.38171117908553548</v>
      </c>
      <c r="D71">
        <f t="shared" ref="D71:G71" si="46">D21/D$53</f>
        <v>0.49792366318479242</v>
      </c>
      <c r="E71">
        <f t="shared" si="46"/>
        <v>0.5202988821035901</v>
      </c>
      <c r="F71">
        <f t="shared" si="46"/>
        <v>0.38143257498489674</v>
      </c>
      <c r="G71">
        <f t="shared" si="46"/>
        <v>0.10251444242838842</v>
      </c>
      <c r="H71">
        <f t="shared" ref="H71:K71" si="47">H21/H$53</f>
        <v>0.10551276022328447</v>
      </c>
      <c r="I71">
        <f t="shared" si="47"/>
        <v>0</v>
      </c>
      <c r="J71">
        <f t="shared" si="47"/>
        <v>0</v>
      </c>
      <c r="K71">
        <f t="shared" si="47"/>
        <v>0.35563861172264855</v>
      </c>
      <c r="L71">
        <f t="shared" ref="L71:O71" si="48">L21/L$53</f>
        <v>0</v>
      </c>
      <c r="M71">
        <f t="shared" si="48"/>
        <v>0</v>
      </c>
      <c r="N71">
        <f t="shared" si="48"/>
        <v>0.1066791202769367</v>
      </c>
      <c r="O71">
        <f t="shared" si="48"/>
        <v>0.23667446597010749</v>
      </c>
    </row>
    <row r="72" spans="1:15" x14ac:dyDescent="0.55000000000000004">
      <c r="A72" t="s">
        <v>231</v>
      </c>
      <c r="B72" t="s">
        <v>136</v>
      </c>
      <c r="C72">
        <f t="shared" si="3"/>
        <v>7.2643671414883634E-3</v>
      </c>
      <c r="D72">
        <f t="shared" ref="D72:G72" si="49">D22/D$53</f>
        <v>2.3190550440182787E-2</v>
      </c>
      <c r="E72">
        <f t="shared" si="49"/>
        <v>3.3917903629062142E-2</v>
      </c>
      <c r="F72">
        <f t="shared" si="49"/>
        <v>2.4981713502629298E-2</v>
      </c>
      <c r="G72">
        <f t="shared" si="49"/>
        <v>2.3308337134901429E-2</v>
      </c>
      <c r="H72">
        <f t="shared" ref="H72:K72" si="50">H22/H$53</f>
        <v>6.9876787923114315E-3</v>
      </c>
      <c r="I72">
        <f t="shared" si="50"/>
        <v>0</v>
      </c>
      <c r="J72">
        <f t="shared" si="50"/>
        <v>0</v>
      </c>
      <c r="K72">
        <f t="shared" si="50"/>
        <v>3.1247524035741808E-2</v>
      </c>
      <c r="L72">
        <f t="shared" ref="L72:O72" si="51">L22/L$53</f>
        <v>0</v>
      </c>
      <c r="M72">
        <f t="shared" si="51"/>
        <v>0</v>
      </c>
      <c r="N72">
        <f t="shared" si="51"/>
        <v>0</v>
      </c>
      <c r="O72">
        <f t="shared" si="51"/>
        <v>4.1634998180100649E-2</v>
      </c>
    </row>
    <row r="73" spans="1:15" x14ac:dyDescent="0.55000000000000004">
      <c r="A73" t="s">
        <v>176</v>
      </c>
      <c r="B73" t="s">
        <v>137</v>
      </c>
      <c r="C73">
        <f t="shared" si="3"/>
        <v>0</v>
      </c>
      <c r="D73">
        <f t="shared" ref="D73:G73" si="52">D23/D$53</f>
        <v>6.028649375455334E-3</v>
      </c>
      <c r="E73">
        <f t="shared" si="52"/>
        <v>5.8782318559026554E-3</v>
      </c>
      <c r="F73">
        <f t="shared" si="52"/>
        <v>1.5360740385078975E-2</v>
      </c>
      <c r="G73">
        <f t="shared" si="52"/>
        <v>4.5073196947063202E-2</v>
      </c>
      <c r="H73">
        <f t="shared" ref="H73:K73" si="53">H23/H$53</f>
        <v>0</v>
      </c>
      <c r="I73">
        <f t="shared" si="53"/>
        <v>0</v>
      </c>
      <c r="J73">
        <f t="shared" si="53"/>
        <v>0</v>
      </c>
      <c r="K73">
        <f t="shared" si="53"/>
        <v>0</v>
      </c>
      <c r="L73">
        <f t="shared" ref="L73:O73" si="54">L23/L$53</f>
        <v>0</v>
      </c>
      <c r="M73">
        <f t="shared" si="54"/>
        <v>0</v>
      </c>
      <c r="N73">
        <f t="shared" si="54"/>
        <v>0</v>
      </c>
      <c r="O73">
        <f t="shared" si="54"/>
        <v>0</v>
      </c>
    </row>
    <row r="74" spans="1:15" x14ac:dyDescent="0.55000000000000004">
      <c r="A74" t="s">
        <v>232</v>
      </c>
      <c r="B74" t="s">
        <v>138</v>
      </c>
      <c r="C74">
        <f t="shared" si="3"/>
        <v>0</v>
      </c>
      <c r="D74">
        <f t="shared" ref="D74:G74" si="55">D24/D$53</f>
        <v>0</v>
      </c>
      <c r="E74">
        <f t="shared" si="55"/>
        <v>0</v>
      </c>
      <c r="F74">
        <f t="shared" si="55"/>
        <v>0</v>
      </c>
      <c r="G74">
        <f t="shared" si="55"/>
        <v>0</v>
      </c>
      <c r="H74">
        <f t="shared" ref="H74:K74" si="56">H24/H$53</f>
        <v>0</v>
      </c>
      <c r="I74">
        <f t="shared" si="56"/>
        <v>0</v>
      </c>
      <c r="J74">
        <f t="shared" si="56"/>
        <v>0</v>
      </c>
      <c r="K74">
        <f t="shared" si="56"/>
        <v>0</v>
      </c>
      <c r="L74">
        <f t="shared" ref="L74:O74" si="57">L24/L$53</f>
        <v>0</v>
      </c>
      <c r="M74">
        <f t="shared" si="57"/>
        <v>0</v>
      </c>
      <c r="N74">
        <f t="shared" si="57"/>
        <v>0</v>
      </c>
      <c r="O74">
        <f t="shared" si="57"/>
        <v>0</v>
      </c>
    </row>
    <row r="75" spans="1:15" x14ac:dyDescent="0.55000000000000004">
      <c r="A75" t="s">
        <v>177</v>
      </c>
      <c r="B75" t="s">
        <v>139</v>
      </c>
      <c r="C75">
        <f t="shared" si="3"/>
        <v>5.2324502842939456E-3</v>
      </c>
      <c r="D75">
        <f t="shared" ref="D75:G75" si="58">D25/D$53</f>
        <v>6.9610795191705653E-4</v>
      </c>
      <c r="E75">
        <f t="shared" si="58"/>
        <v>8.5197966659099681E-4</v>
      </c>
      <c r="F75">
        <f t="shared" si="58"/>
        <v>1.3633554746497326E-3</v>
      </c>
      <c r="G75">
        <f t="shared" si="58"/>
        <v>0</v>
      </c>
      <c r="H75">
        <f t="shared" ref="H75:K75" si="59">H25/H$53</f>
        <v>1.3374965026519141E-3</v>
      </c>
      <c r="I75">
        <f t="shared" si="59"/>
        <v>0</v>
      </c>
      <c r="J75">
        <f t="shared" si="59"/>
        <v>0</v>
      </c>
      <c r="K75">
        <f t="shared" si="59"/>
        <v>6.1148018269160768E-3</v>
      </c>
      <c r="L75">
        <f t="shared" ref="L75:O75" si="60">L25/L$53</f>
        <v>0</v>
      </c>
      <c r="M75">
        <f t="shared" si="60"/>
        <v>0</v>
      </c>
      <c r="N75">
        <f t="shared" si="60"/>
        <v>7.2955254945870104E-4</v>
      </c>
      <c r="O75">
        <f t="shared" si="60"/>
        <v>4.1636821926490418E-3</v>
      </c>
    </row>
    <row r="76" spans="1:15" x14ac:dyDescent="0.55000000000000004">
      <c r="A76" t="s">
        <v>178</v>
      </c>
      <c r="B76" t="s">
        <v>140</v>
      </c>
      <c r="C76">
        <f t="shared" si="3"/>
        <v>1.5875339499184091E-4</v>
      </c>
      <c r="D76">
        <f t="shared" ref="D76:G76" si="61">D26/D$53</f>
        <v>5.2043478317770913E-5</v>
      </c>
      <c r="E76">
        <f t="shared" si="61"/>
        <v>3.3997341701273288E-5</v>
      </c>
      <c r="F76">
        <f t="shared" si="61"/>
        <v>4.9041029261414865E-5</v>
      </c>
      <c r="G76">
        <f t="shared" si="61"/>
        <v>0</v>
      </c>
      <c r="H76">
        <f t="shared" ref="H76:K76" si="62">H26/H$53</f>
        <v>2.1555753299109292E-3</v>
      </c>
      <c r="I76">
        <f t="shared" si="62"/>
        <v>0</v>
      </c>
      <c r="J76">
        <f t="shared" si="62"/>
        <v>0</v>
      </c>
      <c r="K76">
        <f t="shared" si="62"/>
        <v>7.1868140599629375E-4</v>
      </c>
      <c r="L76">
        <f t="shared" ref="L76:O76" si="63">L26/L$53</f>
        <v>0</v>
      </c>
      <c r="M76">
        <f t="shared" si="63"/>
        <v>0</v>
      </c>
      <c r="N76">
        <f t="shared" si="63"/>
        <v>3.1285260451097349E-3</v>
      </c>
      <c r="O76">
        <f t="shared" si="63"/>
        <v>8.0264647489932065E-3</v>
      </c>
    </row>
    <row r="77" spans="1:15" x14ac:dyDescent="0.55000000000000004">
      <c r="A77" t="s">
        <v>179</v>
      </c>
      <c r="B77" t="s">
        <v>141</v>
      </c>
      <c r="C77">
        <f t="shared" si="3"/>
        <v>8.5581430750828278E-3</v>
      </c>
      <c r="D77">
        <f t="shared" ref="D77:G77" si="64">D27/D$53</f>
        <v>9.0633981502637895E-3</v>
      </c>
      <c r="E77">
        <f t="shared" si="64"/>
        <v>9.3022703539556058E-3</v>
      </c>
      <c r="F77">
        <f t="shared" si="64"/>
        <v>8.6804283283608095E-3</v>
      </c>
      <c r="G77">
        <f t="shared" si="64"/>
        <v>7.5827254322658934E-3</v>
      </c>
      <c r="H77">
        <f t="shared" ref="H77:K77" si="65">H27/H$53</f>
        <v>8.8596078276959537E-3</v>
      </c>
      <c r="I77">
        <f t="shared" si="65"/>
        <v>6.7847870238666895E-3</v>
      </c>
      <c r="J77">
        <f t="shared" si="65"/>
        <v>3.4432024903004329E-3</v>
      </c>
      <c r="K77">
        <f t="shared" si="65"/>
        <v>4.1182732147487487E-3</v>
      </c>
      <c r="L77">
        <f t="shared" ref="L77:O77" si="66">L27/L$53</f>
        <v>1.1549874509340136E-2</v>
      </c>
      <c r="M77">
        <f t="shared" si="66"/>
        <v>5.7422181581000507E-3</v>
      </c>
      <c r="N77">
        <f t="shared" si="66"/>
        <v>1.2633927180263757E-2</v>
      </c>
      <c r="O77">
        <f t="shared" si="66"/>
        <v>3.5908419534390864E-3</v>
      </c>
    </row>
    <row r="78" spans="1:15" x14ac:dyDescent="0.55000000000000004">
      <c r="A78" t="s">
        <v>180</v>
      </c>
      <c r="B78" t="s">
        <v>142</v>
      </c>
      <c r="C78">
        <f t="shared" si="3"/>
        <v>6.6039791076522893E-3</v>
      </c>
      <c r="D78">
        <f t="shared" ref="D78:G78" si="67">D28/D$53</f>
        <v>1.1299580075245796E-2</v>
      </c>
      <c r="E78">
        <f t="shared" si="67"/>
        <v>1.2860052367007376E-2</v>
      </c>
      <c r="F78">
        <f t="shared" si="67"/>
        <v>1.0541135710720398E-2</v>
      </c>
      <c r="G78">
        <f t="shared" si="67"/>
        <v>9.0510548669459189E-3</v>
      </c>
      <c r="H78">
        <f t="shared" ref="H78:K78" si="68">H28/H$53</f>
        <v>0</v>
      </c>
      <c r="I78">
        <f t="shared" si="68"/>
        <v>0</v>
      </c>
      <c r="J78">
        <f t="shared" si="68"/>
        <v>0</v>
      </c>
      <c r="K78">
        <f t="shared" si="68"/>
        <v>0</v>
      </c>
      <c r="L78">
        <f t="shared" ref="L78:O78" si="69">L28/L$53</f>
        <v>0</v>
      </c>
      <c r="M78">
        <f t="shared" si="69"/>
        <v>0</v>
      </c>
      <c r="N78">
        <f t="shared" si="69"/>
        <v>0</v>
      </c>
      <c r="O78">
        <f t="shared" si="69"/>
        <v>0</v>
      </c>
    </row>
    <row r="79" spans="1:15" x14ac:dyDescent="0.55000000000000004">
      <c r="A79" t="s">
        <v>181</v>
      </c>
      <c r="B79" t="s">
        <v>143</v>
      </c>
      <c r="C79">
        <f t="shared" si="3"/>
        <v>0</v>
      </c>
      <c r="D79">
        <f t="shared" ref="D79:G79" si="70">D29/D$53</f>
        <v>0</v>
      </c>
      <c r="E79">
        <f t="shared" si="70"/>
        <v>0</v>
      </c>
      <c r="F79">
        <f t="shared" si="70"/>
        <v>0</v>
      </c>
      <c r="G79">
        <f t="shared" si="70"/>
        <v>0</v>
      </c>
      <c r="H79">
        <f t="shared" ref="H79:K79" si="71">H29/H$53</f>
        <v>0</v>
      </c>
      <c r="I79">
        <f t="shared" si="71"/>
        <v>0</v>
      </c>
      <c r="J79">
        <f t="shared" si="71"/>
        <v>0</v>
      </c>
      <c r="K79">
        <f t="shared" si="71"/>
        <v>0</v>
      </c>
      <c r="L79">
        <f t="shared" ref="L79:O79" si="72">L29/L$53</f>
        <v>0</v>
      </c>
      <c r="M79">
        <f t="shared" si="72"/>
        <v>0</v>
      </c>
      <c r="N79">
        <f t="shared" si="72"/>
        <v>0</v>
      </c>
      <c r="O79">
        <f t="shared" si="72"/>
        <v>0</v>
      </c>
    </row>
    <row r="80" spans="1:15" x14ac:dyDescent="0.55000000000000004">
      <c r="A80" t="s">
        <v>182</v>
      </c>
      <c r="B80" t="s">
        <v>144</v>
      </c>
      <c r="C80">
        <f t="shared" si="3"/>
        <v>0</v>
      </c>
      <c r="D80">
        <f t="shared" ref="D80:G80" si="73">D30/D$53</f>
        <v>0</v>
      </c>
      <c r="E80">
        <f t="shared" si="73"/>
        <v>0</v>
      </c>
      <c r="F80">
        <f t="shared" si="73"/>
        <v>0</v>
      </c>
      <c r="G80">
        <f t="shared" si="73"/>
        <v>0</v>
      </c>
      <c r="H80">
        <f t="shared" ref="H80:K80" si="74">H30/H$53</f>
        <v>2.6638888516284195E-4</v>
      </c>
      <c r="I80">
        <f t="shared" si="74"/>
        <v>1.3602346013553983E-3</v>
      </c>
      <c r="J80">
        <f t="shared" si="74"/>
        <v>0</v>
      </c>
      <c r="K80">
        <f t="shared" si="74"/>
        <v>0</v>
      </c>
      <c r="L80">
        <f t="shared" ref="L80:O80" si="75">L30/L$53</f>
        <v>0</v>
      </c>
      <c r="M80">
        <f t="shared" si="75"/>
        <v>3.8689888626143695E-4</v>
      </c>
      <c r="N80">
        <f t="shared" si="75"/>
        <v>2.3290284945322545E-4</v>
      </c>
      <c r="O80">
        <f t="shared" si="75"/>
        <v>0</v>
      </c>
    </row>
    <row r="81" spans="1:15" x14ac:dyDescent="0.55000000000000004">
      <c r="A81" t="s">
        <v>233</v>
      </c>
      <c r="B81" t="s">
        <v>145</v>
      </c>
      <c r="C81">
        <f t="shared" si="3"/>
        <v>0</v>
      </c>
      <c r="D81">
        <f t="shared" ref="D81:G81" si="76">D31/D$53</f>
        <v>0</v>
      </c>
      <c r="E81">
        <f t="shared" si="76"/>
        <v>0</v>
      </c>
      <c r="F81">
        <f t="shared" si="76"/>
        <v>0</v>
      </c>
      <c r="G81">
        <f t="shared" si="76"/>
        <v>0</v>
      </c>
      <c r="H81">
        <f t="shared" ref="H81:K81" si="77">H31/H$53</f>
        <v>0</v>
      </c>
      <c r="I81">
        <f t="shared" si="77"/>
        <v>0</v>
      </c>
      <c r="J81">
        <f t="shared" si="77"/>
        <v>0</v>
      </c>
      <c r="K81">
        <f t="shared" si="77"/>
        <v>0</v>
      </c>
      <c r="L81">
        <f t="shared" ref="L81:O81" si="78">L31/L$53</f>
        <v>0</v>
      </c>
      <c r="M81">
        <f t="shared" si="78"/>
        <v>0</v>
      </c>
      <c r="N81">
        <f t="shared" si="78"/>
        <v>0</v>
      </c>
      <c r="O81">
        <f t="shared" si="78"/>
        <v>0</v>
      </c>
    </row>
    <row r="82" spans="1:15" x14ac:dyDescent="0.55000000000000004">
      <c r="A82" t="s">
        <v>234</v>
      </c>
      <c r="B82" t="s">
        <v>146</v>
      </c>
      <c r="C82">
        <f t="shared" si="3"/>
        <v>9.1425071330042906E-2</v>
      </c>
      <c r="D82">
        <f t="shared" ref="D82:G82" si="79">D32/D$53</f>
        <v>0.11465829154373314</v>
      </c>
      <c r="E82">
        <f t="shared" si="79"/>
        <v>0.1156767580113597</v>
      </c>
      <c r="F82">
        <f t="shared" si="79"/>
        <v>0.11724442662905858</v>
      </c>
      <c r="G82">
        <f t="shared" si="79"/>
        <v>0.13780547997685683</v>
      </c>
      <c r="H82">
        <f t="shared" ref="H82:K82" si="80">H32/H$53</f>
        <v>8.990245194213306E-2</v>
      </c>
      <c r="I82">
        <f t="shared" si="80"/>
        <v>0.25429772858784377</v>
      </c>
      <c r="J82">
        <f t="shared" si="80"/>
        <v>0.17234544069964564</v>
      </c>
      <c r="K82">
        <f t="shared" si="80"/>
        <v>7.1834299449216946E-2</v>
      </c>
      <c r="L82">
        <f t="shared" ref="L82:O82" si="81">L32/L$53</f>
        <v>5.2111109307389866E-2</v>
      </c>
      <c r="M82">
        <f t="shared" si="81"/>
        <v>4.5128477907281063E-2</v>
      </c>
      <c r="N82">
        <f t="shared" si="81"/>
        <v>5.3820161128844364E-2</v>
      </c>
      <c r="O82">
        <f t="shared" si="81"/>
        <v>6.3403936219535953E-2</v>
      </c>
    </row>
    <row r="83" spans="1:15" x14ac:dyDescent="0.55000000000000004">
      <c r="A83" t="s">
        <v>115</v>
      </c>
      <c r="B83" t="s">
        <v>147</v>
      </c>
      <c r="C83">
        <f t="shared" si="3"/>
        <v>2.0039681908476038E-3</v>
      </c>
      <c r="D83">
        <f t="shared" ref="D83:G83" si="82">D33/D$53</f>
        <v>7.4340693153498753E-3</v>
      </c>
      <c r="E83">
        <f t="shared" si="82"/>
        <v>7.2166993625323375E-3</v>
      </c>
      <c r="F83">
        <f t="shared" si="82"/>
        <v>4.7681690133864491E-3</v>
      </c>
      <c r="G83">
        <f t="shared" si="82"/>
        <v>1.3343371957735891E-3</v>
      </c>
      <c r="H83">
        <f t="shared" ref="H83:K83" si="83">H33/H$53</f>
        <v>2.2518242184367404E-3</v>
      </c>
      <c r="I83">
        <f t="shared" si="83"/>
        <v>1.8290364807107547E-3</v>
      </c>
      <c r="J83">
        <f t="shared" si="83"/>
        <v>2.0956457453851318E-3</v>
      </c>
      <c r="K83">
        <f t="shared" si="83"/>
        <v>2.3462656453195393E-3</v>
      </c>
      <c r="L83">
        <f t="shared" ref="L83:O83" si="84">L33/L$53</f>
        <v>2.3646102950145805E-3</v>
      </c>
      <c r="M83">
        <f t="shared" si="84"/>
        <v>2.0632464718080227E-3</v>
      </c>
      <c r="N83">
        <f t="shared" si="84"/>
        <v>2.4033043966976771E-3</v>
      </c>
      <c r="O83">
        <f t="shared" si="84"/>
        <v>2.061734537068836E-3</v>
      </c>
    </row>
    <row r="84" spans="1:15" x14ac:dyDescent="0.55000000000000004">
      <c r="A84" t="s">
        <v>114</v>
      </c>
      <c r="B84" t="s">
        <v>148</v>
      </c>
      <c r="C84">
        <f t="shared" si="3"/>
        <v>0</v>
      </c>
      <c r="D84">
        <f t="shared" ref="D84:G84" si="85">D34/D$53</f>
        <v>0</v>
      </c>
      <c r="E84">
        <f t="shared" si="85"/>
        <v>0</v>
      </c>
      <c r="F84">
        <f t="shared" si="85"/>
        <v>4.5415317303881868E-2</v>
      </c>
      <c r="G84">
        <f t="shared" si="85"/>
        <v>0.16981086356253949</v>
      </c>
      <c r="H84">
        <f t="shared" ref="H84:K84" si="86">H34/H$53</f>
        <v>2.3662180932934939E-2</v>
      </c>
      <c r="I84">
        <f t="shared" si="86"/>
        <v>0.15036324602136653</v>
      </c>
      <c r="J84">
        <f t="shared" si="86"/>
        <v>4.2617691398844991E-2</v>
      </c>
      <c r="K84">
        <f t="shared" si="86"/>
        <v>2.0780985283732546E-4</v>
      </c>
      <c r="L84">
        <f t="shared" ref="L84:O84" si="87">L34/L$53</f>
        <v>6.187070520222466E-3</v>
      </c>
      <c r="M84">
        <f t="shared" si="87"/>
        <v>0</v>
      </c>
      <c r="N84">
        <f t="shared" si="87"/>
        <v>5.7266917857084565E-3</v>
      </c>
      <c r="O84">
        <f t="shared" si="87"/>
        <v>0</v>
      </c>
    </row>
    <row r="85" spans="1:15" x14ac:dyDescent="0.55000000000000004">
      <c r="A85" t="s">
        <v>183</v>
      </c>
      <c r="B85" t="s">
        <v>149</v>
      </c>
      <c r="C85">
        <f t="shared" si="3"/>
        <v>1.3133221519494608E-3</v>
      </c>
      <c r="D85">
        <f t="shared" ref="D85:G85" si="88">D35/D$53</f>
        <v>1.5514721664379896E-3</v>
      </c>
      <c r="E85">
        <f t="shared" si="88"/>
        <v>1.0041206457997054E-3</v>
      </c>
      <c r="F85">
        <f t="shared" si="88"/>
        <v>8.6430144192563491E-4</v>
      </c>
      <c r="G85">
        <f t="shared" si="88"/>
        <v>0</v>
      </c>
      <c r="H85">
        <f t="shared" ref="H85:K85" si="89">H35/H$53</f>
        <v>7.2478557247064612E-4</v>
      </c>
      <c r="I85">
        <f t="shared" si="89"/>
        <v>0</v>
      </c>
      <c r="J85">
        <f t="shared" si="89"/>
        <v>0</v>
      </c>
      <c r="K85">
        <f t="shared" si="89"/>
        <v>1.3560565189487557E-3</v>
      </c>
      <c r="L85">
        <f t="shared" ref="L85:O85" si="90">L35/L$53</f>
        <v>0</v>
      </c>
      <c r="M85">
        <f t="shared" si="90"/>
        <v>6.2019199417424735E-4</v>
      </c>
      <c r="N85">
        <f t="shared" si="90"/>
        <v>9.794848709937761E-4</v>
      </c>
      <c r="O85">
        <f t="shared" si="90"/>
        <v>1.3447732402718522E-3</v>
      </c>
    </row>
    <row r="86" spans="1:15" x14ac:dyDescent="0.55000000000000004">
      <c r="A86" t="s">
        <v>184</v>
      </c>
      <c r="B86" t="s">
        <v>150</v>
      </c>
      <c r="C86">
        <f t="shared" si="3"/>
        <v>2.4503177496075262E-2</v>
      </c>
      <c r="D86">
        <f t="shared" ref="D86:G86" si="91">D36/D$53</f>
        <v>2.2961899826851088E-2</v>
      </c>
      <c r="E86">
        <f t="shared" si="91"/>
        <v>2.225615875438931E-2</v>
      </c>
      <c r="F86">
        <f t="shared" si="91"/>
        <v>3.1307232066984755E-2</v>
      </c>
      <c r="G86">
        <f t="shared" si="91"/>
        <v>5.4278100291495546E-2</v>
      </c>
      <c r="H86">
        <f t="shared" ref="H86:K86" si="92">H36/H$53</f>
        <v>1.3597212638453328E-2</v>
      </c>
      <c r="I86">
        <f t="shared" si="92"/>
        <v>5.2555889817765357E-2</v>
      </c>
      <c r="J86">
        <f t="shared" si="92"/>
        <v>1.5802841128659675E-2</v>
      </c>
      <c r="K86">
        <f t="shared" si="92"/>
        <v>1.5422029344186882E-2</v>
      </c>
      <c r="L86">
        <f t="shared" ref="L86:O86" si="93">L36/L$53</f>
        <v>6.3035674944730913E-3</v>
      </c>
      <c r="M86">
        <f t="shared" si="93"/>
        <v>1.8577333746801193E-3</v>
      </c>
      <c r="N86">
        <f t="shared" si="93"/>
        <v>7.5289605138620644E-3</v>
      </c>
      <c r="O86">
        <f t="shared" si="93"/>
        <v>7.4081147021806638E-3</v>
      </c>
    </row>
    <row r="87" spans="1:15" x14ac:dyDescent="0.55000000000000004">
      <c r="A87" t="s">
        <v>185</v>
      </c>
      <c r="B87" t="s">
        <v>151</v>
      </c>
      <c r="C87">
        <f t="shared" si="3"/>
        <v>1.8271054828747633E-3</v>
      </c>
      <c r="D87">
        <f t="shared" ref="D87:G87" si="94">D37/D$53</f>
        <v>1.4947261813314779E-3</v>
      </c>
      <c r="E87">
        <f t="shared" si="94"/>
        <v>1.0410269191589822E-3</v>
      </c>
      <c r="F87">
        <f t="shared" si="94"/>
        <v>1.0822229927795227E-3</v>
      </c>
      <c r="G87">
        <f t="shared" si="94"/>
        <v>4.5213753789011209E-4</v>
      </c>
      <c r="H87">
        <f t="shared" ref="H87:K87" si="95">H37/H$53</f>
        <v>2.836677312916823E-4</v>
      </c>
      <c r="I87">
        <f t="shared" si="95"/>
        <v>2.580663236582724E-5</v>
      </c>
      <c r="J87">
        <f t="shared" si="95"/>
        <v>0</v>
      </c>
      <c r="K87">
        <f t="shared" si="95"/>
        <v>3.8276422714217877E-4</v>
      </c>
      <c r="L87">
        <f t="shared" ref="L87:O87" si="96">L37/L$53</f>
        <v>3.1099934031241367E-4</v>
      </c>
      <c r="M87">
        <f t="shared" si="96"/>
        <v>1.1411173915637997E-3</v>
      </c>
      <c r="N87">
        <f t="shared" si="96"/>
        <v>2.9787329200089974E-4</v>
      </c>
      <c r="O87">
        <f t="shared" si="96"/>
        <v>2.1219554024159515E-4</v>
      </c>
    </row>
    <row r="88" spans="1:15" x14ac:dyDescent="0.55000000000000004">
      <c r="A88" t="s">
        <v>186</v>
      </c>
      <c r="B88" t="s">
        <v>152</v>
      </c>
      <c r="C88">
        <f t="shared" si="3"/>
        <v>6.5001939377552897E-3</v>
      </c>
      <c r="D88">
        <f t="shared" ref="D88:G88" si="97">D38/D$53</f>
        <v>7.1348388951736593E-3</v>
      </c>
      <c r="E88">
        <f t="shared" si="97"/>
        <v>4.1740928690690788E-3</v>
      </c>
      <c r="F88">
        <f t="shared" si="97"/>
        <v>3.8675533283659305E-3</v>
      </c>
      <c r="G88">
        <f t="shared" si="97"/>
        <v>0</v>
      </c>
      <c r="H88">
        <f t="shared" ref="H88:K88" si="98">H38/H$53</f>
        <v>1.4131297860145366E-4</v>
      </c>
      <c r="I88">
        <f t="shared" si="98"/>
        <v>0</v>
      </c>
      <c r="J88">
        <f t="shared" si="98"/>
        <v>0</v>
      </c>
      <c r="K88">
        <f t="shared" si="98"/>
        <v>1.3269321896734623E-3</v>
      </c>
      <c r="L88">
        <f t="shared" ref="L88:O88" si="99">L38/L$53</f>
        <v>0</v>
      </c>
      <c r="M88">
        <f t="shared" si="99"/>
        <v>0</v>
      </c>
      <c r="N88">
        <f t="shared" si="99"/>
        <v>0</v>
      </c>
      <c r="O88">
        <f t="shared" si="99"/>
        <v>0</v>
      </c>
    </row>
    <row r="89" spans="1:15" x14ac:dyDescent="0.55000000000000004">
      <c r="A89" t="s">
        <v>187</v>
      </c>
      <c r="B89" t="s">
        <v>153</v>
      </c>
      <c r="C89">
        <f t="shared" si="3"/>
        <v>0</v>
      </c>
      <c r="D89">
        <f t="shared" ref="D89:G89" si="100">D39/D$53</f>
        <v>0</v>
      </c>
      <c r="E89">
        <f t="shared" si="100"/>
        <v>0</v>
      </c>
      <c r="F89">
        <f t="shared" si="100"/>
        <v>0</v>
      </c>
      <c r="G89">
        <f t="shared" si="100"/>
        <v>0</v>
      </c>
      <c r="H89">
        <f t="shared" ref="H89:K89" si="101">H39/H$53</f>
        <v>3.5960144474159356E-5</v>
      </c>
      <c r="I89">
        <f t="shared" si="101"/>
        <v>3.3948219501837417E-4</v>
      </c>
      <c r="J89">
        <f t="shared" si="101"/>
        <v>0</v>
      </c>
      <c r="K89">
        <f t="shared" si="101"/>
        <v>0</v>
      </c>
      <c r="L89">
        <f t="shared" ref="L89:O89" si="102">L39/L$53</f>
        <v>0</v>
      </c>
      <c r="M89">
        <f t="shared" si="102"/>
        <v>0</v>
      </c>
      <c r="N89">
        <f t="shared" si="102"/>
        <v>0</v>
      </c>
      <c r="O89">
        <f t="shared" si="102"/>
        <v>0</v>
      </c>
    </row>
    <row r="90" spans="1:15" x14ac:dyDescent="0.55000000000000004">
      <c r="A90" t="s">
        <v>188</v>
      </c>
      <c r="B90" t="s">
        <v>154</v>
      </c>
      <c r="C90">
        <f t="shared" si="3"/>
        <v>1.4918859098567871E-4</v>
      </c>
      <c r="D90">
        <f t="shared" ref="D90:G90" si="103">D40/D$53</f>
        <v>6.3134038421885799E-5</v>
      </c>
      <c r="E90">
        <f t="shared" si="103"/>
        <v>5.8331031302131027E-5</v>
      </c>
      <c r="F90">
        <f t="shared" si="103"/>
        <v>6.8907928032714907E-5</v>
      </c>
      <c r="G90">
        <f t="shared" si="103"/>
        <v>3.6428811104109209E-5</v>
      </c>
      <c r="H90">
        <f t="shared" ref="H90:K90" si="104">H40/H$53</f>
        <v>9.4161981292444473E-5</v>
      </c>
      <c r="I90">
        <f t="shared" si="104"/>
        <v>0</v>
      </c>
      <c r="J90">
        <f t="shared" si="104"/>
        <v>0</v>
      </c>
      <c r="K90">
        <f t="shared" si="104"/>
        <v>1.2020026109401679E-4</v>
      </c>
      <c r="L90">
        <f t="shared" ref="L90:O90" si="105">L40/L$53</f>
        <v>7.1353623118553113E-5</v>
      </c>
      <c r="M90">
        <f t="shared" si="105"/>
        <v>2.501544514231366E-4</v>
      </c>
      <c r="N90">
        <f t="shared" si="105"/>
        <v>1.0855045410375947E-4</v>
      </c>
      <c r="O90">
        <f t="shared" si="105"/>
        <v>1.5345632050867646E-4</v>
      </c>
    </row>
    <row r="91" spans="1:15" x14ac:dyDescent="0.55000000000000004">
      <c r="A91" t="s">
        <v>189</v>
      </c>
      <c r="B91" t="s">
        <v>155</v>
      </c>
      <c r="C91">
        <f t="shared" si="3"/>
        <v>1.3429673559939381E-3</v>
      </c>
      <c r="D91">
        <f t="shared" ref="D91:G91" si="106">D41/D$53</f>
        <v>1.1653940625951976E-3</v>
      </c>
      <c r="E91">
        <f t="shared" si="106"/>
        <v>1.0356005519330524E-3</v>
      </c>
      <c r="F91">
        <f t="shared" si="106"/>
        <v>8.2979705562745236E-4</v>
      </c>
      <c r="G91">
        <f t="shared" si="106"/>
        <v>0</v>
      </c>
      <c r="H91">
        <f t="shared" ref="H91:K91" si="107">H41/H$53</f>
        <v>5.9808626850513073E-4</v>
      </c>
      <c r="I91">
        <f t="shared" si="107"/>
        <v>0</v>
      </c>
      <c r="J91">
        <f t="shared" si="107"/>
        <v>0</v>
      </c>
      <c r="K91">
        <f t="shared" si="107"/>
        <v>2.2833257681294725E-3</v>
      </c>
      <c r="L91">
        <f t="shared" ref="L91:O91" si="108">L41/L$53</f>
        <v>1.5105304368154835E-4</v>
      </c>
      <c r="M91">
        <f t="shared" si="108"/>
        <v>5.5456592037233686E-4</v>
      </c>
      <c r="N91">
        <f t="shared" si="108"/>
        <v>4.2259196233692867E-4</v>
      </c>
      <c r="O91">
        <f t="shared" si="108"/>
        <v>1.4254432271401164E-3</v>
      </c>
    </row>
    <row r="92" spans="1:15" x14ac:dyDescent="0.55000000000000004">
      <c r="A92" t="s">
        <v>190</v>
      </c>
      <c r="B92" t="s">
        <v>156</v>
      </c>
      <c r="C92">
        <f t="shared" si="3"/>
        <v>6.1252393463067956E-5</v>
      </c>
      <c r="D92">
        <f t="shared" ref="D92:G92" si="109">D42/D$53</f>
        <v>2.4610270950939492E-4</v>
      </c>
      <c r="E92">
        <f t="shared" si="109"/>
        <v>3.009437615088316E-4</v>
      </c>
      <c r="F92">
        <f t="shared" si="109"/>
        <v>1.7131989871811028E-4</v>
      </c>
      <c r="G92">
        <f t="shared" si="109"/>
        <v>0</v>
      </c>
      <c r="H92">
        <f t="shared" ref="H92:K92" si="110">H42/H$53</f>
        <v>0</v>
      </c>
      <c r="I92">
        <f t="shared" si="110"/>
        <v>0</v>
      </c>
      <c r="J92">
        <f t="shared" si="110"/>
        <v>0</v>
      </c>
      <c r="K92">
        <f t="shared" si="110"/>
        <v>0</v>
      </c>
      <c r="L92">
        <f t="shared" ref="L92:O92" si="111">L42/L$53</f>
        <v>0</v>
      </c>
      <c r="M92">
        <f t="shared" si="111"/>
        <v>0</v>
      </c>
      <c r="N92">
        <f t="shared" si="111"/>
        <v>0</v>
      </c>
      <c r="O92">
        <f t="shared" si="111"/>
        <v>0</v>
      </c>
    </row>
    <row r="93" spans="1:15" x14ac:dyDescent="0.55000000000000004">
      <c r="A93" t="s">
        <v>191</v>
      </c>
      <c r="B93" t="s">
        <v>157</v>
      </c>
      <c r="C93">
        <f t="shared" si="3"/>
        <v>4.4084497400017891E-3</v>
      </c>
      <c r="D93">
        <f t="shared" ref="D93:G93" si="112">D43/D$53</f>
        <v>2.7535739517498344E-3</v>
      </c>
      <c r="E93">
        <f t="shared" si="112"/>
        <v>2.348230744997582E-3</v>
      </c>
      <c r="F93">
        <f t="shared" si="112"/>
        <v>2.1335034450049657E-3</v>
      </c>
      <c r="G93">
        <f t="shared" si="112"/>
        <v>0</v>
      </c>
      <c r="H93">
        <f t="shared" ref="H93:K93" si="113">H43/H$53</f>
        <v>1.3769421553274039E-3</v>
      </c>
      <c r="I93">
        <f t="shared" si="113"/>
        <v>0</v>
      </c>
      <c r="J93">
        <f t="shared" si="113"/>
        <v>1.4025264726274676E-4</v>
      </c>
      <c r="K93">
        <f t="shared" si="113"/>
        <v>3.6046780383061816E-3</v>
      </c>
      <c r="L93">
        <f t="shared" ref="L93:O93" si="114">L43/L$53</f>
        <v>7.2062385507049053E-4</v>
      </c>
      <c r="M93">
        <f t="shared" si="114"/>
        <v>4.8851444801519049E-4</v>
      </c>
      <c r="N93">
        <f t="shared" si="114"/>
        <v>1.3073105502957511E-3</v>
      </c>
      <c r="O93">
        <f t="shared" si="114"/>
        <v>3.4760130954591276E-3</v>
      </c>
    </row>
    <row r="94" spans="1:15" x14ac:dyDescent="0.55000000000000004">
      <c r="A94" t="s">
        <v>192</v>
      </c>
      <c r="B94" t="s">
        <v>158</v>
      </c>
      <c r="C94">
        <f t="shared" si="3"/>
        <v>1.1987463311307512E-3</v>
      </c>
      <c r="D94">
        <f t="shared" ref="D94:G94" si="115">D44/D$53</f>
        <v>9.8636262221276348E-4</v>
      </c>
      <c r="E94">
        <f t="shared" si="115"/>
        <v>6.3042545001944E-4</v>
      </c>
      <c r="F94">
        <f t="shared" si="115"/>
        <v>6.6837475806735835E-4</v>
      </c>
      <c r="G94">
        <f t="shared" si="115"/>
        <v>2.2088668540224063E-4</v>
      </c>
      <c r="H94">
        <f t="shared" ref="H94:K94" si="116">H44/H$53</f>
        <v>2.1869647504722785E-3</v>
      </c>
      <c r="I94">
        <f t="shared" si="116"/>
        <v>7.2936259909994847E-4</v>
      </c>
      <c r="J94">
        <f t="shared" si="116"/>
        <v>1.8471009288190646E-3</v>
      </c>
      <c r="K94">
        <f t="shared" si="116"/>
        <v>2.5867511208651887E-4</v>
      </c>
      <c r="L94">
        <f t="shared" ref="L94:O94" si="117">L44/L$53</f>
        <v>2.7946212630915713E-3</v>
      </c>
      <c r="M94">
        <f t="shared" si="117"/>
        <v>3.7046414658526957E-3</v>
      </c>
      <c r="N94">
        <f t="shared" si="117"/>
        <v>3.0395066534609858E-3</v>
      </c>
      <c r="O94">
        <f t="shared" si="117"/>
        <v>8.3910090165554348E-4</v>
      </c>
    </row>
    <row r="95" spans="1:15" x14ac:dyDescent="0.55000000000000004">
      <c r="A95" t="s">
        <v>235</v>
      </c>
      <c r="B95" t="s">
        <v>159</v>
      </c>
      <c r="C95">
        <f t="shared" si="3"/>
        <v>0</v>
      </c>
      <c r="D95">
        <f t="shared" ref="D95:G95" si="118">D45/D$53</f>
        <v>0</v>
      </c>
      <c r="E95">
        <f t="shared" si="118"/>
        <v>0</v>
      </c>
      <c r="F95">
        <f t="shared" si="118"/>
        <v>0</v>
      </c>
      <c r="G95">
        <f t="shared" si="118"/>
        <v>0</v>
      </c>
      <c r="H95">
        <f t="shared" ref="H95:K95" si="119">H45/H$53</f>
        <v>0</v>
      </c>
      <c r="I95">
        <f t="shared" si="119"/>
        <v>0</v>
      </c>
      <c r="J95">
        <f t="shared" si="119"/>
        <v>0</v>
      </c>
      <c r="K95">
        <f t="shared" si="119"/>
        <v>0</v>
      </c>
      <c r="L95">
        <f t="shared" ref="L95:O95" si="120">L45/L$53</f>
        <v>0</v>
      </c>
      <c r="M95">
        <f t="shared" si="120"/>
        <v>0</v>
      </c>
      <c r="N95">
        <f t="shared" si="120"/>
        <v>0</v>
      </c>
      <c r="O95">
        <f t="shared" si="120"/>
        <v>0</v>
      </c>
    </row>
    <row r="96" spans="1:15" x14ac:dyDescent="0.55000000000000004">
      <c r="A96" t="s">
        <v>236</v>
      </c>
      <c r="B96" t="s">
        <v>160</v>
      </c>
      <c r="C96">
        <f t="shared" si="3"/>
        <v>0</v>
      </c>
      <c r="D96">
        <f t="shared" ref="D96:G96" si="121">D46/D$53</f>
        <v>0</v>
      </c>
      <c r="E96">
        <f t="shared" si="121"/>
        <v>0</v>
      </c>
      <c r="F96">
        <f t="shared" si="121"/>
        <v>0</v>
      </c>
      <c r="G96">
        <f t="shared" si="121"/>
        <v>0</v>
      </c>
      <c r="H96">
        <f t="shared" ref="H96:K96" si="122">H46/H$53</f>
        <v>7.2083583541635092E-5</v>
      </c>
      <c r="I96">
        <f t="shared" si="122"/>
        <v>0</v>
      </c>
      <c r="J96">
        <f t="shared" si="122"/>
        <v>0</v>
      </c>
      <c r="K96">
        <f t="shared" si="122"/>
        <v>6.7686654329305771E-4</v>
      </c>
      <c r="L96">
        <f t="shared" ref="L96:O96" si="123">L46/L$53</f>
        <v>0</v>
      </c>
      <c r="M96">
        <f t="shared" si="123"/>
        <v>0</v>
      </c>
      <c r="N96">
        <f t="shared" si="123"/>
        <v>0</v>
      </c>
      <c r="O96">
        <f t="shared" si="123"/>
        <v>0</v>
      </c>
    </row>
    <row r="97" spans="1:27" x14ac:dyDescent="0.55000000000000004">
      <c r="A97" t="s">
        <v>193</v>
      </c>
      <c r="B97" t="s">
        <v>161</v>
      </c>
      <c r="C97">
        <f t="shared" si="3"/>
        <v>7.8206783057469587E-2</v>
      </c>
      <c r="D97">
        <f t="shared" ref="D97:G97" si="124">D47/D$53</f>
        <v>8.4677494168478376E-2</v>
      </c>
      <c r="E97">
        <f t="shared" si="124"/>
        <v>8.6469320240155509E-2</v>
      </c>
      <c r="F97">
        <f t="shared" si="124"/>
        <v>6.8983596724529708E-2</v>
      </c>
      <c r="G97">
        <f t="shared" si="124"/>
        <v>2.7371893790738233E-2</v>
      </c>
      <c r="H97">
        <f t="shared" ref="H97:K97" si="125">H47/H$53</f>
        <v>8.174719445765799E-2</v>
      </c>
      <c r="I97">
        <f t="shared" si="125"/>
        <v>1.7229529022435455E-3</v>
      </c>
      <c r="J97">
        <f t="shared" si="125"/>
        <v>4.3557461703298557E-2</v>
      </c>
      <c r="K97">
        <f t="shared" si="125"/>
        <v>8.9894614192405756E-2</v>
      </c>
      <c r="L97">
        <f t="shared" ref="L97:O97" si="126">L47/L$53</f>
        <v>8.5087948837550748E-2</v>
      </c>
      <c r="M97">
        <f t="shared" si="126"/>
        <v>0.14723352959020747</v>
      </c>
      <c r="N97">
        <f t="shared" si="126"/>
        <v>9.2815973932817736E-2</v>
      </c>
      <c r="O97">
        <f t="shared" si="126"/>
        <v>0.11713434639258051</v>
      </c>
    </row>
    <row r="98" spans="1:27" x14ac:dyDescent="0.55000000000000004">
      <c r="A98" t="s">
        <v>237</v>
      </c>
      <c r="B98" t="s">
        <v>162</v>
      </c>
      <c r="C98">
        <f t="shared" si="3"/>
        <v>0</v>
      </c>
      <c r="D98">
        <f t="shared" ref="D98:G98" si="127">D48/D$53</f>
        <v>0</v>
      </c>
      <c r="E98">
        <f t="shared" si="127"/>
        <v>0</v>
      </c>
      <c r="F98">
        <f t="shared" si="127"/>
        <v>0</v>
      </c>
      <c r="G98">
        <f t="shared" si="127"/>
        <v>0</v>
      </c>
      <c r="H98">
        <f t="shared" ref="H98:K98" si="128">H48/H$53</f>
        <v>0</v>
      </c>
      <c r="I98">
        <f t="shared" si="128"/>
        <v>0</v>
      </c>
      <c r="J98">
        <f t="shared" si="128"/>
        <v>0</v>
      </c>
      <c r="K98">
        <f t="shared" si="128"/>
        <v>0</v>
      </c>
      <c r="L98">
        <f t="shared" ref="L98:O98" si="129">L48/L$53</f>
        <v>0</v>
      </c>
      <c r="M98">
        <f t="shared" si="129"/>
        <v>0</v>
      </c>
      <c r="N98">
        <f t="shared" si="129"/>
        <v>0</v>
      </c>
      <c r="O98">
        <f t="shared" si="129"/>
        <v>0</v>
      </c>
    </row>
    <row r="99" spans="1:27" x14ac:dyDescent="0.55000000000000004">
      <c r="A99" t="s">
        <v>194</v>
      </c>
      <c r="B99" t="s">
        <v>163</v>
      </c>
      <c r="C99">
        <f t="shared" si="3"/>
        <v>0</v>
      </c>
      <c r="D99">
        <f t="shared" ref="D99:G99" si="130">D49/D$53</f>
        <v>4.220867291126502E-4</v>
      </c>
      <c r="E99">
        <f t="shared" si="130"/>
        <v>4.1155547495019812E-4</v>
      </c>
      <c r="F99">
        <f t="shared" si="130"/>
        <v>2.3146965368057681E-4</v>
      </c>
      <c r="G99">
        <f t="shared" si="130"/>
        <v>0</v>
      </c>
      <c r="H99">
        <f t="shared" ref="H99:K99" si="131">H49/H$53</f>
        <v>0</v>
      </c>
      <c r="I99">
        <f t="shared" si="131"/>
        <v>0</v>
      </c>
      <c r="J99">
        <f t="shared" si="131"/>
        <v>0</v>
      </c>
      <c r="K99">
        <f t="shared" si="131"/>
        <v>0</v>
      </c>
      <c r="L99">
        <f t="shared" ref="L99:O99" si="132">L49/L$53</f>
        <v>0</v>
      </c>
      <c r="M99">
        <f t="shared" si="132"/>
        <v>0</v>
      </c>
      <c r="N99">
        <f t="shared" si="132"/>
        <v>0</v>
      </c>
      <c r="O99">
        <f t="shared" si="132"/>
        <v>0</v>
      </c>
    </row>
    <row r="100" spans="1:27" x14ac:dyDescent="0.55000000000000004">
      <c r="A100" t="s">
        <v>195</v>
      </c>
      <c r="B100" t="s">
        <v>164</v>
      </c>
      <c r="C100">
        <f t="shared" si="3"/>
        <v>0</v>
      </c>
      <c r="D100">
        <f t="shared" ref="D100:G100" si="133">D50/D$53</f>
        <v>0</v>
      </c>
      <c r="E100">
        <f t="shared" si="133"/>
        <v>0</v>
      </c>
      <c r="F100">
        <f t="shared" si="133"/>
        <v>0</v>
      </c>
      <c r="G100">
        <f t="shared" si="133"/>
        <v>0</v>
      </c>
      <c r="H100">
        <f t="shared" ref="H100:K100" si="134">H50/H$53</f>
        <v>0</v>
      </c>
      <c r="I100">
        <f t="shared" si="134"/>
        <v>0</v>
      </c>
      <c r="J100">
        <f t="shared" si="134"/>
        <v>0</v>
      </c>
      <c r="K100">
        <f t="shared" si="134"/>
        <v>0</v>
      </c>
      <c r="L100">
        <f t="shared" ref="L100:O100" si="135">L50/L$53</f>
        <v>0</v>
      </c>
      <c r="M100">
        <f t="shared" si="135"/>
        <v>0</v>
      </c>
      <c r="N100">
        <f t="shared" si="135"/>
        <v>0</v>
      </c>
      <c r="O100">
        <f t="shared" si="135"/>
        <v>0</v>
      </c>
    </row>
    <row r="101" spans="1:27" x14ac:dyDescent="0.55000000000000004">
      <c r="A101" t="s">
        <v>196</v>
      </c>
      <c r="B101" t="s">
        <v>165</v>
      </c>
      <c r="C101">
        <f t="shared" si="3"/>
        <v>0</v>
      </c>
      <c r="D101">
        <f t="shared" ref="D101:G101" si="136">D51/D$53</f>
        <v>0</v>
      </c>
      <c r="E101">
        <f t="shared" si="136"/>
        <v>0</v>
      </c>
      <c r="F101">
        <f t="shared" si="136"/>
        <v>0</v>
      </c>
      <c r="G101">
        <f t="shared" si="136"/>
        <v>0</v>
      </c>
      <c r="H101">
        <f t="shared" ref="H101:K101" si="137">H51/H$53</f>
        <v>0</v>
      </c>
      <c r="I101">
        <f t="shared" si="137"/>
        <v>0</v>
      </c>
      <c r="J101">
        <f t="shared" si="137"/>
        <v>0</v>
      </c>
      <c r="K101">
        <f t="shared" si="137"/>
        <v>0</v>
      </c>
      <c r="L101">
        <f t="shared" ref="L101:O101" si="138">L51/L$53</f>
        <v>0</v>
      </c>
      <c r="M101">
        <f t="shared" si="138"/>
        <v>0</v>
      </c>
      <c r="N101">
        <f t="shared" si="138"/>
        <v>0</v>
      </c>
      <c r="O101">
        <f t="shared" si="138"/>
        <v>0</v>
      </c>
    </row>
    <row r="102" spans="1:27" x14ac:dyDescent="0.55000000000000004">
      <c r="B102" s="2" t="s">
        <v>118</v>
      </c>
      <c r="C102" s="2">
        <f t="shared" si="3"/>
        <v>1.6288861679838715</v>
      </c>
      <c r="D102" s="2">
        <f t="shared" ref="D102:G102" si="139">D52/D$53</f>
        <v>1.9399526399094666</v>
      </c>
      <c r="E102" s="2">
        <f t="shared" si="139"/>
        <v>2.0025935873400291</v>
      </c>
      <c r="F102" s="2">
        <f t="shared" si="139"/>
        <v>1.8085485462639856</v>
      </c>
      <c r="G102" s="2">
        <f t="shared" si="139"/>
        <v>1.5517809545559247</v>
      </c>
      <c r="H102" s="2">
        <f t="shared" ref="H102:K102" si="140">H52/H$53</f>
        <v>1.6527942140047769</v>
      </c>
      <c r="I102" s="2">
        <f t="shared" si="140"/>
        <v>1.7523794856092509</v>
      </c>
      <c r="J102" s="2">
        <f t="shared" si="140"/>
        <v>1.6421761483439494</v>
      </c>
      <c r="K102" s="2">
        <f t="shared" si="140"/>
        <v>1.6032608680474998</v>
      </c>
      <c r="L102" s="2">
        <f t="shared" ref="L102:O102" si="141">L52/L$53</f>
        <v>1.5700640876779042</v>
      </c>
      <c r="M102" s="2">
        <f t="shared" si="141"/>
        <v>1.6546351006251969</v>
      </c>
      <c r="N102" s="2">
        <f t="shared" si="141"/>
        <v>1.6370266778389384</v>
      </c>
      <c r="O102" s="2">
        <f t="shared" si="141"/>
        <v>1.7790211650142247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55000000000000004">
      <c r="A103" s="2" t="s">
        <v>200</v>
      </c>
    </row>
    <row r="104" spans="1:27" x14ac:dyDescent="0.55000000000000004">
      <c r="A104" t="s">
        <v>166</v>
      </c>
      <c r="B104" t="s">
        <v>120</v>
      </c>
      <c r="C104">
        <f>C6/C$54</f>
        <v>0.19792533250815367</v>
      </c>
      <c r="D104">
        <f t="shared" ref="D104:G104" si="142">D6/D$54</f>
        <v>0.21988514423896596</v>
      </c>
      <c r="E104">
        <f t="shared" si="142"/>
        <v>0.22714965617064015</v>
      </c>
      <c r="F104">
        <f t="shared" si="142"/>
        <v>0.19400484354221123</v>
      </c>
      <c r="G104">
        <f t="shared" si="142"/>
        <v>0.12262421323339534</v>
      </c>
      <c r="H104">
        <f t="shared" ref="H104:K104" si="143">H6/H$54</f>
        <v>0.20193946855424103</v>
      </c>
      <c r="I104">
        <f t="shared" si="143"/>
        <v>2.5870959688078343E-2</v>
      </c>
      <c r="J104">
        <f t="shared" si="143"/>
        <v>7.0081330844648113E-2</v>
      </c>
      <c r="K104">
        <f t="shared" si="143"/>
        <v>0.21759087679520533</v>
      </c>
      <c r="L104">
        <f t="shared" ref="L104:O104" si="144">L6/L$54</f>
        <v>0.21592992595345131</v>
      </c>
      <c r="M104">
        <f t="shared" si="144"/>
        <v>0.36026035409820234</v>
      </c>
      <c r="N104">
        <f t="shared" si="144"/>
        <v>0.24457326779784555</v>
      </c>
      <c r="O104">
        <f t="shared" si="144"/>
        <v>0.27357732147103075</v>
      </c>
    </row>
    <row r="105" spans="1:27" x14ac:dyDescent="0.55000000000000004">
      <c r="A105" t="s">
        <v>167</v>
      </c>
      <c r="B105" t="s">
        <v>121</v>
      </c>
      <c r="C105">
        <f t="shared" ref="C105:C150" si="145">C7/C$54</f>
        <v>0</v>
      </c>
      <c r="D105">
        <f t="shared" ref="D105:G105" si="146">D7/D$54</f>
        <v>0</v>
      </c>
      <c r="E105">
        <f t="shared" si="146"/>
        <v>0</v>
      </c>
      <c r="F105">
        <f t="shared" si="146"/>
        <v>0</v>
      </c>
      <c r="G105">
        <f t="shared" si="146"/>
        <v>0</v>
      </c>
      <c r="H105">
        <f t="shared" ref="H105:K105" si="147">H7/H$54</f>
        <v>5.122249739155686E-3</v>
      </c>
      <c r="I105">
        <f t="shared" si="147"/>
        <v>0</v>
      </c>
      <c r="J105">
        <f t="shared" si="147"/>
        <v>0</v>
      </c>
      <c r="K105">
        <f t="shared" si="147"/>
        <v>0</v>
      </c>
      <c r="L105">
        <f t="shared" ref="L105:O105" si="148">L7/L$54</f>
        <v>7.541661817763951E-3</v>
      </c>
      <c r="M105">
        <f t="shared" si="148"/>
        <v>6.4471659254387139E-3</v>
      </c>
      <c r="N105">
        <f t="shared" si="148"/>
        <v>9.0602715645556244E-3</v>
      </c>
      <c r="O105">
        <f t="shared" si="148"/>
        <v>1.1417435268335273E-3</v>
      </c>
    </row>
    <row r="106" spans="1:27" x14ac:dyDescent="0.55000000000000004">
      <c r="A106" t="s">
        <v>168</v>
      </c>
      <c r="B106" t="s">
        <v>122</v>
      </c>
      <c r="C106">
        <f t="shared" si="145"/>
        <v>3.7609865713691244E-2</v>
      </c>
      <c r="D106">
        <f t="shared" ref="D106:G106" si="149">D8/D$54</f>
        <v>2.9850336411800727E-2</v>
      </c>
      <c r="E106">
        <f t="shared" si="149"/>
        <v>2.7836848338815244E-2</v>
      </c>
      <c r="F106">
        <f t="shared" si="149"/>
        <v>3.9987412954439382E-2</v>
      </c>
      <c r="G106">
        <f t="shared" si="149"/>
        <v>6.7109487721792468E-2</v>
      </c>
      <c r="H106">
        <f t="shared" ref="H106:K106" si="150">H8/H$54</f>
        <v>8.239840989670684E-2</v>
      </c>
      <c r="I106">
        <f t="shared" si="150"/>
        <v>0.17960793167082639</v>
      </c>
      <c r="J106">
        <f t="shared" si="150"/>
        <v>0.19517888937018274</v>
      </c>
      <c r="K106">
        <f t="shared" si="150"/>
        <v>3.1263864504365559E-2</v>
      </c>
      <c r="L106">
        <f t="shared" ref="L106:O106" si="151">L8/L$54</f>
        <v>8.6403212951191202E-2</v>
      </c>
      <c r="M106">
        <f t="shared" si="151"/>
        <v>0</v>
      </c>
      <c r="N106">
        <f t="shared" si="151"/>
        <v>5.779553332075861E-2</v>
      </c>
      <c r="O106">
        <f t="shared" si="151"/>
        <v>2.876774633564148E-2</v>
      </c>
    </row>
    <row r="107" spans="1:27" x14ac:dyDescent="0.55000000000000004">
      <c r="A107" t="s">
        <v>169</v>
      </c>
      <c r="B107" t="s">
        <v>123</v>
      </c>
      <c r="C107">
        <f t="shared" si="145"/>
        <v>0</v>
      </c>
      <c r="D107">
        <f t="shared" ref="D107:G107" si="152">D9/D$54</f>
        <v>0</v>
      </c>
      <c r="E107">
        <f t="shared" si="152"/>
        <v>0</v>
      </c>
      <c r="F107">
        <f t="shared" si="152"/>
        <v>0</v>
      </c>
      <c r="G107">
        <f t="shared" si="152"/>
        <v>0</v>
      </c>
      <c r="H107">
        <f t="shared" ref="H107:K107" si="153">H9/H$54</f>
        <v>0</v>
      </c>
      <c r="I107">
        <f t="shared" si="153"/>
        <v>0</v>
      </c>
      <c r="J107">
        <f t="shared" si="153"/>
        <v>0</v>
      </c>
      <c r="K107">
        <f t="shared" si="153"/>
        <v>0</v>
      </c>
      <c r="L107">
        <f t="shared" ref="L107:O107" si="154">L9/L$54</f>
        <v>0</v>
      </c>
      <c r="M107">
        <f t="shared" si="154"/>
        <v>0</v>
      </c>
      <c r="N107">
        <f t="shared" si="154"/>
        <v>0</v>
      </c>
      <c r="O107">
        <f t="shared" si="154"/>
        <v>0</v>
      </c>
    </row>
    <row r="108" spans="1:27" x14ac:dyDescent="0.55000000000000004">
      <c r="A108" t="s">
        <v>170</v>
      </c>
      <c r="B108" t="s">
        <v>124</v>
      </c>
      <c r="C108">
        <f t="shared" si="145"/>
        <v>1.5077447147711506E-3</v>
      </c>
      <c r="D108">
        <f t="shared" ref="D108:G108" si="155">D10/D$54</f>
        <v>4.3429130203304853E-4</v>
      </c>
      <c r="E108">
        <f t="shared" si="155"/>
        <v>1.2143309765414776E-4</v>
      </c>
      <c r="F108">
        <f t="shared" si="155"/>
        <v>1.5912139742141329E-3</v>
      </c>
      <c r="G108">
        <f t="shared" si="155"/>
        <v>4.7035169600600224E-3</v>
      </c>
      <c r="H108">
        <f t="shared" ref="H108:K108" si="156">H10/H$54</f>
        <v>1.3949964409628323E-3</v>
      </c>
      <c r="I108">
        <f t="shared" si="156"/>
        <v>2.2962760618024068E-3</v>
      </c>
      <c r="J108">
        <f t="shared" si="156"/>
        <v>2.0273123970542982E-3</v>
      </c>
      <c r="K108">
        <f t="shared" si="156"/>
        <v>2.7330708300991402E-3</v>
      </c>
      <c r="L108">
        <f t="shared" ref="L108:O108" si="157">L10/L$54</f>
        <v>1.2950844035311253E-3</v>
      </c>
      <c r="M108">
        <f t="shared" si="157"/>
        <v>0</v>
      </c>
      <c r="N108">
        <f t="shared" si="157"/>
        <v>9.0522018294093484E-4</v>
      </c>
      <c r="O108">
        <f t="shared" si="157"/>
        <v>1.2477523380873864E-3</v>
      </c>
    </row>
    <row r="109" spans="1:27" x14ac:dyDescent="0.55000000000000004">
      <c r="A109" t="s">
        <v>250</v>
      </c>
      <c r="B109" t="s">
        <v>125</v>
      </c>
      <c r="C109">
        <f t="shared" si="145"/>
        <v>0</v>
      </c>
      <c r="D109">
        <f t="shared" ref="D109:G109" si="158">D11/D$54</f>
        <v>0</v>
      </c>
      <c r="E109">
        <f t="shared" si="158"/>
        <v>0</v>
      </c>
      <c r="F109">
        <f t="shared" si="158"/>
        <v>0</v>
      </c>
      <c r="G109">
        <f t="shared" si="158"/>
        <v>0</v>
      </c>
      <c r="H109">
        <f t="shared" ref="H109:K109" si="159">H11/H$54</f>
        <v>6.3326562438569569E-6</v>
      </c>
      <c r="I109">
        <f t="shared" si="159"/>
        <v>0</v>
      </c>
      <c r="J109">
        <f t="shared" si="159"/>
        <v>0</v>
      </c>
      <c r="K109">
        <f t="shared" si="159"/>
        <v>0</v>
      </c>
      <c r="L109">
        <f t="shared" ref="L109:O109" si="160">L11/L$54</f>
        <v>0</v>
      </c>
      <c r="M109">
        <f t="shared" si="160"/>
        <v>1.9759954820368697E-5</v>
      </c>
      <c r="N109">
        <f t="shared" si="160"/>
        <v>1.2249322870243061E-5</v>
      </c>
      <c r="O109">
        <f t="shared" si="160"/>
        <v>0</v>
      </c>
    </row>
    <row r="110" spans="1:27" x14ac:dyDescent="0.55000000000000004">
      <c r="A110" t="s">
        <v>229</v>
      </c>
      <c r="B110" t="s">
        <v>126</v>
      </c>
      <c r="C110">
        <f t="shared" si="145"/>
        <v>0</v>
      </c>
      <c r="D110">
        <f t="shared" ref="D110:G110" si="161">D12/D$54</f>
        <v>0</v>
      </c>
      <c r="E110">
        <f t="shared" si="161"/>
        <v>0</v>
      </c>
      <c r="F110">
        <f t="shared" si="161"/>
        <v>0</v>
      </c>
      <c r="G110">
        <f t="shared" si="161"/>
        <v>0</v>
      </c>
      <c r="H110">
        <f t="shared" ref="H110:K110" si="162">H12/H$54</f>
        <v>0</v>
      </c>
      <c r="I110">
        <f t="shared" si="162"/>
        <v>0</v>
      </c>
      <c r="J110">
        <f t="shared" si="162"/>
        <v>0</v>
      </c>
      <c r="K110">
        <f t="shared" si="162"/>
        <v>0</v>
      </c>
      <c r="L110">
        <f t="shared" ref="L110:O110" si="163">L12/L$54</f>
        <v>0</v>
      </c>
      <c r="M110">
        <f t="shared" si="163"/>
        <v>0</v>
      </c>
      <c r="N110">
        <f t="shared" si="163"/>
        <v>0</v>
      </c>
      <c r="O110">
        <f t="shared" si="163"/>
        <v>0</v>
      </c>
    </row>
    <row r="111" spans="1:27" x14ac:dyDescent="0.55000000000000004">
      <c r="A111" t="s">
        <v>230</v>
      </c>
      <c r="B111" t="s">
        <v>127</v>
      </c>
      <c r="C111">
        <f t="shared" si="145"/>
        <v>2.5454066799699891E-2</v>
      </c>
      <c r="D111">
        <f t="shared" ref="D111:G111" si="164">D13/D$54</f>
        <v>2.9958887145237048E-2</v>
      </c>
      <c r="E111">
        <f t="shared" si="164"/>
        <v>3.0729763795491603E-2</v>
      </c>
      <c r="F111">
        <f t="shared" si="164"/>
        <v>3.8315385311929365E-2</v>
      </c>
      <c r="G111">
        <f t="shared" si="164"/>
        <v>6.3647656868183175E-2</v>
      </c>
      <c r="H111">
        <f t="shared" ref="H111:K111" si="165">H13/H$54</f>
        <v>3.9284821808950911E-2</v>
      </c>
      <c r="I111">
        <f t="shared" si="165"/>
        <v>7.9361975551483041E-2</v>
      </c>
      <c r="J111">
        <f t="shared" si="165"/>
        <v>7.8815570498124321E-2</v>
      </c>
      <c r="K111">
        <f t="shared" si="165"/>
        <v>1.6748535075514104E-2</v>
      </c>
      <c r="L111">
        <f t="shared" ref="L111:O111" si="166">L13/L$54</f>
        <v>4.2307809826366283E-2</v>
      </c>
      <c r="M111">
        <f t="shared" si="166"/>
        <v>0</v>
      </c>
      <c r="N111">
        <f t="shared" si="166"/>
        <v>3.2502713262973645E-2</v>
      </c>
      <c r="O111">
        <f t="shared" si="166"/>
        <v>1.2272583046736346E-2</v>
      </c>
    </row>
    <row r="112" spans="1:27" x14ac:dyDescent="0.55000000000000004">
      <c r="A112" t="s">
        <v>171</v>
      </c>
      <c r="B112" t="s">
        <v>128</v>
      </c>
      <c r="C112">
        <f t="shared" si="145"/>
        <v>1.1542893372818554E-2</v>
      </c>
      <c r="D112">
        <f t="shared" ref="D112:G112" si="167">D14/D$54</f>
        <v>1.2310001698980578E-2</v>
      </c>
      <c r="E112">
        <f t="shared" si="167"/>
        <v>1.3961616161986426E-2</v>
      </c>
      <c r="F112">
        <f t="shared" si="167"/>
        <v>1.2551526650803684E-2</v>
      </c>
      <c r="G112">
        <f t="shared" si="167"/>
        <v>1.0994638770586195E-2</v>
      </c>
      <c r="H112">
        <f t="shared" ref="H112:K112" si="168">H14/H$54</f>
        <v>1.2797894856943917E-2</v>
      </c>
      <c r="I112">
        <f t="shared" si="168"/>
        <v>1.1843133896193681E-2</v>
      </c>
      <c r="J112">
        <f t="shared" si="168"/>
        <v>1.4576236529907024E-2</v>
      </c>
      <c r="K112">
        <f t="shared" si="168"/>
        <v>1.5856975115630452E-2</v>
      </c>
      <c r="L112">
        <f t="shared" ref="L112:O112" si="169">L14/L$54</f>
        <v>1.1095404919042508E-2</v>
      </c>
      <c r="M112">
        <f t="shared" si="169"/>
        <v>0</v>
      </c>
      <c r="N112">
        <f t="shared" si="169"/>
        <v>1.3155569788147884E-2</v>
      </c>
      <c r="O112">
        <f t="shared" si="169"/>
        <v>1.654095893694088E-2</v>
      </c>
    </row>
    <row r="113" spans="1:15" x14ac:dyDescent="0.55000000000000004">
      <c r="A113" t="s">
        <v>228</v>
      </c>
      <c r="B113" t="s">
        <v>129</v>
      </c>
      <c r="C113">
        <f t="shared" si="145"/>
        <v>0</v>
      </c>
      <c r="D113">
        <f t="shared" ref="D113:G113" si="170">D15/D$54</f>
        <v>0</v>
      </c>
      <c r="E113">
        <f t="shared" si="170"/>
        <v>0</v>
      </c>
      <c r="F113">
        <f t="shared" si="170"/>
        <v>0</v>
      </c>
      <c r="G113">
        <f t="shared" si="170"/>
        <v>0</v>
      </c>
      <c r="H113">
        <f t="shared" ref="H113:K113" si="171">H15/H$54</f>
        <v>0</v>
      </c>
      <c r="I113">
        <f t="shared" si="171"/>
        <v>0</v>
      </c>
      <c r="J113">
        <f t="shared" si="171"/>
        <v>0</v>
      </c>
      <c r="K113">
        <f t="shared" si="171"/>
        <v>0</v>
      </c>
      <c r="L113">
        <f t="shared" ref="L113:O113" si="172">L15/L$54</f>
        <v>0</v>
      </c>
      <c r="M113">
        <f t="shared" si="172"/>
        <v>0</v>
      </c>
      <c r="N113">
        <f t="shared" si="172"/>
        <v>0</v>
      </c>
      <c r="O113">
        <f t="shared" si="172"/>
        <v>0</v>
      </c>
    </row>
    <row r="114" spans="1:15" x14ac:dyDescent="0.55000000000000004">
      <c r="A114" t="s">
        <v>172</v>
      </c>
      <c r="B114" t="s">
        <v>130</v>
      </c>
      <c r="C114">
        <f t="shared" si="145"/>
        <v>0</v>
      </c>
      <c r="D114">
        <f t="shared" ref="D114:G114" si="173">D16/D$54</f>
        <v>0</v>
      </c>
      <c r="E114">
        <f t="shared" si="173"/>
        <v>0</v>
      </c>
      <c r="F114">
        <f t="shared" si="173"/>
        <v>0</v>
      </c>
      <c r="G114">
        <f t="shared" si="173"/>
        <v>0</v>
      </c>
      <c r="H114">
        <f t="shared" ref="H114:K114" si="174">H16/H$54</f>
        <v>0</v>
      </c>
      <c r="I114">
        <f t="shared" si="174"/>
        <v>0</v>
      </c>
      <c r="J114">
        <f t="shared" si="174"/>
        <v>0</v>
      </c>
      <c r="K114">
        <f t="shared" si="174"/>
        <v>0</v>
      </c>
      <c r="L114">
        <f t="shared" ref="L114:O114" si="175">L16/L$54</f>
        <v>0</v>
      </c>
      <c r="M114">
        <f t="shared" si="175"/>
        <v>0</v>
      </c>
      <c r="N114">
        <f t="shared" si="175"/>
        <v>0</v>
      </c>
      <c r="O114">
        <f t="shared" si="175"/>
        <v>0</v>
      </c>
    </row>
    <row r="115" spans="1:15" x14ac:dyDescent="0.55000000000000004">
      <c r="A115" t="s">
        <v>227</v>
      </c>
      <c r="B115" t="s">
        <v>131</v>
      </c>
      <c r="C115">
        <f t="shared" si="145"/>
        <v>1.5151811121469997E-2</v>
      </c>
      <c r="D115">
        <f t="shared" ref="D115:G115" si="176">D17/D$54</f>
        <v>2.1321560656697144E-2</v>
      </c>
      <c r="E115">
        <f t="shared" si="176"/>
        <v>2.5552425300761645E-2</v>
      </c>
      <c r="F115">
        <f t="shared" si="176"/>
        <v>2.0890706542188262E-2</v>
      </c>
      <c r="G115">
        <f t="shared" si="176"/>
        <v>1.6623336756231621E-2</v>
      </c>
      <c r="H115">
        <f t="shared" ref="H115:K115" si="177">H17/H$54</f>
        <v>1.793010449601249E-2</v>
      </c>
      <c r="I115">
        <f t="shared" si="177"/>
        <v>9.5241258110946962E-3</v>
      </c>
      <c r="J115">
        <f t="shared" si="177"/>
        <v>1.4676258809180182E-2</v>
      </c>
      <c r="K115">
        <f t="shared" si="177"/>
        <v>2.1760551138264941E-2</v>
      </c>
      <c r="L115">
        <f t="shared" ref="L115:O115" si="178">L17/L$54</f>
        <v>2.103927880090227E-2</v>
      </c>
      <c r="M115">
        <f t="shared" si="178"/>
        <v>3.1470725051906824E-2</v>
      </c>
      <c r="N115">
        <f t="shared" si="178"/>
        <v>1.5913857961878965E-2</v>
      </c>
      <c r="O115">
        <f t="shared" si="178"/>
        <v>2.788180225347426E-2</v>
      </c>
    </row>
    <row r="116" spans="1:15" x14ac:dyDescent="0.55000000000000004">
      <c r="A116" t="s">
        <v>173</v>
      </c>
      <c r="B116" t="s">
        <v>132</v>
      </c>
      <c r="C116">
        <f t="shared" si="145"/>
        <v>9.6528226319095543E-3</v>
      </c>
      <c r="D116">
        <f t="shared" ref="D116:G116" si="179">D18/D$54</f>
        <v>5.6389520118175964E-3</v>
      </c>
      <c r="E116">
        <f t="shared" si="179"/>
        <v>3.8048504354559324E-3</v>
      </c>
      <c r="F116">
        <f t="shared" si="179"/>
        <v>4.0498964830487901E-3</v>
      </c>
      <c r="G116">
        <f t="shared" si="179"/>
        <v>0</v>
      </c>
      <c r="H116">
        <f t="shared" ref="H116:K116" si="180">H18/H$54</f>
        <v>5.2690124574410503E-3</v>
      </c>
      <c r="I116">
        <f t="shared" si="180"/>
        <v>5.0667993049488345E-5</v>
      </c>
      <c r="J116">
        <f t="shared" si="180"/>
        <v>2.70879886386264E-3</v>
      </c>
      <c r="K116">
        <f t="shared" si="180"/>
        <v>7.5838670998661581E-3</v>
      </c>
      <c r="L116">
        <f t="shared" ref="L116:O116" si="181">L18/L$54</f>
        <v>4.5298180325728087E-3</v>
      </c>
      <c r="M116">
        <f t="shared" si="181"/>
        <v>0</v>
      </c>
      <c r="N116">
        <f t="shared" si="181"/>
        <v>7.6902787775619758E-3</v>
      </c>
      <c r="O116">
        <f t="shared" si="181"/>
        <v>5.2721129511400658E-3</v>
      </c>
    </row>
    <row r="117" spans="1:15" x14ac:dyDescent="0.55000000000000004">
      <c r="A117" t="s">
        <v>174</v>
      </c>
      <c r="B117" t="s">
        <v>133</v>
      </c>
      <c r="C117">
        <f t="shared" si="145"/>
        <v>0</v>
      </c>
      <c r="D117">
        <f t="shared" ref="D117:G117" si="182">D19/D$54</f>
        <v>0</v>
      </c>
      <c r="E117">
        <f t="shared" si="182"/>
        <v>0</v>
      </c>
      <c r="F117">
        <f t="shared" si="182"/>
        <v>0</v>
      </c>
      <c r="G117">
        <f t="shared" si="182"/>
        <v>0</v>
      </c>
      <c r="H117">
        <f t="shared" ref="H117:K117" si="183">H19/H$54</f>
        <v>0</v>
      </c>
      <c r="I117">
        <f t="shared" si="183"/>
        <v>0</v>
      </c>
      <c r="J117">
        <f t="shared" si="183"/>
        <v>0</v>
      </c>
      <c r="K117">
        <f t="shared" si="183"/>
        <v>0</v>
      </c>
      <c r="L117">
        <f t="shared" ref="L117:O117" si="184">L19/L$54</f>
        <v>0</v>
      </c>
      <c r="M117">
        <f t="shared" si="184"/>
        <v>0</v>
      </c>
      <c r="N117">
        <f t="shared" si="184"/>
        <v>0</v>
      </c>
      <c r="O117">
        <f t="shared" si="184"/>
        <v>0</v>
      </c>
    </row>
    <row r="118" spans="1:15" x14ac:dyDescent="0.55000000000000004">
      <c r="A118" t="s">
        <v>175</v>
      </c>
      <c r="B118" t="s">
        <v>134</v>
      </c>
      <c r="C118">
        <f t="shared" si="145"/>
        <v>0</v>
      </c>
      <c r="D118">
        <f t="shared" ref="D118:G118" si="185">D20/D$54</f>
        <v>0</v>
      </c>
      <c r="E118">
        <f t="shared" si="185"/>
        <v>0</v>
      </c>
      <c r="F118">
        <f t="shared" si="185"/>
        <v>0</v>
      </c>
      <c r="G118">
        <f t="shared" si="185"/>
        <v>0</v>
      </c>
      <c r="H118">
        <f t="shared" ref="H118:K118" si="186">H20/H$54</f>
        <v>0</v>
      </c>
      <c r="I118">
        <f t="shared" si="186"/>
        <v>0</v>
      </c>
      <c r="J118">
        <f t="shared" si="186"/>
        <v>0</v>
      </c>
      <c r="K118">
        <f t="shared" si="186"/>
        <v>0</v>
      </c>
      <c r="L118">
        <f t="shared" ref="L118:O118" si="187">L20/L$54</f>
        <v>0</v>
      </c>
      <c r="M118">
        <f t="shared" si="187"/>
        <v>0</v>
      </c>
      <c r="N118">
        <f t="shared" si="187"/>
        <v>0</v>
      </c>
      <c r="O118">
        <f t="shared" si="187"/>
        <v>0</v>
      </c>
    </row>
    <row r="119" spans="1:15" x14ac:dyDescent="0.55000000000000004">
      <c r="A119" t="s">
        <v>226</v>
      </c>
      <c r="B119" t="s">
        <v>135</v>
      </c>
      <c r="C119">
        <f t="shared" si="145"/>
        <v>0.11334495801787496</v>
      </c>
      <c r="D119">
        <f t="shared" ref="D119:G119" si="188">D21/D$54</f>
        <v>0.13875715860162136</v>
      </c>
      <c r="E119">
        <f t="shared" si="188"/>
        <v>0.14552674830577073</v>
      </c>
      <c r="F119">
        <f t="shared" si="188"/>
        <v>0.10911740769251942</v>
      </c>
      <c r="G119">
        <f t="shared" si="188"/>
        <v>3.0103229585046257E-2</v>
      </c>
      <c r="H119">
        <f t="shared" ref="H119:K119" si="189">H21/H$54</f>
        <v>2.9468186790837087E-2</v>
      </c>
      <c r="I119">
        <f t="shared" si="189"/>
        <v>0</v>
      </c>
      <c r="J119">
        <f t="shared" si="189"/>
        <v>0</v>
      </c>
      <c r="K119">
        <f t="shared" si="189"/>
        <v>0.10978162662727682</v>
      </c>
      <c r="L119">
        <f t="shared" ref="L119:O119" si="190">L21/L$54</f>
        <v>0</v>
      </c>
      <c r="M119">
        <f t="shared" si="190"/>
        <v>0</v>
      </c>
      <c r="N119">
        <f t="shared" si="190"/>
        <v>3.0263565632333324E-2</v>
      </c>
      <c r="O119">
        <f t="shared" si="190"/>
        <v>6.7410422960782132E-2</v>
      </c>
    </row>
    <row r="120" spans="1:15" x14ac:dyDescent="0.55000000000000004">
      <c r="A120" t="s">
        <v>231</v>
      </c>
      <c r="B120" t="s">
        <v>136</v>
      </c>
      <c r="C120">
        <f t="shared" si="145"/>
        <v>2.1570743373327361E-3</v>
      </c>
      <c r="D120">
        <f t="shared" ref="D120:G120" si="191">D22/D$54</f>
        <v>6.462546617900169E-3</v>
      </c>
      <c r="E120">
        <f t="shared" si="191"/>
        <v>9.4867822981468137E-3</v>
      </c>
      <c r="F120">
        <f t="shared" si="191"/>
        <v>7.1465836845006096E-3</v>
      </c>
      <c r="G120">
        <f t="shared" si="191"/>
        <v>6.8444621791484616E-3</v>
      </c>
      <c r="H120">
        <f t="shared" ref="H120:K120" si="192">H22/H$54</f>
        <v>1.9515575504844315E-3</v>
      </c>
      <c r="I120">
        <f t="shared" si="192"/>
        <v>0</v>
      </c>
      <c r="J120">
        <f t="shared" si="192"/>
        <v>0</v>
      </c>
      <c r="K120">
        <f t="shared" si="192"/>
        <v>9.645758091626818E-3</v>
      </c>
      <c r="L120">
        <f t="shared" ref="L120:O120" si="193">L22/L$54</f>
        <v>0</v>
      </c>
      <c r="M120">
        <f t="shared" si="193"/>
        <v>0</v>
      </c>
      <c r="N120">
        <f t="shared" si="193"/>
        <v>0</v>
      </c>
      <c r="O120">
        <f t="shared" si="193"/>
        <v>1.1858621190029275E-2</v>
      </c>
    </row>
    <row r="121" spans="1:15" x14ac:dyDescent="0.55000000000000004">
      <c r="A121" t="s">
        <v>176</v>
      </c>
      <c r="B121" t="s">
        <v>137</v>
      </c>
      <c r="C121">
        <f t="shared" si="145"/>
        <v>0</v>
      </c>
      <c r="D121">
        <f t="shared" ref="D121:G121" si="194">D23/D$54</f>
        <v>1.6800130610245122E-3</v>
      </c>
      <c r="E121">
        <f t="shared" si="194"/>
        <v>1.6441318580549891E-3</v>
      </c>
      <c r="F121">
        <f t="shared" si="194"/>
        <v>4.3942869093547615E-3</v>
      </c>
      <c r="G121">
        <f t="shared" si="194"/>
        <v>1.3235684296651935E-2</v>
      </c>
      <c r="H121">
        <f t="shared" ref="H121:K121" si="195">H23/H$54</f>
        <v>0</v>
      </c>
      <c r="I121">
        <f t="shared" si="195"/>
        <v>0</v>
      </c>
      <c r="J121">
        <f t="shared" si="195"/>
        <v>0</v>
      </c>
      <c r="K121">
        <f t="shared" si="195"/>
        <v>0</v>
      </c>
      <c r="L121">
        <f t="shared" ref="L121:O121" si="196">L23/L$54</f>
        <v>0</v>
      </c>
      <c r="M121">
        <f t="shared" si="196"/>
        <v>0</v>
      </c>
      <c r="N121">
        <f t="shared" si="196"/>
        <v>0</v>
      </c>
      <c r="O121">
        <f t="shared" si="196"/>
        <v>0</v>
      </c>
    </row>
    <row r="122" spans="1:15" x14ac:dyDescent="0.55000000000000004">
      <c r="A122" t="s">
        <v>232</v>
      </c>
      <c r="B122" t="s">
        <v>138</v>
      </c>
      <c r="C122">
        <f t="shared" si="145"/>
        <v>0</v>
      </c>
      <c r="D122">
        <f t="shared" ref="D122:G122" si="197">D24/D$54</f>
        <v>0</v>
      </c>
      <c r="E122">
        <f t="shared" si="197"/>
        <v>0</v>
      </c>
      <c r="F122">
        <f t="shared" si="197"/>
        <v>0</v>
      </c>
      <c r="G122">
        <f t="shared" si="197"/>
        <v>0</v>
      </c>
      <c r="H122">
        <f t="shared" ref="H122:K122" si="198">H24/H$54</f>
        <v>0</v>
      </c>
      <c r="I122">
        <f t="shared" si="198"/>
        <v>0</v>
      </c>
      <c r="J122">
        <f t="shared" si="198"/>
        <v>0</v>
      </c>
      <c r="K122">
        <f t="shared" si="198"/>
        <v>0</v>
      </c>
      <c r="L122">
        <f t="shared" ref="L122:O122" si="199">L24/L$54</f>
        <v>0</v>
      </c>
      <c r="M122">
        <f t="shared" si="199"/>
        <v>0</v>
      </c>
      <c r="N122">
        <f t="shared" si="199"/>
        <v>0</v>
      </c>
      <c r="O122">
        <f t="shared" si="199"/>
        <v>0</v>
      </c>
    </row>
    <row r="123" spans="1:15" x14ac:dyDescent="0.55000000000000004">
      <c r="A123" t="s">
        <v>177</v>
      </c>
      <c r="B123" t="s">
        <v>139</v>
      </c>
      <c r="C123">
        <f t="shared" si="145"/>
        <v>1.5537188594390552E-3</v>
      </c>
      <c r="D123">
        <f t="shared" ref="D123:G123" si="200">D25/D$54</f>
        <v>1.9398548136917483E-4</v>
      </c>
      <c r="E123">
        <f t="shared" si="200"/>
        <v>2.3829732249345335E-4</v>
      </c>
      <c r="F123">
        <f t="shared" si="200"/>
        <v>3.9001864264758652E-4</v>
      </c>
      <c r="G123">
        <f t="shared" si="200"/>
        <v>0</v>
      </c>
      <c r="H123">
        <f t="shared" ref="H123:K123" si="201">H25/H$54</f>
        <v>3.7354341492755466E-4</v>
      </c>
      <c r="I123">
        <f t="shared" si="201"/>
        <v>0</v>
      </c>
      <c r="J123">
        <f t="shared" si="201"/>
        <v>0</v>
      </c>
      <c r="K123">
        <f t="shared" si="201"/>
        <v>1.8875703282348073E-3</v>
      </c>
      <c r="L123">
        <f t="shared" ref="L123:O123" si="202">L25/L$54</f>
        <v>0</v>
      </c>
      <c r="M123">
        <f t="shared" si="202"/>
        <v>0</v>
      </c>
      <c r="N123">
        <f t="shared" si="202"/>
        <v>2.0696516249349691E-4</v>
      </c>
      <c r="O123">
        <f t="shared" si="202"/>
        <v>1.1859140635652628E-3</v>
      </c>
    </row>
    <row r="124" spans="1:15" x14ac:dyDescent="0.55000000000000004">
      <c r="A124" t="s">
        <v>178</v>
      </c>
      <c r="B124" t="s">
        <v>140</v>
      </c>
      <c r="C124">
        <f t="shared" si="145"/>
        <v>4.7140083593184945E-5</v>
      </c>
      <c r="D124">
        <f t="shared" ref="D124:G124" si="203">D26/D$54</f>
        <v>1.4503036728421018E-5</v>
      </c>
      <c r="E124">
        <f t="shared" si="203"/>
        <v>9.509000997318005E-6</v>
      </c>
      <c r="F124">
        <f t="shared" si="203"/>
        <v>1.4029294650018993E-5</v>
      </c>
      <c r="G124">
        <f t="shared" si="203"/>
        <v>0</v>
      </c>
      <c r="H124">
        <f t="shared" ref="H124:K124" si="204">H26/H$54</f>
        <v>6.0202099091250774E-4</v>
      </c>
      <c r="I124">
        <f t="shared" si="204"/>
        <v>0</v>
      </c>
      <c r="J124">
        <f t="shared" si="204"/>
        <v>0</v>
      </c>
      <c r="K124">
        <f t="shared" si="204"/>
        <v>2.2184884086371803E-4</v>
      </c>
      <c r="L124">
        <f t="shared" ref="L124:O124" si="205">L26/L$54</f>
        <v>0</v>
      </c>
      <c r="M124">
        <f t="shared" si="205"/>
        <v>0</v>
      </c>
      <c r="N124">
        <f t="shared" si="205"/>
        <v>8.8752469136279448E-4</v>
      </c>
      <c r="O124">
        <f t="shared" si="205"/>
        <v>2.2861248736387903E-3</v>
      </c>
    </row>
    <row r="125" spans="1:15" x14ac:dyDescent="0.55000000000000004">
      <c r="A125" t="s">
        <v>179</v>
      </c>
      <c r="B125" t="s">
        <v>141</v>
      </c>
      <c r="C125">
        <f t="shared" si="145"/>
        <v>2.5412469445618823E-3</v>
      </c>
      <c r="D125">
        <f t="shared" ref="D125:G125" si="206">D27/D$54</f>
        <v>2.5257112035245088E-3</v>
      </c>
      <c r="E125">
        <f t="shared" si="206"/>
        <v>2.6018298386480225E-3</v>
      </c>
      <c r="F125">
        <f t="shared" si="206"/>
        <v>2.4832326837553038E-3</v>
      </c>
      <c r="G125">
        <f t="shared" si="206"/>
        <v>2.226657231514708E-3</v>
      </c>
      <c r="H125">
        <f t="shared" ref="H125:K125" si="207">H27/H$54</f>
        <v>2.474360236691947E-3</v>
      </c>
      <c r="I125">
        <f t="shared" si="207"/>
        <v>1.6325076806884074E-3</v>
      </c>
      <c r="J125">
        <f t="shared" si="207"/>
        <v>9.5694104556497204E-4</v>
      </c>
      <c r="K125">
        <f t="shared" si="207"/>
        <v>1.2712644732829213E-3</v>
      </c>
      <c r="L125">
        <f t="shared" ref="L125:O125" si="208">L27/L$54</f>
        <v>3.213104141015772E-3</v>
      </c>
      <c r="M125">
        <f t="shared" si="208"/>
        <v>1.5818727513559228E-3</v>
      </c>
      <c r="N125">
        <f t="shared" si="208"/>
        <v>3.584091089441549E-3</v>
      </c>
      <c r="O125">
        <f t="shared" si="208"/>
        <v>1.0227557665524539E-3</v>
      </c>
    </row>
    <row r="126" spans="1:15" x14ac:dyDescent="0.55000000000000004">
      <c r="A126" t="s">
        <v>180</v>
      </c>
      <c r="B126" t="s">
        <v>142</v>
      </c>
      <c r="C126">
        <f t="shared" si="145"/>
        <v>1.9609793365261614E-3</v>
      </c>
      <c r="D126">
        <f t="shared" ref="D126:G126" si="209">D28/D$54</f>
        <v>3.1488714848458888E-3</v>
      </c>
      <c r="E126">
        <f t="shared" si="209"/>
        <v>3.5969356621448727E-3</v>
      </c>
      <c r="F126">
        <f t="shared" si="209"/>
        <v>3.0155300787679117E-3</v>
      </c>
      <c r="G126">
        <f t="shared" si="209"/>
        <v>2.6578302158435352E-3</v>
      </c>
      <c r="H126">
        <f t="shared" ref="H126:K126" si="210">H28/H$54</f>
        <v>0</v>
      </c>
      <c r="I126">
        <f t="shared" si="210"/>
        <v>0</v>
      </c>
      <c r="J126">
        <f t="shared" si="210"/>
        <v>0</v>
      </c>
      <c r="K126">
        <f t="shared" si="210"/>
        <v>0</v>
      </c>
      <c r="L126">
        <f t="shared" ref="L126:O126" si="211">L28/L$54</f>
        <v>0</v>
      </c>
      <c r="M126">
        <f t="shared" si="211"/>
        <v>0</v>
      </c>
      <c r="N126">
        <f t="shared" si="211"/>
        <v>0</v>
      </c>
      <c r="O126">
        <f t="shared" si="211"/>
        <v>0</v>
      </c>
    </row>
    <row r="127" spans="1:15" x14ac:dyDescent="0.55000000000000004">
      <c r="A127" t="s">
        <v>181</v>
      </c>
      <c r="B127" t="s">
        <v>143</v>
      </c>
      <c r="C127">
        <f t="shared" si="145"/>
        <v>0</v>
      </c>
      <c r="D127">
        <f t="shared" ref="D127:G127" si="212">D29/D$54</f>
        <v>0</v>
      </c>
      <c r="E127">
        <f t="shared" si="212"/>
        <v>0</v>
      </c>
      <c r="F127">
        <f t="shared" si="212"/>
        <v>0</v>
      </c>
      <c r="G127">
        <f t="shared" si="212"/>
        <v>0</v>
      </c>
      <c r="H127">
        <f t="shared" ref="H127:K127" si="213">H29/H$54</f>
        <v>0</v>
      </c>
      <c r="I127">
        <f t="shared" si="213"/>
        <v>0</v>
      </c>
      <c r="J127">
        <f t="shared" si="213"/>
        <v>0</v>
      </c>
      <c r="K127">
        <f t="shared" si="213"/>
        <v>0</v>
      </c>
      <c r="L127">
        <f t="shared" ref="L127:O127" si="214">L29/L$54</f>
        <v>0</v>
      </c>
      <c r="M127">
        <f t="shared" si="214"/>
        <v>0</v>
      </c>
      <c r="N127">
        <f t="shared" si="214"/>
        <v>0</v>
      </c>
      <c r="O127">
        <f t="shared" si="214"/>
        <v>0</v>
      </c>
    </row>
    <row r="128" spans="1:15" x14ac:dyDescent="0.55000000000000004">
      <c r="A128" t="s">
        <v>182</v>
      </c>
      <c r="B128" t="s">
        <v>144</v>
      </c>
      <c r="C128">
        <f t="shared" si="145"/>
        <v>0</v>
      </c>
      <c r="D128">
        <f t="shared" ref="D128:G128" si="215">D30/D$54</f>
        <v>0</v>
      </c>
      <c r="E128">
        <f t="shared" si="215"/>
        <v>0</v>
      </c>
      <c r="F128">
        <f t="shared" si="215"/>
        <v>0</v>
      </c>
      <c r="G128">
        <f t="shared" si="215"/>
        <v>0</v>
      </c>
      <c r="H128">
        <f t="shared" ref="H128:K128" si="216">H30/H$54</f>
        <v>7.4398560044959818E-5</v>
      </c>
      <c r="I128">
        <f t="shared" si="216"/>
        <v>3.2729007210388351E-4</v>
      </c>
      <c r="J128">
        <f t="shared" si="216"/>
        <v>0</v>
      </c>
      <c r="K128">
        <f t="shared" si="216"/>
        <v>0</v>
      </c>
      <c r="L128">
        <f t="shared" ref="L128:O128" si="217">L30/L$54</f>
        <v>0</v>
      </c>
      <c r="M128">
        <f t="shared" si="217"/>
        <v>1.0658334268327842E-4</v>
      </c>
      <c r="N128">
        <f t="shared" si="217"/>
        <v>6.6071698492520915E-5</v>
      </c>
      <c r="O128">
        <f t="shared" si="217"/>
        <v>0</v>
      </c>
    </row>
    <row r="129" spans="1:15" x14ac:dyDescent="0.55000000000000004">
      <c r="A129" t="s">
        <v>233</v>
      </c>
      <c r="B129" t="s">
        <v>145</v>
      </c>
      <c r="C129">
        <f t="shared" si="145"/>
        <v>0</v>
      </c>
      <c r="D129">
        <f t="shared" ref="D129:G129" si="218">D31/D$54</f>
        <v>0</v>
      </c>
      <c r="E129">
        <f t="shared" si="218"/>
        <v>0</v>
      </c>
      <c r="F129">
        <f t="shared" si="218"/>
        <v>0</v>
      </c>
      <c r="G129">
        <f t="shared" si="218"/>
        <v>0</v>
      </c>
      <c r="H129">
        <f t="shared" ref="H129:K129" si="219">H31/H$54</f>
        <v>0</v>
      </c>
      <c r="I129">
        <f t="shared" si="219"/>
        <v>0</v>
      </c>
      <c r="J129">
        <f t="shared" si="219"/>
        <v>0</v>
      </c>
      <c r="K129">
        <f t="shared" si="219"/>
        <v>0</v>
      </c>
      <c r="L129">
        <f t="shared" ref="L129:O129" si="220">L31/L$54</f>
        <v>0</v>
      </c>
      <c r="M129">
        <f t="shared" si="220"/>
        <v>0</v>
      </c>
      <c r="N129">
        <f t="shared" si="220"/>
        <v>0</v>
      </c>
      <c r="O129">
        <f t="shared" si="220"/>
        <v>0</v>
      </c>
    </row>
    <row r="130" spans="1:15" x14ac:dyDescent="0.55000000000000004">
      <c r="A130" t="s">
        <v>234</v>
      </c>
      <c r="B130" t="s">
        <v>146</v>
      </c>
      <c r="C130">
        <f t="shared" si="145"/>
        <v>2.7147674575605886E-2</v>
      </c>
      <c r="D130">
        <f t="shared" ref="D130:G130" si="221">D32/D$54</f>
        <v>3.1952003732789523E-2</v>
      </c>
      <c r="E130">
        <f t="shared" si="221"/>
        <v>3.2354600455580217E-2</v>
      </c>
      <c r="F130">
        <f t="shared" si="221"/>
        <v>3.3540417728258352E-2</v>
      </c>
      <c r="G130">
        <f t="shared" si="221"/>
        <v>4.0466395793145711E-2</v>
      </c>
      <c r="H130">
        <f t="shared" ref="H130:K130" si="222">H32/H$54</f>
        <v>2.5108453623795872E-2</v>
      </c>
      <c r="I130">
        <f t="shared" si="222"/>
        <v>6.1187328893439398E-2</v>
      </c>
      <c r="J130">
        <f t="shared" si="222"/>
        <v>4.7898555686477939E-2</v>
      </c>
      <c r="K130">
        <f t="shared" si="222"/>
        <v>2.2174437705082605E-2</v>
      </c>
      <c r="L130">
        <f t="shared" ref="L130:O130" si="223">L32/L$54</f>
        <v>1.4496990506095634E-2</v>
      </c>
      <c r="M130">
        <f t="shared" si="223"/>
        <v>1.2432044124097843E-2</v>
      </c>
      <c r="N130">
        <f t="shared" si="223"/>
        <v>1.5268123456935458E-2</v>
      </c>
      <c r="O130">
        <f t="shared" si="223"/>
        <v>1.8058923848917437E-2</v>
      </c>
    </row>
    <row r="131" spans="1:15" x14ac:dyDescent="0.55000000000000004">
      <c r="A131" t="s">
        <v>115</v>
      </c>
      <c r="B131" t="s">
        <v>147</v>
      </c>
      <c r="C131">
        <f t="shared" si="145"/>
        <v>5.9505642723101928E-4</v>
      </c>
      <c r="D131">
        <f t="shared" ref="D131:G131" si="224">D33/D$54</f>
        <v>2.0716636129474763E-3</v>
      </c>
      <c r="E131">
        <f t="shared" si="224"/>
        <v>2.0184990355611855E-3</v>
      </c>
      <c r="F131">
        <f t="shared" si="224"/>
        <v>1.364042497422064E-3</v>
      </c>
      <c r="G131">
        <f t="shared" si="224"/>
        <v>3.9182634170105803E-4</v>
      </c>
      <c r="H131">
        <f t="shared" ref="H131:K131" si="225">H33/H$54</f>
        <v>6.2890191241893941E-4</v>
      </c>
      <c r="I131">
        <f t="shared" si="225"/>
        <v>4.4008987938989278E-4</v>
      </c>
      <c r="J131">
        <f t="shared" si="225"/>
        <v>5.8242564483846357E-4</v>
      </c>
      <c r="K131">
        <f t="shared" si="225"/>
        <v>7.2426573086432054E-4</v>
      </c>
      <c r="L131">
        <f t="shared" ref="L131:O131" si="226">L33/L$54</f>
        <v>6.5782005896737193E-4</v>
      </c>
      <c r="M131">
        <f t="shared" si="226"/>
        <v>5.6838547112328115E-4</v>
      </c>
      <c r="N131">
        <f t="shared" si="226"/>
        <v>6.8178815268745406E-4</v>
      </c>
      <c r="O131">
        <f t="shared" si="226"/>
        <v>5.8723021347903404E-4</v>
      </c>
    </row>
    <row r="132" spans="1:15" x14ac:dyDescent="0.55000000000000004">
      <c r="A132" t="s">
        <v>114</v>
      </c>
      <c r="B132" t="s">
        <v>148</v>
      </c>
      <c r="C132">
        <f t="shared" si="145"/>
        <v>0</v>
      </c>
      <c r="D132">
        <f t="shared" ref="D132:G132" si="227">D34/D$54</f>
        <v>0</v>
      </c>
      <c r="E132">
        <f t="shared" si="227"/>
        <v>0</v>
      </c>
      <c r="F132">
        <f t="shared" si="227"/>
        <v>1.2992077810682614E-2</v>
      </c>
      <c r="G132">
        <f t="shared" si="227"/>
        <v>4.9864734087872391E-2</v>
      </c>
      <c r="H132">
        <f t="shared" ref="H132:K132" si="228">H34/H$54</f>
        <v>6.6085046598604201E-3</v>
      </c>
      <c r="I132">
        <f t="shared" si="228"/>
        <v>3.6179345521037028E-2</v>
      </c>
      <c r="J132">
        <f t="shared" si="228"/>
        <v>1.184438565017929E-2</v>
      </c>
      <c r="K132">
        <f t="shared" si="228"/>
        <v>6.4148556769893979E-5</v>
      </c>
      <c r="L132">
        <f t="shared" ref="L132:O132" si="229">L34/L$54</f>
        <v>1.7212050133711082E-3</v>
      </c>
      <c r="M132">
        <f t="shared" si="229"/>
        <v>0</v>
      </c>
      <c r="N132">
        <f t="shared" si="229"/>
        <v>1.6245926312761362E-3</v>
      </c>
      <c r="O132">
        <f t="shared" si="229"/>
        <v>0</v>
      </c>
    </row>
    <row r="133" spans="1:15" x14ac:dyDescent="0.55000000000000004">
      <c r="A133" t="s">
        <v>183</v>
      </c>
      <c r="B133" t="s">
        <v>149</v>
      </c>
      <c r="C133">
        <f t="shared" si="145"/>
        <v>3.8997664289863515E-4</v>
      </c>
      <c r="D133">
        <f t="shared" ref="D133:G133" si="230">D35/D$54</f>
        <v>4.3235115215751855E-4</v>
      </c>
      <c r="E133">
        <f t="shared" si="230"/>
        <v>2.8085090611597421E-4</v>
      </c>
      <c r="F133">
        <f t="shared" si="230"/>
        <v>2.4725295895759876E-4</v>
      </c>
      <c r="G133">
        <f t="shared" si="230"/>
        <v>0</v>
      </c>
      <c r="H133">
        <f t="shared" ref="H133:K133" si="231">H35/H$54</f>
        <v>2.0242212020300744E-4</v>
      </c>
      <c r="I133">
        <f t="shared" si="231"/>
        <v>0</v>
      </c>
      <c r="J133">
        <f t="shared" si="231"/>
        <v>0</v>
      </c>
      <c r="K133">
        <f t="shared" si="231"/>
        <v>4.1859934647595629E-4</v>
      </c>
      <c r="L133">
        <f t="shared" ref="L133:O133" si="232">L35/L$54</f>
        <v>0</v>
      </c>
      <c r="M133">
        <f t="shared" si="232"/>
        <v>1.7085119185334847E-4</v>
      </c>
      <c r="N133">
        <f t="shared" si="232"/>
        <v>2.7786791456702926E-4</v>
      </c>
      <c r="O133">
        <f t="shared" si="232"/>
        <v>3.8302286873868587E-4</v>
      </c>
    </row>
    <row r="134" spans="1:15" x14ac:dyDescent="0.55000000000000004">
      <c r="A134" t="s">
        <v>184</v>
      </c>
      <c r="B134" t="s">
        <v>150</v>
      </c>
      <c r="C134">
        <f t="shared" si="145"/>
        <v>7.2759504483227017E-3</v>
      </c>
      <c r="D134">
        <f t="shared" ref="D134:G134" si="233">D36/D$54</f>
        <v>6.3988281972581487E-3</v>
      </c>
      <c r="E134">
        <f t="shared" si="233"/>
        <v>6.2250112862215212E-3</v>
      </c>
      <c r="F134">
        <f t="shared" si="233"/>
        <v>8.9561412139819458E-3</v>
      </c>
      <c r="G134">
        <f t="shared" si="233"/>
        <v>1.5938691913156056E-2</v>
      </c>
      <c r="H134">
        <f t="shared" ref="H134:K134" si="234">H36/H$54</f>
        <v>3.7975046905867086E-3</v>
      </c>
      <c r="I134">
        <f t="shared" si="234"/>
        <v>1.2645628151791108E-2</v>
      </c>
      <c r="J134">
        <f t="shared" si="234"/>
        <v>4.3919541052717019E-3</v>
      </c>
      <c r="K134">
        <f t="shared" si="234"/>
        <v>4.7606064456769169E-3</v>
      </c>
      <c r="L134">
        <f t="shared" ref="L134:O134" si="235">L36/L$54</f>
        <v>1.7536137560009775E-3</v>
      </c>
      <c r="M134">
        <f t="shared" si="235"/>
        <v>5.1177049073720699E-4</v>
      </c>
      <c r="N134">
        <f t="shared" si="235"/>
        <v>2.135874293516938E-3</v>
      </c>
      <c r="O134">
        <f t="shared" si="235"/>
        <v>2.1100043190931312E-3</v>
      </c>
    </row>
    <row r="135" spans="1:15" x14ac:dyDescent="0.55000000000000004">
      <c r="A135" t="s">
        <v>185</v>
      </c>
      <c r="B135" t="s">
        <v>151</v>
      </c>
      <c r="C135">
        <f t="shared" si="145"/>
        <v>5.4253898129680625E-4</v>
      </c>
      <c r="D135">
        <f t="shared" ref="D135:G135" si="236">D37/D$54</f>
        <v>4.1653766057716911E-4</v>
      </c>
      <c r="E135">
        <f t="shared" si="236"/>
        <v>2.9117353055126968E-4</v>
      </c>
      <c r="F135">
        <f t="shared" si="236"/>
        <v>3.0959434317327924E-4</v>
      </c>
      <c r="G135">
        <f t="shared" si="236"/>
        <v>1.3276958626226186E-4</v>
      </c>
      <c r="H135">
        <f t="shared" ref="H135:K135" si="237">H37/H$54</f>
        <v>7.922429168326867E-5</v>
      </c>
      <c r="I135">
        <f t="shared" si="237"/>
        <v>6.2094101703880983E-6</v>
      </c>
      <c r="J135">
        <f t="shared" si="237"/>
        <v>0</v>
      </c>
      <c r="K135">
        <f t="shared" si="237"/>
        <v>1.1815499803820882E-4</v>
      </c>
      <c r="L135">
        <f t="shared" ref="L135:O135" si="238">L37/L$54</f>
        <v>8.6518106097421119E-5</v>
      </c>
      <c r="M135">
        <f t="shared" si="238"/>
        <v>3.1435630937616326E-4</v>
      </c>
      <c r="N135">
        <f t="shared" si="238"/>
        <v>8.4503020827191223E-5</v>
      </c>
      <c r="O135">
        <f t="shared" si="238"/>
        <v>6.0438252430172366E-5</v>
      </c>
    </row>
    <row r="136" spans="1:15" x14ac:dyDescent="0.55000000000000004">
      <c r="A136" t="s">
        <v>186</v>
      </c>
      <c r="B136" t="s">
        <v>152</v>
      </c>
      <c r="C136">
        <f t="shared" si="145"/>
        <v>1.9301614659229601E-3</v>
      </c>
      <c r="D136">
        <f t="shared" ref="D136:G136" si="239">D38/D$54</f>
        <v>1.9882766081900588E-3</v>
      </c>
      <c r="E136">
        <f t="shared" si="239"/>
        <v>1.1674869642348919E-3</v>
      </c>
      <c r="F136">
        <f t="shared" si="239"/>
        <v>1.106401028597455E-3</v>
      </c>
      <c r="G136">
        <f t="shared" si="239"/>
        <v>0</v>
      </c>
      <c r="H136">
        <f t="shared" ref="H136:K136" si="240">H38/H$54</f>
        <v>3.946666962919847E-5</v>
      </c>
      <c r="I136">
        <f t="shared" si="240"/>
        <v>0</v>
      </c>
      <c r="J136">
        <f t="shared" si="240"/>
        <v>0</v>
      </c>
      <c r="K136">
        <f t="shared" si="240"/>
        <v>4.0960899465003128E-4</v>
      </c>
      <c r="L136">
        <f t="shared" ref="L136:O136" si="241">L38/L$54</f>
        <v>0</v>
      </c>
      <c r="M136">
        <f t="shared" si="241"/>
        <v>0</v>
      </c>
      <c r="N136">
        <f t="shared" si="241"/>
        <v>0</v>
      </c>
      <c r="O136">
        <f t="shared" si="241"/>
        <v>0</v>
      </c>
    </row>
    <row r="137" spans="1:15" x14ac:dyDescent="0.55000000000000004">
      <c r="A137" t="s">
        <v>187</v>
      </c>
      <c r="B137" t="s">
        <v>153</v>
      </c>
      <c r="C137">
        <f t="shared" si="145"/>
        <v>0</v>
      </c>
      <c r="D137">
        <f t="shared" ref="D137:G137" si="242">D39/D$54</f>
        <v>0</v>
      </c>
      <c r="E137">
        <f t="shared" si="242"/>
        <v>0</v>
      </c>
      <c r="F137">
        <f t="shared" si="242"/>
        <v>0</v>
      </c>
      <c r="G137">
        <f t="shared" si="242"/>
        <v>0</v>
      </c>
      <c r="H137">
        <f t="shared" ref="H137:K137" si="243">H39/H$54</f>
        <v>1.0043147882280183E-5</v>
      </c>
      <c r="I137">
        <f t="shared" si="243"/>
        <v>8.1683815405691194E-5</v>
      </c>
      <c r="J137">
        <f t="shared" si="243"/>
        <v>0</v>
      </c>
      <c r="K137">
        <f t="shared" si="243"/>
        <v>0</v>
      </c>
      <c r="L137">
        <f t="shared" ref="L137:O137" si="244">L39/L$54</f>
        <v>0</v>
      </c>
      <c r="M137">
        <f t="shared" si="244"/>
        <v>0</v>
      </c>
      <c r="N137">
        <f t="shared" si="244"/>
        <v>0</v>
      </c>
      <c r="O137">
        <f t="shared" si="244"/>
        <v>0</v>
      </c>
    </row>
    <row r="138" spans="1:15" x14ac:dyDescent="0.55000000000000004">
      <c r="A138" t="s">
        <v>188</v>
      </c>
      <c r="B138" t="s">
        <v>154</v>
      </c>
      <c r="C138">
        <f t="shared" si="145"/>
        <v>4.429991969983268E-5</v>
      </c>
      <c r="D138">
        <f t="shared" ref="D138:G138" si="245">D40/D$54</f>
        <v>1.7593660294098717E-5</v>
      </c>
      <c r="E138">
        <f t="shared" si="245"/>
        <v>1.6315094271202324E-5</v>
      </c>
      <c r="F138">
        <f t="shared" si="245"/>
        <v>1.9712669995975736E-5</v>
      </c>
      <c r="G138">
        <f t="shared" si="245"/>
        <v>1.069727189847743E-5</v>
      </c>
      <c r="H138">
        <f t="shared" ref="H138:K138" si="246">H40/H$54</f>
        <v>2.629807852101593E-5</v>
      </c>
      <c r="I138">
        <f t="shared" si="246"/>
        <v>0</v>
      </c>
      <c r="J138">
        <f t="shared" si="246"/>
        <v>0</v>
      </c>
      <c r="K138">
        <f t="shared" si="246"/>
        <v>3.7104464332504808E-5</v>
      </c>
      <c r="L138">
        <f t="shared" ref="L138:O138" si="247">L40/L$54</f>
        <v>1.9850139647257528E-5</v>
      </c>
      <c r="M138">
        <f t="shared" si="247"/>
        <v>6.8912831146697413E-5</v>
      </c>
      <c r="N138">
        <f t="shared" si="247"/>
        <v>3.0794440220922341E-5</v>
      </c>
      <c r="O138">
        <f t="shared" si="247"/>
        <v>4.3707948929318661E-5</v>
      </c>
    </row>
    <row r="139" spans="1:15" x14ac:dyDescent="0.55000000000000004">
      <c r="A139" t="s">
        <v>189</v>
      </c>
      <c r="B139" t="s">
        <v>155</v>
      </c>
      <c r="C139">
        <f t="shared" si="145"/>
        <v>3.9877946186742325E-4</v>
      </c>
      <c r="D139">
        <f t="shared" ref="D139:G139" si="248">D41/D$54</f>
        <v>3.2476216884855323E-4</v>
      </c>
      <c r="E139">
        <f t="shared" si="248"/>
        <v>2.896557844928698E-4</v>
      </c>
      <c r="F139">
        <f t="shared" si="248"/>
        <v>2.373821995264515E-4</v>
      </c>
      <c r="G139">
        <f t="shared" si="248"/>
        <v>0</v>
      </c>
      <c r="H139">
        <f t="shared" ref="H139:K139" si="249">H41/H$54</f>
        <v>1.670368383885248E-4</v>
      </c>
      <c r="I139">
        <f t="shared" si="249"/>
        <v>0</v>
      </c>
      <c r="J139">
        <f t="shared" si="249"/>
        <v>0</v>
      </c>
      <c r="K139">
        <f t="shared" si="249"/>
        <v>7.0483690095134361E-4</v>
      </c>
      <c r="L139">
        <f t="shared" ref="L139:O139" si="250">L41/L$54</f>
        <v>4.2022028877779384E-5</v>
      </c>
      <c r="M139">
        <f t="shared" si="250"/>
        <v>1.5277244683400848E-4</v>
      </c>
      <c r="N139">
        <f t="shared" si="250"/>
        <v>1.1988418684630922E-4</v>
      </c>
      <c r="O139">
        <f t="shared" si="250"/>
        <v>4.0599956760960362E-4</v>
      </c>
    </row>
    <row r="140" spans="1:15" x14ac:dyDescent="0.55000000000000004">
      <c r="A140" t="s">
        <v>190</v>
      </c>
      <c r="B140" t="s">
        <v>156</v>
      </c>
      <c r="C140">
        <f t="shared" si="145"/>
        <v>1.8188228026745997E-5</v>
      </c>
      <c r="D140">
        <f t="shared" ref="D140:G140" si="251">D42/D$54</f>
        <v>6.8581823320596947E-5</v>
      </c>
      <c r="E140">
        <f t="shared" si="251"/>
        <v>8.4173479016947211E-5</v>
      </c>
      <c r="F140">
        <f t="shared" si="251"/>
        <v>4.9009928517524713E-5</v>
      </c>
      <c r="G140">
        <f t="shared" si="251"/>
        <v>0</v>
      </c>
      <c r="H140">
        <f t="shared" ref="H140:K140" si="252">H42/H$54</f>
        <v>0</v>
      </c>
      <c r="I140">
        <f t="shared" si="252"/>
        <v>0</v>
      </c>
      <c r="J140">
        <f t="shared" si="252"/>
        <v>0</v>
      </c>
      <c r="K140">
        <f t="shared" si="252"/>
        <v>0</v>
      </c>
      <c r="L140">
        <f t="shared" ref="L140:O140" si="253">L42/L$54</f>
        <v>0</v>
      </c>
      <c r="M140">
        <f t="shared" si="253"/>
        <v>0</v>
      </c>
      <c r="N140">
        <f t="shared" si="253"/>
        <v>0</v>
      </c>
      <c r="O140">
        <f t="shared" si="253"/>
        <v>0</v>
      </c>
    </row>
    <row r="141" spans="1:15" x14ac:dyDescent="0.55000000000000004">
      <c r="A141" t="s">
        <v>191</v>
      </c>
      <c r="B141" t="s">
        <v>157</v>
      </c>
      <c r="C141">
        <f t="shared" si="145"/>
        <v>1.3090409138697117E-3</v>
      </c>
      <c r="D141">
        <f t="shared" ref="D141:G141" si="254">D43/D$54</f>
        <v>7.6734271896301896E-4</v>
      </c>
      <c r="E141">
        <f t="shared" si="254"/>
        <v>6.5679630755596753E-4</v>
      </c>
      <c r="F141">
        <f t="shared" si="254"/>
        <v>6.1033687338114622E-4</v>
      </c>
      <c r="G141">
        <f t="shared" si="254"/>
        <v>0</v>
      </c>
      <c r="H141">
        <f t="shared" ref="H141:K141" si="255">H43/H$54</f>
        <v>3.8456001480294396E-4</v>
      </c>
      <c r="I141">
        <f t="shared" si="255"/>
        <v>0</v>
      </c>
      <c r="J141">
        <f t="shared" si="255"/>
        <v>3.8979268658451003E-5</v>
      </c>
      <c r="K141">
        <f t="shared" si="255"/>
        <v>1.112723437413172E-3</v>
      </c>
      <c r="L141">
        <f t="shared" ref="L141:O141" si="256">L43/L$54</f>
        <v>2.0047312990018168E-4</v>
      </c>
      <c r="M141">
        <f t="shared" si="256"/>
        <v>1.3457651253964161E-4</v>
      </c>
      <c r="N141">
        <f t="shared" si="256"/>
        <v>3.708680624475557E-4</v>
      </c>
      <c r="O141">
        <f t="shared" si="256"/>
        <v>9.9004982232309092E-4</v>
      </c>
    </row>
    <row r="142" spans="1:15" x14ac:dyDescent="0.55000000000000004">
      <c r="A142" t="s">
        <v>192</v>
      </c>
      <c r="B142" t="s">
        <v>158</v>
      </c>
      <c r="C142">
        <f t="shared" si="145"/>
        <v>3.5595460657349484E-4</v>
      </c>
      <c r="D142">
        <f t="shared" ref="D142:G142" si="257">D44/D$54</f>
        <v>2.7487120000218478E-4</v>
      </c>
      <c r="E142">
        <f t="shared" si="257"/>
        <v>1.7632896964838254E-4</v>
      </c>
      <c r="F142">
        <f t="shared" si="257"/>
        <v>1.9120370348629182E-4</v>
      </c>
      <c r="G142">
        <f t="shared" si="257"/>
        <v>6.4863081195495767E-5</v>
      </c>
      <c r="H142">
        <f t="shared" ref="H142:K142" si="258">H44/H$54</f>
        <v>6.1078760176033818E-4</v>
      </c>
      <c r="I142">
        <f t="shared" si="258"/>
        <v>1.7549409301265649E-4</v>
      </c>
      <c r="J142">
        <f t="shared" si="258"/>
        <v>5.1334962119347206E-4</v>
      </c>
      <c r="K142">
        <f t="shared" si="258"/>
        <v>7.9850088367226367E-5</v>
      </c>
      <c r="L142">
        <f t="shared" ref="L142:O142" si="259">L44/L$54</f>
        <v>7.774464688554666E-4</v>
      </c>
      <c r="M142">
        <f t="shared" si="259"/>
        <v>1.0205588201327852E-3</v>
      </c>
      <c r="N142">
        <f t="shared" si="259"/>
        <v>8.6227097540864496E-4</v>
      </c>
      <c r="O142">
        <f t="shared" si="259"/>
        <v>2.3899556065552934E-4</v>
      </c>
    </row>
    <row r="143" spans="1:15" x14ac:dyDescent="0.55000000000000004">
      <c r="A143" t="s">
        <v>235</v>
      </c>
      <c r="B143" t="s">
        <v>159</v>
      </c>
      <c r="C143">
        <f t="shared" si="145"/>
        <v>0</v>
      </c>
      <c r="D143">
        <f t="shared" ref="D143:G143" si="260">D45/D$54</f>
        <v>0</v>
      </c>
      <c r="E143">
        <f t="shared" si="260"/>
        <v>0</v>
      </c>
      <c r="F143">
        <f t="shared" si="260"/>
        <v>0</v>
      </c>
      <c r="G143">
        <f t="shared" si="260"/>
        <v>0</v>
      </c>
      <c r="H143">
        <f t="shared" ref="H143:K143" si="261">H45/H$54</f>
        <v>0</v>
      </c>
      <c r="I143">
        <f t="shared" si="261"/>
        <v>0</v>
      </c>
      <c r="J143">
        <f t="shared" si="261"/>
        <v>0</v>
      </c>
      <c r="K143">
        <f t="shared" si="261"/>
        <v>0</v>
      </c>
      <c r="L143">
        <f t="shared" ref="L143:O143" si="262">L45/L$54</f>
        <v>0</v>
      </c>
      <c r="M143">
        <f t="shared" si="262"/>
        <v>0</v>
      </c>
      <c r="N143">
        <f t="shared" si="262"/>
        <v>0</v>
      </c>
      <c r="O143">
        <f t="shared" si="262"/>
        <v>0</v>
      </c>
    </row>
    <row r="144" spans="1:15" x14ac:dyDescent="0.55000000000000004">
      <c r="A144" t="s">
        <v>236</v>
      </c>
      <c r="B144" t="s">
        <v>160</v>
      </c>
      <c r="C144">
        <f t="shared" si="145"/>
        <v>0</v>
      </c>
      <c r="D144">
        <f t="shared" ref="D144:G144" si="263">D46/D$54</f>
        <v>0</v>
      </c>
      <c r="E144">
        <f t="shared" si="263"/>
        <v>0</v>
      </c>
      <c r="F144">
        <f t="shared" si="263"/>
        <v>0</v>
      </c>
      <c r="G144">
        <f t="shared" si="263"/>
        <v>0</v>
      </c>
      <c r="H144">
        <f t="shared" ref="H144:K144" si="264">H46/H$54</f>
        <v>2.0131901581028415E-5</v>
      </c>
      <c r="I144">
        <f t="shared" si="264"/>
        <v>0</v>
      </c>
      <c r="J144">
        <f t="shared" si="264"/>
        <v>0</v>
      </c>
      <c r="K144">
        <f t="shared" si="264"/>
        <v>2.08941064560909E-4</v>
      </c>
      <c r="L144">
        <f t="shared" ref="L144:O144" si="265">L46/L$54</f>
        <v>0</v>
      </c>
      <c r="M144">
        <f t="shared" si="265"/>
        <v>0</v>
      </c>
      <c r="N144">
        <f t="shared" si="265"/>
        <v>0</v>
      </c>
      <c r="O144">
        <f t="shared" si="265"/>
        <v>0</v>
      </c>
    </row>
    <row r="145" spans="1:27" x14ac:dyDescent="0.55000000000000004">
      <c r="A145" t="s">
        <v>193</v>
      </c>
      <c r="B145" t="s">
        <v>161</v>
      </c>
      <c r="C145">
        <f t="shared" si="145"/>
        <v>2.3222648505077145E-2</v>
      </c>
      <c r="D145">
        <f t="shared" ref="D145:G145" si="266">D47/D$54</f>
        <v>2.3597208482061711E-2</v>
      </c>
      <c r="E145">
        <f t="shared" si="266"/>
        <v>2.4185327771384366E-2</v>
      </c>
      <c r="F145">
        <f t="shared" si="266"/>
        <v>1.9734316735231402E-2</v>
      </c>
      <c r="G145">
        <f t="shared" si="266"/>
        <v>8.0377201830433686E-3</v>
      </c>
      <c r="H145">
        <f t="shared" ref="H145:K145" si="267">H47/H$54</f>
        <v>2.2830808243546875E-2</v>
      </c>
      <c r="I145">
        <f t="shared" si="267"/>
        <v>4.1456479569405521E-4</v>
      </c>
      <c r="J145">
        <f t="shared" si="267"/>
        <v>1.2105568307971873E-2</v>
      </c>
      <c r="K145">
        <f t="shared" si="267"/>
        <v>2.7749453084610898E-2</v>
      </c>
      <c r="L145">
        <f t="shared" ref="L145:O145" si="268">L47/L$54</f>
        <v>2.3670944696358612E-2</v>
      </c>
      <c r="M145">
        <f t="shared" si="268"/>
        <v>4.0560059219653062E-2</v>
      </c>
      <c r="N145">
        <f t="shared" si="268"/>
        <v>2.6330760054571269E-2</v>
      </c>
      <c r="O145">
        <f t="shared" si="268"/>
        <v>3.3362601247216545E-2</v>
      </c>
    </row>
    <row r="146" spans="1:27" x14ac:dyDescent="0.55000000000000004">
      <c r="A146" t="s">
        <v>237</v>
      </c>
      <c r="B146" t="s">
        <v>162</v>
      </c>
      <c r="C146">
        <f t="shared" si="145"/>
        <v>0</v>
      </c>
      <c r="D146">
        <f t="shared" ref="D146:G146" si="269">D48/D$54</f>
        <v>0</v>
      </c>
      <c r="E146">
        <f t="shared" si="269"/>
        <v>0</v>
      </c>
      <c r="F146">
        <f t="shared" si="269"/>
        <v>0</v>
      </c>
      <c r="G146">
        <f t="shared" si="269"/>
        <v>0</v>
      </c>
      <c r="H146">
        <f t="shared" ref="H146:K146" si="270">H48/H$54</f>
        <v>0</v>
      </c>
      <c r="I146">
        <f t="shared" si="270"/>
        <v>0</v>
      </c>
      <c r="J146">
        <f t="shared" si="270"/>
        <v>0</v>
      </c>
      <c r="K146">
        <f t="shared" si="270"/>
        <v>0</v>
      </c>
      <c r="L146">
        <f t="shared" ref="L146:O146" si="271">L48/L$54</f>
        <v>0</v>
      </c>
      <c r="M146">
        <f t="shared" si="271"/>
        <v>0</v>
      </c>
      <c r="N146">
        <f t="shared" si="271"/>
        <v>0</v>
      </c>
      <c r="O146">
        <f t="shared" si="271"/>
        <v>0</v>
      </c>
    </row>
    <row r="147" spans="1:27" x14ac:dyDescent="0.55000000000000004">
      <c r="A147" t="s">
        <v>194</v>
      </c>
      <c r="B147" t="s">
        <v>163</v>
      </c>
      <c r="C147">
        <f t="shared" si="145"/>
        <v>0</v>
      </c>
      <c r="D147">
        <f t="shared" ref="D147:G147" si="272">D49/D$54</f>
        <v>1.1762356269737608E-4</v>
      </c>
      <c r="E147">
        <f t="shared" si="272"/>
        <v>1.1511139477139029E-4</v>
      </c>
      <c r="F147">
        <f t="shared" si="272"/>
        <v>6.6217125189451558E-5</v>
      </c>
      <c r="G147">
        <f t="shared" si="272"/>
        <v>0</v>
      </c>
      <c r="H147">
        <f t="shared" ref="H147:K147" si="273">H49/H$54</f>
        <v>0</v>
      </c>
      <c r="I147">
        <f t="shared" si="273"/>
        <v>0</v>
      </c>
      <c r="J147">
        <f t="shared" si="273"/>
        <v>0</v>
      </c>
      <c r="K147">
        <f t="shared" si="273"/>
        <v>0</v>
      </c>
      <c r="L147">
        <f t="shared" ref="L147:O147" si="274">L49/L$54</f>
        <v>0</v>
      </c>
      <c r="M147">
        <f t="shared" si="274"/>
        <v>0</v>
      </c>
      <c r="N147">
        <f t="shared" si="274"/>
        <v>0</v>
      </c>
      <c r="O147">
        <f t="shared" si="274"/>
        <v>0</v>
      </c>
    </row>
    <row r="148" spans="1:27" x14ac:dyDescent="0.55000000000000004">
      <c r="A148" t="s">
        <v>195</v>
      </c>
      <c r="B148" t="s">
        <v>164</v>
      </c>
      <c r="C148">
        <f t="shared" si="145"/>
        <v>0</v>
      </c>
      <c r="D148">
        <f t="shared" ref="D148:G148" si="275">D50/D$54</f>
        <v>0</v>
      </c>
      <c r="E148">
        <f t="shared" si="275"/>
        <v>0</v>
      </c>
      <c r="F148">
        <f t="shared" si="275"/>
        <v>0</v>
      </c>
      <c r="G148">
        <f t="shared" si="275"/>
        <v>0</v>
      </c>
      <c r="H148">
        <f t="shared" ref="H148:K148" si="276">H50/H$54</f>
        <v>0</v>
      </c>
      <c r="I148">
        <f t="shared" si="276"/>
        <v>0</v>
      </c>
      <c r="J148">
        <f t="shared" si="276"/>
        <v>0</v>
      </c>
      <c r="K148">
        <f t="shared" si="276"/>
        <v>0</v>
      </c>
      <c r="L148">
        <f t="shared" ref="L148:O148" si="277">L50/L$54</f>
        <v>0</v>
      </c>
      <c r="M148">
        <f t="shared" si="277"/>
        <v>0</v>
      </c>
      <c r="N148">
        <f t="shared" si="277"/>
        <v>0</v>
      </c>
      <c r="O148">
        <f t="shared" si="277"/>
        <v>0</v>
      </c>
    </row>
    <row r="149" spans="1:27" x14ac:dyDescent="0.55000000000000004">
      <c r="A149" t="s">
        <v>196</v>
      </c>
      <c r="B149" t="s">
        <v>165</v>
      </c>
      <c r="C149">
        <f t="shared" si="145"/>
        <v>0</v>
      </c>
      <c r="D149">
        <f t="shared" ref="D149:G149" si="278">D51/D$54</f>
        <v>0</v>
      </c>
      <c r="E149">
        <f t="shared" si="278"/>
        <v>0</v>
      </c>
      <c r="F149">
        <f t="shared" si="278"/>
        <v>0</v>
      </c>
      <c r="G149">
        <f t="shared" si="278"/>
        <v>0</v>
      </c>
      <c r="H149">
        <f t="shared" ref="H149:K149" si="279">H51/H$54</f>
        <v>0</v>
      </c>
      <c r="I149">
        <f t="shared" si="279"/>
        <v>0</v>
      </c>
      <c r="J149">
        <f t="shared" si="279"/>
        <v>0</v>
      </c>
      <c r="K149">
        <f t="shared" si="279"/>
        <v>0</v>
      </c>
      <c r="L149">
        <f t="shared" ref="L149:O149" si="280">L51/L$54</f>
        <v>0</v>
      </c>
      <c r="M149">
        <f t="shared" si="280"/>
        <v>0</v>
      </c>
      <c r="N149">
        <f t="shared" si="280"/>
        <v>0</v>
      </c>
      <c r="O149">
        <f t="shared" si="280"/>
        <v>0</v>
      </c>
    </row>
    <row r="150" spans="1:27" x14ac:dyDescent="0.55000000000000004">
      <c r="B150" s="2" t="s">
        <v>118</v>
      </c>
      <c r="C150" s="2">
        <f t="shared" si="145"/>
        <v>0.48367992461823428</v>
      </c>
      <c r="D150" s="2">
        <f t="shared" ref="D150:G150" si="281">D52/D$54</f>
        <v>0.54060960753265386</v>
      </c>
      <c r="E150" s="2">
        <f t="shared" si="281"/>
        <v>0.56012215856646763</v>
      </c>
      <c r="F150" s="2">
        <f t="shared" si="281"/>
        <v>0.51737618126143192</v>
      </c>
      <c r="G150" s="2">
        <f t="shared" si="281"/>
        <v>0.45567841207672843</v>
      </c>
      <c r="H150" s="2">
        <f t="shared" ref="H150:K150" si="282">H52/H$54</f>
        <v>0.4616015022452174</v>
      </c>
      <c r="I150" s="2">
        <f t="shared" si="282"/>
        <v>0.42164521298526059</v>
      </c>
      <c r="J150" s="2">
        <f t="shared" si="282"/>
        <v>0.45639655664311546</v>
      </c>
      <c r="K150" s="2">
        <f t="shared" si="282"/>
        <v>0.49490853973802473</v>
      </c>
      <c r="L150" s="2">
        <f t="shared" ref="L150:O150" si="283">L52/L$54</f>
        <v>0.43678218475000907</v>
      </c>
      <c r="M150" s="2">
        <f t="shared" si="283"/>
        <v>0.45582074854190158</v>
      </c>
      <c r="N150" s="2">
        <f t="shared" si="283"/>
        <v>0.46440450744296208</v>
      </c>
      <c r="O150" s="2">
        <f t="shared" si="283"/>
        <v>0.50670683336384503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Cover</vt:lpstr>
      <vt:lpstr>Data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2025-03-15T09:35:24Z</dcterms:modified>
</cp:coreProperties>
</file>