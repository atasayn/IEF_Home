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1FB33351-0CC2-412E-AE93-D38E18FA405B}" xr6:coauthVersionLast="36" xr6:coauthVersionMax="36" xr10:uidLastSave="{00000000-0000-0000-0000-000000000000}"/>
  <bookViews>
    <workbookView xWindow="16800" yWindow="438" windowWidth="21600" windowHeight="23478" activeTab="2" xr2:uid="{00000000-000D-0000-FFFF-FFFF00000000}"/>
  </bookViews>
  <sheets>
    <sheet name="Cover" sheetId="1" r:id="rId1"/>
    <sheet name="Data" sheetId="2" r:id="rId2"/>
    <sheet name="raw" sheetId="3" r:id="rId3"/>
  </sheets>
  <calcPr calcId="191029"/>
</workbook>
</file>

<file path=xl/calcChain.xml><?xml version="1.0" encoding="utf-8"?>
<calcChain xmlns="http://schemas.openxmlformats.org/spreadsheetml/2006/main">
  <c r="V55" i="3" l="1"/>
  <c r="W55" i="3"/>
  <c r="X55" i="3"/>
  <c r="Y55" i="3"/>
  <c r="Z55" i="3"/>
  <c r="AA55" i="3"/>
  <c r="V56" i="3"/>
  <c r="W56" i="3"/>
  <c r="X56" i="3"/>
  <c r="Y56" i="3"/>
  <c r="Z56" i="3"/>
  <c r="AA56" i="3"/>
  <c r="V57" i="3"/>
  <c r="W57" i="3"/>
  <c r="X57" i="3"/>
  <c r="Y57" i="3"/>
  <c r="Z57" i="3"/>
  <c r="AA57" i="3"/>
  <c r="V58" i="3"/>
  <c r="W58" i="3"/>
  <c r="X58" i="3"/>
  <c r="Y58" i="3"/>
  <c r="Z58" i="3"/>
  <c r="AA58" i="3"/>
  <c r="V59" i="3"/>
  <c r="W59" i="3"/>
  <c r="X59" i="3"/>
  <c r="Y59" i="3"/>
  <c r="Z59" i="3"/>
  <c r="AA59" i="3"/>
  <c r="V60" i="3"/>
  <c r="W60" i="3"/>
  <c r="X60" i="3"/>
  <c r="Y60" i="3"/>
  <c r="Z60" i="3"/>
  <c r="AA60" i="3"/>
  <c r="V61" i="3"/>
  <c r="W61" i="3"/>
  <c r="X61" i="3"/>
  <c r="Y61" i="3"/>
  <c r="Z61" i="3"/>
  <c r="AA61" i="3"/>
  <c r="V62" i="3"/>
  <c r="W62" i="3"/>
  <c r="X62" i="3"/>
  <c r="Y62" i="3"/>
  <c r="Z62" i="3"/>
  <c r="AA62" i="3"/>
  <c r="V63" i="3"/>
  <c r="W63" i="3"/>
  <c r="X63" i="3"/>
  <c r="Y63" i="3"/>
  <c r="Z63" i="3"/>
  <c r="AA63" i="3"/>
  <c r="V64" i="3"/>
  <c r="W64" i="3"/>
  <c r="X64" i="3"/>
  <c r="Y64" i="3"/>
  <c r="Z64" i="3"/>
  <c r="AA64" i="3"/>
  <c r="V65" i="3"/>
  <c r="W65" i="3"/>
  <c r="X65" i="3"/>
  <c r="Y65" i="3"/>
  <c r="Z65" i="3"/>
  <c r="AA65" i="3"/>
  <c r="V66" i="3"/>
  <c r="W66" i="3"/>
  <c r="X66" i="3"/>
  <c r="Y66" i="3"/>
  <c r="Z66" i="3"/>
  <c r="AA66" i="3"/>
  <c r="V67" i="3"/>
  <c r="W67" i="3"/>
  <c r="X67" i="3"/>
  <c r="Y67" i="3"/>
  <c r="Z67" i="3"/>
  <c r="AA67" i="3"/>
  <c r="V68" i="3"/>
  <c r="W68" i="3"/>
  <c r="X68" i="3"/>
  <c r="Y68" i="3"/>
  <c r="Z68" i="3"/>
  <c r="AA68" i="3"/>
  <c r="V69" i="3"/>
  <c r="W69" i="3"/>
  <c r="X69" i="3"/>
  <c r="Y69" i="3"/>
  <c r="Z69" i="3"/>
  <c r="AA69" i="3"/>
  <c r="V70" i="3"/>
  <c r="W70" i="3"/>
  <c r="X70" i="3"/>
  <c r="Y70" i="3"/>
  <c r="Z70" i="3"/>
  <c r="AA70" i="3"/>
  <c r="V71" i="3"/>
  <c r="W71" i="3"/>
  <c r="X71" i="3"/>
  <c r="Y71" i="3"/>
  <c r="Z71" i="3"/>
  <c r="AA71" i="3"/>
  <c r="V72" i="3"/>
  <c r="W72" i="3"/>
  <c r="X72" i="3"/>
  <c r="Y72" i="3"/>
  <c r="Z72" i="3"/>
  <c r="AA72" i="3"/>
  <c r="V73" i="3"/>
  <c r="W73" i="3"/>
  <c r="X73" i="3"/>
  <c r="Y73" i="3"/>
  <c r="Z73" i="3"/>
  <c r="AA73" i="3"/>
  <c r="V74" i="3"/>
  <c r="W74" i="3"/>
  <c r="X74" i="3"/>
  <c r="Y74" i="3"/>
  <c r="Z74" i="3"/>
  <c r="AA74" i="3"/>
  <c r="V75" i="3"/>
  <c r="W75" i="3"/>
  <c r="X75" i="3"/>
  <c r="Y75" i="3"/>
  <c r="Z75" i="3"/>
  <c r="AA75" i="3"/>
  <c r="V76" i="3"/>
  <c r="W76" i="3"/>
  <c r="X76" i="3"/>
  <c r="Y76" i="3"/>
  <c r="Z76" i="3"/>
  <c r="AA76" i="3"/>
  <c r="V77" i="3"/>
  <c r="W77" i="3"/>
  <c r="X77" i="3"/>
  <c r="Y77" i="3"/>
  <c r="Z77" i="3"/>
  <c r="AA77" i="3"/>
  <c r="V78" i="3"/>
  <c r="W78" i="3"/>
  <c r="X78" i="3"/>
  <c r="Y78" i="3"/>
  <c r="Z78" i="3"/>
  <c r="AA78" i="3"/>
  <c r="V79" i="3"/>
  <c r="W79" i="3"/>
  <c r="X79" i="3"/>
  <c r="Y79" i="3"/>
  <c r="Z79" i="3"/>
  <c r="AA79" i="3"/>
  <c r="V80" i="3"/>
  <c r="W80" i="3"/>
  <c r="X80" i="3"/>
  <c r="Y80" i="3"/>
  <c r="Z80" i="3"/>
  <c r="AA80" i="3"/>
  <c r="V81" i="3"/>
  <c r="W81" i="3"/>
  <c r="X81" i="3"/>
  <c r="Y81" i="3"/>
  <c r="Z81" i="3"/>
  <c r="AA81" i="3"/>
  <c r="V82" i="3"/>
  <c r="W82" i="3"/>
  <c r="X82" i="3"/>
  <c r="Y82" i="3"/>
  <c r="Z82" i="3"/>
  <c r="AA82" i="3"/>
  <c r="V83" i="3"/>
  <c r="W83" i="3"/>
  <c r="X83" i="3"/>
  <c r="Y83" i="3"/>
  <c r="Z83" i="3"/>
  <c r="AA83" i="3"/>
  <c r="V84" i="3"/>
  <c r="W84" i="3"/>
  <c r="X84" i="3"/>
  <c r="Y84" i="3"/>
  <c r="Z84" i="3"/>
  <c r="AA84" i="3"/>
  <c r="V85" i="3"/>
  <c r="W85" i="3"/>
  <c r="X85" i="3"/>
  <c r="Y85" i="3"/>
  <c r="Z85" i="3"/>
  <c r="AA85" i="3"/>
  <c r="V86" i="3"/>
  <c r="W86" i="3"/>
  <c r="X86" i="3"/>
  <c r="Y86" i="3"/>
  <c r="Z86" i="3"/>
  <c r="AA86" i="3"/>
  <c r="V87" i="3"/>
  <c r="W87" i="3"/>
  <c r="X87" i="3"/>
  <c r="Y87" i="3"/>
  <c r="Z87" i="3"/>
  <c r="AA87" i="3"/>
  <c r="V88" i="3"/>
  <c r="W88" i="3"/>
  <c r="X88" i="3"/>
  <c r="Y88" i="3"/>
  <c r="Z88" i="3"/>
  <c r="AA88" i="3"/>
  <c r="V89" i="3"/>
  <c r="W89" i="3"/>
  <c r="X89" i="3"/>
  <c r="Y89" i="3"/>
  <c r="Z89" i="3"/>
  <c r="AA89" i="3"/>
  <c r="V90" i="3"/>
  <c r="W90" i="3"/>
  <c r="X90" i="3"/>
  <c r="Y90" i="3"/>
  <c r="Z90" i="3"/>
  <c r="AA90" i="3"/>
  <c r="V91" i="3"/>
  <c r="W91" i="3"/>
  <c r="X91" i="3"/>
  <c r="Y91" i="3"/>
  <c r="Z91" i="3"/>
  <c r="AA91" i="3"/>
  <c r="V92" i="3"/>
  <c r="W92" i="3"/>
  <c r="X92" i="3"/>
  <c r="Y92" i="3"/>
  <c r="Z92" i="3"/>
  <c r="AA92" i="3"/>
  <c r="V93" i="3"/>
  <c r="W93" i="3"/>
  <c r="X93" i="3"/>
  <c r="Y93" i="3"/>
  <c r="Z93" i="3"/>
  <c r="AA93" i="3"/>
  <c r="V94" i="3"/>
  <c r="W94" i="3"/>
  <c r="X94" i="3"/>
  <c r="Y94" i="3"/>
  <c r="Z94" i="3"/>
  <c r="AA94" i="3"/>
  <c r="V95" i="3"/>
  <c r="W95" i="3"/>
  <c r="X95" i="3"/>
  <c r="Y95" i="3"/>
  <c r="Z95" i="3"/>
  <c r="AA95" i="3"/>
  <c r="V96" i="3"/>
  <c r="W96" i="3"/>
  <c r="X96" i="3"/>
  <c r="Y96" i="3"/>
  <c r="Z96" i="3"/>
  <c r="AA96" i="3"/>
  <c r="V97" i="3"/>
  <c r="W97" i="3"/>
  <c r="X97" i="3"/>
  <c r="Y97" i="3"/>
  <c r="Z97" i="3"/>
  <c r="AA97" i="3"/>
  <c r="V98" i="3"/>
  <c r="W98" i="3"/>
  <c r="X98" i="3"/>
  <c r="Y98" i="3"/>
  <c r="Z98" i="3"/>
  <c r="AA98" i="3"/>
  <c r="V99" i="3"/>
  <c r="W99" i="3"/>
  <c r="X99" i="3"/>
  <c r="Y99" i="3"/>
  <c r="Z99" i="3"/>
  <c r="AA99" i="3"/>
  <c r="V100" i="3"/>
  <c r="W100" i="3"/>
  <c r="X100" i="3"/>
  <c r="Y100" i="3"/>
  <c r="Z100" i="3"/>
  <c r="AA100" i="3"/>
  <c r="V101" i="3"/>
  <c r="W101" i="3"/>
  <c r="X101" i="3"/>
  <c r="Y101" i="3"/>
  <c r="Z101" i="3"/>
  <c r="AA101" i="3"/>
  <c r="V103" i="3"/>
  <c r="W103" i="3"/>
  <c r="X103" i="3"/>
  <c r="Y103" i="3"/>
  <c r="Z103" i="3"/>
  <c r="AA103" i="3"/>
  <c r="V104" i="3"/>
  <c r="W104" i="3"/>
  <c r="X104" i="3"/>
  <c r="Y104" i="3"/>
  <c r="Z104" i="3"/>
  <c r="AA104" i="3"/>
  <c r="V105" i="3"/>
  <c r="W105" i="3"/>
  <c r="X105" i="3"/>
  <c r="Y105" i="3"/>
  <c r="Z105" i="3"/>
  <c r="AA105" i="3"/>
  <c r="V106" i="3"/>
  <c r="W106" i="3"/>
  <c r="X106" i="3"/>
  <c r="Y106" i="3"/>
  <c r="Z106" i="3"/>
  <c r="AA106" i="3"/>
  <c r="V107" i="3"/>
  <c r="W107" i="3"/>
  <c r="X107" i="3"/>
  <c r="Y107" i="3"/>
  <c r="Z107" i="3"/>
  <c r="AA107" i="3"/>
  <c r="V108" i="3"/>
  <c r="W108" i="3"/>
  <c r="X108" i="3"/>
  <c r="Y108" i="3"/>
  <c r="Z108" i="3"/>
  <c r="AA108" i="3"/>
  <c r="V109" i="3"/>
  <c r="W109" i="3"/>
  <c r="X109" i="3"/>
  <c r="Y109" i="3"/>
  <c r="Z109" i="3"/>
  <c r="AA109" i="3"/>
  <c r="V110" i="3"/>
  <c r="W110" i="3"/>
  <c r="X110" i="3"/>
  <c r="Y110" i="3"/>
  <c r="Z110" i="3"/>
  <c r="AA110" i="3"/>
  <c r="V111" i="3"/>
  <c r="W111" i="3"/>
  <c r="X111" i="3"/>
  <c r="Y111" i="3"/>
  <c r="Z111" i="3"/>
  <c r="AA111" i="3"/>
  <c r="V112" i="3"/>
  <c r="W112" i="3"/>
  <c r="X112" i="3"/>
  <c r="Y112" i="3"/>
  <c r="Z112" i="3"/>
  <c r="AA112" i="3"/>
  <c r="V113" i="3"/>
  <c r="W113" i="3"/>
  <c r="X113" i="3"/>
  <c r="Y113" i="3"/>
  <c r="Z113" i="3"/>
  <c r="AA113" i="3"/>
  <c r="V114" i="3"/>
  <c r="W114" i="3"/>
  <c r="X114" i="3"/>
  <c r="Y114" i="3"/>
  <c r="Z114" i="3"/>
  <c r="AA114" i="3"/>
  <c r="V115" i="3"/>
  <c r="W115" i="3"/>
  <c r="X115" i="3"/>
  <c r="Y115" i="3"/>
  <c r="Z115" i="3"/>
  <c r="AA115" i="3"/>
  <c r="V116" i="3"/>
  <c r="W116" i="3"/>
  <c r="X116" i="3"/>
  <c r="Y116" i="3"/>
  <c r="Z116" i="3"/>
  <c r="AA116" i="3"/>
  <c r="V117" i="3"/>
  <c r="W117" i="3"/>
  <c r="X117" i="3"/>
  <c r="Y117" i="3"/>
  <c r="Z117" i="3"/>
  <c r="AA117" i="3"/>
  <c r="V118" i="3"/>
  <c r="W118" i="3"/>
  <c r="X118" i="3"/>
  <c r="Y118" i="3"/>
  <c r="Z118" i="3"/>
  <c r="AA118" i="3"/>
  <c r="V119" i="3"/>
  <c r="W119" i="3"/>
  <c r="X119" i="3"/>
  <c r="Y119" i="3"/>
  <c r="Z119" i="3"/>
  <c r="AA119" i="3"/>
  <c r="V120" i="3"/>
  <c r="W120" i="3"/>
  <c r="X120" i="3"/>
  <c r="Y120" i="3"/>
  <c r="Z120" i="3"/>
  <c r="AA120" i="3"/>
  <c r="V121" i="3"/>
  <c r="W121" i="3"/>
  <c r="X121" i="3"/>
  <c r="Y121" i="3"/>
  <c r="Z121" i="3"/>
  <c r="AA121" i="3"/>
  <c r="V122" i="3"/>
  <c r="W122" i="3"/>
  <c r="X122" i="3"/>
  <c r="Y122" i="3"/>
  <c r="Z122" i="3"/>
  <c r="AA122" i="3"/>
  <c r="V123" i="3"/>
  <c r="W123" i="3"/>
  <c r="X123" i="3"/>
  <c r="Y123" i="3"/>
  <c r="Z123" i="3"/>
  <c r="AA123" i="3"/>
  <c r="V124" i="3"/>
  <c r="W124" i="3"/>
  <c r="X124" i="3"/>
  <c r="Y124" i="3"/>
  <c r="Z124" i="3"/>
  <c r="AA124" i="3"/>
  <c r="V125" i="3"/>
  <c r="W125" i="3"/>
  <c r="X125" i="3"/>
  <c r="Y125" i="3"/>
  <c r="Z125" i="3"/>
  <c r="AA125" i="3"/>
  <c r="V126" i="3"/>
  <c r="W126" i="3"/>
  <c r="X126" i="3"/>
  <c r="Y126" i="3"/>
  <c r="Z126" i="3"/>
  <c r="AA126" i="3"/>
  <c r="V127" i="3"/>
  <c r="W127" i="3"/>
  <c r="X127" i="3"/>
  <c r="Y127" i="3"/>
  <c r="Z127" i="3"/>
  <c r="AA127" i="3"/>
  <c r="V128" i="3"/>
  <c r="W128" i="3"/>
  <c r="X128" i="3"/>
  <c r="Y128" i="3"/>
  <c r="Z128" i="3"/>
  <c r="AA128" i="3"/>
  <c r="V129" i="3"/>
  <c r="W129" i="3"/>
  <c r="X129" i="3"/>
  <c r="Y129" i="3"/>
  <c r="Z129" i="3"/>
  <c r="AA129" i="3"/>
  <c r="V130" i="3"/>
  <c r="W130" i="3"/>
  <c r="X130" i="3"/>
  <c r="Y130" i="3"/>
  <c r="Z130" i="3"/>
  <c r="AA130" i="3"/>
  <c r="V131" i="3"/>
  <c r="W131" i="3"/>
  <c r="X131" i="3"/>
  <c r="Y131" i="3"/>
  <c r="Z131" i="3"/>
  <c r="AA131" i="3"/>
  <c r="V132" i="3"/>
  <c r="W132" i="3"/>
  <c r="X132" i="3"/>
  <c r="Y132" i="3"/>
  <c r="Z132" i="3"/>
  <c r="AA132" i="3"/>
  <c r="V133" i="3"/>
  <c r="W133" i="3"/>
  <c r="X133" i="3"/>
  <c r="Y133" i="3"/>
  <c r="Z133" i="3"/>
  <c r="AA133" i="3"/>
  <c r="V134" i="3"/>
  <c r="W134" i="3"/>
  <c r="X134" i="3"/>
  <c r="Y134" i="3"/>
  <c r="Z134" i="3"/>
  <c r="AA134" i="3"/>
  <c r="V135" i="3"/>
  <c r="W135" i="3"/>
  <c r="X135" i="3"/>
  <c r="Y135" i="3"/>
  <c r="Z135" i="3"/>
  <c r="AA135" i="3"/>
  <c r="V136" i="3"/>
  <c r="W136" i="3"/>
  <c r="X136" i="3"/>
  <c r="Y136" i="3"/>
  <c r="Z136" i="3"/>
  <c r="AA136" i="3"/>
  <c r="V137" i="3"/>
  <c r="W137" i="3"/>
  <c r="X137" i="3"/>
  <c r="Y137" i="3"/>
  <c r="Z137" i="3"/>
  <c r="AA137" i="3"/>
  <c r="V138" i="3"/>
  <c r="W138" i="3"/>
  <c r="X138" i="3"/>
  <c r="Y138" i="3"/>
  <c r="Z138" i="3"/>
  <c r="AA138" i="3"/>
  <c r="V139" i="3"/>
  <c r="W139" i="3"/>
  <c r="X139" i="3"/>
  <c r="Y139" i="3"/>
  <c r="Z139" i="3"/>
  <c r="AA139" i="3"/>
  <c r="V140" i="3"/>
  <c r="W140" i="3"/>
  <c r="X140" i="3"/>
  <c r="Y140" i="3"/>
  <c r="Z140" i="3"/>
  <c r="AA140" i="3"/>
  <c r="V141" i="3"/>
  <c r="W141" i="3"/>
  <c r="X141" i="3"/>
  <c r="Y141" i="3"/>
  <c r="Z141" i="3"/>
  <c r="AA141" i="3"/>
  <c r="V142" i="3"/>
  <c r="W142" i="3"/>
  <c r="X142" i="3"/>
  <c r="Y142" i="3"/>
  <c r="Z142" i="3"/>
  <c r="AA142" i="3"/>
  <c r="V143" i="3"/>
  <c r="W143" i="3"/>
  <c r="X143" i="3"/>
  <c r="Y143" i="3"/>
  <c r="Z143" i="3"/>
  <c r="AA143" i="3"/>
  <c r="V144" i="3"/>
  <c r="W144" i="3"/>
  <c r="X144" i="3"/>
  <c r="Y144" i="3"/>
  <c r="Z144" i="3"/>
  <c r="AA144" i="3"/>
  <c r="V145" i="3"/>
  <c r="W145" i="3"/>
  <c r="X145" i="3"/>
  <c r="Y145" i="3"/>
  <c r="Z145" i="3"/>
  <c r="AA145" i="3"/>
  <c r="V146" i="3"/>
  <c r="W146" i="3"/>
  <c r="X146" i="3"/>
  <c r="Y146" i="3"/>
  <c r="Z146" i="3"/>
  <c r="AA146" i="3"/>
  <c r="V147" i="3"/>
  <c r="W147" i="3"/>
  <c r="X147" i="3"/>
  <c r="Y147" i="3"/>
  <c r="Z147" i="3"/>
  <c r="AA147" i="3"/>
  <c r="V148" i="3"/>
  <c r="W148" i="3"/>
  <c r="X148" i="3"/>
  <c r="Y148" i="3"/>
  <c r="Z148" i="3"/>
  <c r="AA148" i="3"/>
  <c r="V149" i="3"/>
  <c r="W149" i="3"/>
  <c r="X149" i="3"/>
  <c r="Y149" i="3"/>
  <c r="Z149" i="3"/>
  <c r="AA149" i="3"/>
  <c r="U55" i="3" l="1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Q55" i="3"/>
  <c r="R55" i="3"/>
  <c r="S55" i="3"/>
  <c r="T55" i="3"/>
  <c r="Q56" i="3"/>
  <c r="R56" i="3"/>
  <c r="S56" i="3"/>
  <c r="T56" i="3"/>
  <c r="Q57" i="3"/>
  <c r="R57" i="3"/>
  <c r="S57" i="3"/>
  <c r="T57" i="3"/>
  <c r="Q58" i="3"/>
  <c r="R58" i="3"/>
  <c r="S58" i="3"/>
  <c r="T58" i="3"/>
  <c r="Q59" i="3"/>
  <c r="R59" i="3"/>
  <c r="S59" i="3"/>
  <c r="T59" i="3"/>
  <c r="Q60" i="3"/>
  <c r="R60" i="3"/>
  <c r="S60" i="3"/>
  <c r="T60" i="3"/>
  <c r="Q61" i="3"/>
  <c r="R61" i="3"/>
  <c r="S61" i="3"/>
  <c r="T61" i="3"/>
  <c r="Q62" i="3"/>
  <c r="R62" i="3"/>
  <c r="S62" i="3"/>
  <c r="T62" i="3"/>
  <c r="Q63" i="3"/>
  <c r="R63" i="3"/>
  <c r="S63" i="3"/>
  <c r="T63" i="3"/>
  <c r="Q64" i="3"/>
  <c r="R64" i="3"/>
  <c r="S64" i="3"/>
  <c r="T64" i="3"/>
  <c r="Q65" i="3"/>
  <c r="R65" i="3"/>
  <c r="S65" i="3"/>
  <c r="T65" i="3"/>
  <c r="Q66" i="3"/>
  <c r="R66" i="3"/>
  <c r="S66" i="3"/>
  <c r="T66" i="3"/>
  <c r="Q67" i="3"/>
  <c r="R67" i="3"/>
  <c r="S67" i="3"/>
  <c r="T67" i="3"/>
  <c r="Q68" i="3"/>
  <c r="R68" i="3"/>
  <c r="S68" i="3"/>
  <c r="T68" i="3"/>
  <c r="Q69" i="3"/>
  <c r="R69" i="3"/>
  <c r="S69" i="3"/>
  <c r="T69" i="3"/>
  <c r="Q70" i="3"/>
  <c r="R70" i="3"/>
  <c r="S70" i="3"/>
  <c r="T70" i="3"/>
  <c r="Q71" i="3"/>
  <c r="R71" i="3"/>
  <c r="S71" i="3"/>
  <c r="T71" i="3"/>
  <c r="Q72" i="3"/>
  <c r="R72" i="3"/>
  <c r="S72" i="3"/>
  <c r="T72" i="3"/>
  <c r="Q73" i="3"/>
  <c r="R73" i="3"/>
  <c r="S73" i="3"/>
  <c r="T73" i="3"/>
  <c r="Q74" i="3"/>
  <c r="R74" i="3"/>
  <c r="S74" i="3"/>
  <c r="T74" i="3"/>
  <c r="Q75" i="3"/>
  <c r="R75" i="3"/>
  <c r="S75" i="3"/>
  <c r="T75" i="3"/>
  <c r="Q76" i="3"/>
  <c r="R76" i="3"/>
  <c r="S76" i="3"/>
  <c r="T76" i="3"/>
  <c r="Q77" i="3"/>
  <c r="R77" i="3"/>
  <c r="S77" i="3"/>
  <c r="T77" i="3"/>
  <c r="Q78" i="3"/>
  <c r="R78" i="3"/>
  <c r="S78" i="3"/>
  <c r="T78" i="3"/>
  <c r="Q79" i="3"/>
  <c r="R79" i="3"/>
  <c r="S79" i="3"/>
  <c r="T79" i="3"/>
  <c r="Q80" i="3"/>
  <c r="R80" i="3"/>
  <c r="S80" i="3"/>
  <c r="T80" i="3"/>
  <c r="Q81" i="3"/>
  <c r="R81" i="3"/>
  <c r="S81" i="3"/>
  <c r="T81" i="3"/>
  <c r="Q82" i="3"/>
  <c r="R82" i="3"/>
  <c r="S82" i="3"/>
  <c r="T82" i="3"/>
  <c r="Q83" i="3"/>
  <c r="R83" i="3"/>
  <c r="S83" i="3"/>
  <c r="T83" i="3"/>
  <c r="Q84" i="3"/>
  <c r="R84" i="3"/>
  <c r="S84" i="3"/>
  <c r="T84" i="3"/>
  <c r="Q85" i="3"/>
  <c r="R85" i="3"/>
  <c r="S85" i="3"/>
  <c r="T85" i="3"/>
  <c r="Q86" i="3"/>
  <c r="R86" i="3"/>
  <c r="S86" i="3"/>
  <c r="T86" i="3"/>
  <c r="Q87" i="3"/>
  <c r="R87" i="3"/>
  <c r="S87" i="3"/>
  <c r="T87" i="3"/>
  <c r="Q88" i="3"/>
  <c r="R88" i="3"/>
  <c r="S88" i="3"/>
  <c r="T88" i="3"/>
  <c r="Q89" i="3"/>
  <c r="R89" i="3"/>
  <c r="S89" i="3"/>
  <c r="T89" i="3"/>
  <c r="Q90" i="3"/>
  <c r="R90" i="3"/>
  <c r="S90" i="3"/>
  <c r="T90" i="3"/>
  <c r="Q91" i="3"/>
  <c r="R91" i="3"/>
  <c r="S91" i="3"/>
  <c r="T91" i="3"/>
  <c r="Q92" i="3"/>
  <c r="R92" i="3"/>
  <c r="S92" i="3"/>
  <c r="T92" i="3"/>
  <c r="Q93" i="3"/>
  <c r="R93" i="3"/>
  <c r="S93" i="3"/>
  <c r="T93" i="3"/>
  <c r="Q94" i="3"/>
  <c r="R94" i="3"/>
  <c r="S94" i="3"/>
  <c r="T94" i="3"/>
  <c r="Q95" i="3"/>
  <c r="R95" i="3"/>
  <c r="S95" i="3"/>
  <c r="T95" i="3"/>
  <c r="Q96" i="3"/>
  <c r="R96" i="3"/>
  <c r="S96" i="3"/>
  <c r="T96" i="3"/>
  <c r="Q97" i="3"/>
  <c r="R97" i="3"/>
  <c r="S97" i="3"/>
  <c r="T97" i="3"/>
  <c r="Q98" i="3"/>
  <c r="R98" i="3"/>
  <c r="S98" i="3"/>
  <c r="T98" i="3"/>
  <c r="Q99" i="3"/>
  <c r="R99" i="3"/>
  <c r="S99" i="3"/>
  <c r="T99" i="3"/>
  <c r="Q100" i="3"/>
  <c r="R100" i="3"/>
  <c r="S100" i="3"/>
  <c r="T100" i="3"/>
  <c r="Q101" i="3"/>
  <c r="R101" i="3"/>
  <c r="S101" i="3"/>
  <c r="T101" i="3"/>
  <c r="Q103" i="3"/>
  <c r="R103" i="3"/>
  <c r="S103" i="3"/>
  <c r="T103" i="3"/>
  <c r="Q104" i="3"/>
  <c r="R104" i="3"/>
  <c r="S104" i="3"/>
  <c r="T104" i="3"/>
  <c r="Q105" i="3"/>
  <c r="R105" i="3"/>
  <c r="S105" i="3"/>
  <c r="T105" i="3"/>
  <c r="Q106" i="3"/>
  <c r="R106" i="3"/>
  <c r="S106" i="3"/>
  <c r="T106" i="3"/>
  <c r="Q107" i="3"/>
  <c r="R107" i="3"/>
  <c r="S107" i="3"/>
  <c r="T107" i="3"/>
  <c r="Q108" i="3"/>
  <c r="R108" i="3"/>
  <c r="S108" i="3"/>
  <c r="T108" i="3"/>
  <c r="Q109" i="3"/>
  <c r="R109" i="3"/>
  <c r="S109" i="3"/>
  <c r="T109" i="3"/>
  <c r="Q110" i="3"/>
  <c r="R110" i="3"/>
  <c r="S110" i="3"/>
  <c r="T110" i="3"/>
  <c r="Q111" i="3"/>
  <c r="R111" i="3"/>
  <c r="S111" i="3"/>
  <c r="T111" i="3"/>
  <c r="Q112" i="3"/>
  <c r="R112" i="3"/>
  <c r="S112" i="3"/>
  <c r="T112" i="3"/>
  <c r="Q113" i="3"/>
  <c r="R113" i="3"/>
  <c r="S113" i="3"/>
  <c r="T113" i="3"/>
  <c r="Q114" i="3"/>
  <c r="R114" i="3"/>
  <c r="S114" i="3"/>
  <c r="T114" i="3"/>
  <c r="Q115" i="3"/>
  <c r="R115" i="3"/>
  <c r="S115" i="3"/>
  <c r="T115" i="3"/>
  <c r="Q116" i="3"/>
  <c r="R116" i="3"/>
  <c r="S116" i="3"/>
  <c r="T116" i="3"/>
  <c r="Q117" i="3"/>
  <c r="R117" i="3"/>
  <c r="S117" i="3"/>
  <c r="T117" i="3"/>
  <c r="Q118" i="3"/>
  <c r="R118" i="3"/>
  <c r="S118" i="3"/>
  <c r="T118" i="3"/>
  <c r="Q119" i="3"/>
  <c r="R119" i="3"/>
  <c r="S119" i="3"/>
  <c r="T119" i="3"/>
  <c r="Q120" i="3"/>
  <c r="R120" i="3"/>
  <c r="S120" i="3"/>
  <c r="T120" i="3"/>
  <c r="Q121" i="3"/>
  <c r="R121" i="3"/>
  <c r="S121" i="3"/>
  <c r="T121" i="3"/>
  <c r="Q122" i="3"/>
  <c r="R122" i="3"/>
  <c r="S122" i="3"/>
  <c r="T122" i="3"/>
  <c r="Q123" i="3"/>
  <c r="R123" i="3"/>
  <c r="S123" i="3"/>
  <c r="T123" i="3"/>
  <c r="Q124" i="3"/>
  <c r="R124" i="3"/>
  <c r="S124" i="3"/>
  <c r="T124" i="3"/>
  <c r="Q125" i="3"/>
  <c r="R125" i="3"/>
  <c r="S125" i="3"/>
  <c r="T125" i="3"/>
  <c r="Q126" i="3"/>
  <c r="R126" i="3"/>
  <c r="S126" i="3"/>
  <c r="T126" i="3"/>
  <c r="Q127" i="3"/>
  <c r="R127" i="3"/>
  <c r="S127" i="3"/>
  <c r="T127" i="3"/>
  <c r="Q128" i="3"/>
  <c r="R128" i="3"/>
  <c r="S128" i="3"/>
  <c r="T128" i="3"/>
  <c r="Q129" i="3"/>
  <c r="R129" i="3"/>
  <c r="S129" i="3"/>
  <c r="T129" i="3"/>
  <c r="Q130" i="3"/>
  <c r="R130" i="3"/>
  <c r="S130" i="3"/>
  <c r="T130" i="3"/>
  <c r="Q131" i="3"/>
  <c r="R131" i="3"/>
  <c r="S131" i="3"/>
  <c r="T131" i="3"/>
  <c r="Q132" i="3"/>
  <c r="R132" i="3"/>
  <c r="S132" i="3"/>
  <c r="T132" i="3"/>
  <c r="Q133" i="3"/>
  <c r="R133" i="3"/>
  <c r="S133" i="3"/>
  <c r="T133" i="3"/>
  <c r="Q134" i="3"/>
  <c r="R134" i="3"/>
  <c r="S134" i="3"/>
  <c r="T134" i="3"/>
  <c r="Q135" i="3"/>
  <c r="R135" i="3"/>
  <c r="S135" i="3"/>
  <c r="T135" i="3"/>
  <c r="Q136" i="3"/>
  <c r="R136" i="3"/>
  <c r="S136" i="3"/>
  <c r="T136" i="3"/>
  <c r="Q137" i="3"/>
  <c r="R137" i="3"/>
  <c r="S137" i="3"/>
  <c r="T137" i="3"/>
  <c r="Q138" i="3"/>
  <c r="R138" i="3"/>
  <c r="S138" i="3"/>
  <c r="T138" i="3"/>
  <c r="Q139" i="3"/>
  <c r="R139" i="3"/>
  <c r="S139" i="3"/>
  <c r="T139" i="3"/>
  <c r="Q140" i="3"/>
  <c r="R140" i="3"/>
  <c r="S140" i="3"/>
  <c r="T140" i="3"/>
  <c r="Q141" i="3"/>
  <c r="R141" i="3"/>
  <c r="S141" i="3"/>
  <c r="T141" i="3"/>
  <c r="Q142" i="3"/>
  <c r="R142" i="3"/>
  <c r="S142" i="3"/>
  <c r="T142" i="3"/>
  <c r="Q143" i="3"/>
  <c r="R143" i="3"/>
  <c r="S143" i="3"/>
  <c r="T143" i="3"/>
  <c r="Q144" i="3"/>
  <c r="R144" i="3"/>
  <c r="S144" i="3"/>
  <c r="T144" i="3"/>
  <c r="Q145" i="3"/>
  <c r="R145" i="3"/>
  <c r="S145" i="3"/>
  <c r="T145" i="3"/>
  <c r="Q146" i="3"/>
  <c r="R146" i="3"/>
  <c r="S146" i="3"/>
  <c r="T146" i="3"/>
  <c r="Q147" i="3"/>
  <c r="R147" i="3"/>
  <c r="S147" i="3"/>
  <c r="T147" i="3"/>
  <c r="Q148" i="3"/>
  <c r="R148" i="3"/>
  <c r="S148" i="3"/>
  <c r="T148" i="3"/>
  <c r="Q149" i="3"/>
  <c r="R149" i="3"/>
  <c r="S149" i="3"/>
  <c r="T149" i="3"/>
  <c r="M55" i="3" l="1"/>
  <c r="N55" i="3"/>
  <c r="O55" i="3"/>
  <c r="P55" i="3"/>
  <c r="M56" i="3"/>
  <c r="N56" i="3"/>
  <c r="O56" i="3"/>
  <c r="P56" i="3"/>
  <c r="M57" i="3"/>
  <c r="N57" i="3"/>
  <c r="O57" i="3"/>
  <c r="P57" i="3"/>
  <c r="M58" i="3"/>
  <c r="N58" i="3"/>
  <c r="O58" i="3"/>
  <c r="P58" i="3"/>
  <c r="M59" i="3"/>
  <c r="N59" i="3"/>
  <c r="O59" i="3"/>
  <c r="P59" i="3"/>
  <c r="M60" i="3"/>
  <c r="N60" i="3"/>
  <c r="O60" i="3"/>
  <c r="P60" i="3"/>
  <c r="M61" i="3"/>
  <c r="N61" i="3"/>
  <c r="O61" i="3"/>
  <c r="P61" i="3"/>
  <c r="M62" i="3"/>
  <c r="N62" i="3"/>
  <c r="O62" i="3"/>
  <c r="P62" i="3"/>
  <c r="M63" i="3"/>
  <c r="N63" i="3"/>
  <c r="O63" i="3"/>
  <c r="P63" i="3"/>
  <c r="M64" i="3"/>
  <c r="N64" i="3"/>
  <c r="O64" i="3"/>
  <c r="P64" i="3"/>
  <c r="M65" i="3"/>
  <c r="N65" i="3"/>
  <c r="O65" i="3"/>
  <c r="P65" i="3"/>
  <c r="M66" i="3"/>
  <c r="N66" i="3"/>
  <c r="O66" i="3"/>
  <c r="P66" i="3"/>
  <c r="M67" i="3"/>
  <c r="N67" i="3"/>
  <c r="O67" i="3"/>
  <c r="P67" i="3"/>
  <c r="M68" i="3"/>
  <c r="N68" i="3"/>
  <c r="O68" i="3"/>
  <c r="P68" i="3"/>
  <c r="M69" i="3"/>
  <c r="N69" i="3"/>
  <c r="O69" i="3"/>
  <c r="P69" i="3"/>
  <c r="M70" i="3"/>
  <c r="N70" i="3"/>
  <c r="O70" i="3"/>
  <c r="P70" i="3"/>
  <c r="M71" i="3"/>
  <c r="N71" i="3"/>
  <c r="O71" i="3"/>
  <c r="P71" i="3"/>
  <c r="M72" i="3"/>
  <c r="N72" i="3"/>
  <c r="O72" i="3"/>
  <c r="P72" i="3"/>
  <c r="M73" i="3"/>
  <c r="N73" i="3"/>
  <c r="O73" i="3"/>
  <c r="P73" i="3"/>
  <c r="M74" i="3"/>
  <c r="N74" i="3"/>
  <c r="O74" i="3"/>
  <c r="P74" i="3"/>
  <c r="M75" i="3"/>
  <c r="N75" i="3"/>
  <c r="O75" i="3"/>
  <c r="P75" i="3"/>
  <c r="M76" i="3"/>
  <c r="N76" i="3"/>
  <c r="O76" i="3"/>
  <c r="P76" i="3"/>
  <c r="M77" i="3"/>
  <c r="N77" i="3"/>
  <c r="O77" i="3"/>
  <c r="P77" i="3"/>
  <c r="M78" i="3"/>
  <c r="N78" i="3"/>
  <c r="O78" i="3"/>
  <c r="P78" i="3"/>
  <c r="M79" i="3"/>
  <c r="N79" i="3"/>
  <c r="O79" i="3"/>
  <c r="P79" i="3"/>
  <c r="M80" i="3"/>
  <c r="N80" i="3"/>
  <c r="O80" i="3"/>
  <c r="P80" i="3"/>
  <c r="M81" i="3"/>
  <c r="N81" i="3"/>
  <c r="O81" i="3"/>
  <c r="P81" i="3"/>
  <c r="M82" i="3"/>
  <c r="N82" i="3"/>
  <c r="O82" i="3"/>
  <c r="P82" i="3"/>
  <c r="M83" i="3"/>
  <c r="N83" i="3"/>
  <c r="O83" i="3"/>
  <c r="P83" i="3"/>
  <c r="M84" i="3"/>
  <c r="N84" i="3"/>
  <c r="O84" i="3"/>
  <c r="P84" i="3"/>
  <c r="M85" i="3"/>
  <c r="N85" i="3"/>
  <c r="O85" i="3"/>
  <c r="P85" i="3"/>
  <c r="M86" i="3"/>
  <c r="N86" i="3"/>
  <c r="O86" i="3"/>
  <c r="P86" i="3"/>
  <c r="M87" i="3"/>
  <c r="N87" i="3"/>
  <c r="O87" i="3"/>
  <c r="P87" i="3"/>
  <c r="M88" i="3"/>
  <c r="N88" i="3"/>
  <c r="O88" i="3"/>
  <c r="P88" i="3"/>
  <c r="M89" i="3"/>
  <c r="N89" i="3"/>
  <c r="O89" i="3"/>
  <c r="P89" i="3"/>
  <c r="M90" i="3"/>
  <c r="N90" i="3"/>
  <c r="O90" i="3"/>
  <c r="P90" i="3"/>
  <c r="M91" i="3"/>
  <c r="N91" i="3"/>
  <c r="O91" i="3"/>
  <c r="P91" i="3"/>
  <c r="M92" i="3"/>
  <c r="N92" i="3"/>
  <c r="O92" i="3"/>
  <c r="P92" i="3"/>
  <c r="M93" i="3"/>
  <c r="N93" i="3"/>
  <c r="O93" i="3"/>
  <c r="P93" i="3"/>
  <c r="M94" i="3"/>
  <c r="N94" i="3"/>
  <c r="O94" i="3"/>
  <c r="P94" i="3"/>
  <c r="M95" i="3"/>
  <c r="N95" i="3"/>
  <c r="O95" i="3"/>
  <c r="P95" i="3"/>
  <c r="M96" i="3"/>
  <c r="N96" i="3"/>
  <c r="O96" i="3"/>
  <c r="P96" i="3"/>
  <c r="M97" i="3"/>
  <c r="N97" i="3"/>
  <c r="O97" i="3"/>
  <c r="P97" i="3"/>
  <c r="M98" i="3"/>
  <c r="N98" i="3"/>
  <c r="O98" i="3"/>
  <c r="P98" i="3"/>
  <c r="M99" i="3"/>
  <c r="N99" i="3"/>
  <c r="O99" i="3"/>
  <c r="P99" i="3"/>
  <c r="M100" i="3"/>
  <c r="N100" i="3"/>
  <c r="O100" i="3"/>
  <c r="P100" i="3"/>
  <c r="M101" i="3"/>
  <c r="N101" i="3"/>
  <c r="O101" i="3"/>
  <c r="P101" i="3"/>
  <c r="M103" i="3"/>
  <c r="N103" i="3"/>
  <c r="O103" i="3"/>
  <c r="P103" i="3"/>
  <c r="M104" i="3"/>
  <c r="N104" i="3"/>
  <c r="O104" i="3"/>
  <c r="P104" i="3"/>
  <c r="M105" i="3"/>
  <c r="N105" i="3"/>
  <c r="O105" i="3"/>
  <c r="P105" i="3"/>
  <c r="M106" i="3"/>
  <c r="N106" i="3"/>
  <c r="O106" i="3"/>
  <c r="P106" i="3"/>
  <c r="M107" i="3"/>
  <c r="N107" i="3"/>
  <c r="O107" i="3"/>
  <c r="P107" i="3"/>
  <c r="M108" i="3"/>
  <c r="N108" i="3"/>
  <c r="O108" i="3"/>
  <c r="P108" i="3"/>
  <c r="M109" i="3"/>
  <c r="N109" i="3"/>
  <c r="O109" i="3"/>
  <c r="P109" i="3"/>
  <c r="M110" i="3"/>
  <c r="N110" i="3"/>
  <c r="O110" i="3"/>
  <c r="P110" i="3"/>
  <c r="M111" i="3"/>
  <c r="N111" i="3"/>
  <c r="O111" i="3"/>
  <c r="P111" i="3"/>
  <c r="M112" i="3"/>
  <c r="N112" i="3"/>
  <c r="O112" i="3"/>
  <c r="P112" i="3"/>
  <c r="M113" i="3"/>
  <c r="N113" i="3"/>
  <c r="O113" i="3"/>
  <c r="P113" i="3"/>
  <c r="M114" i="3"/>
  <c r="N114" i="3"/>
  <c r="O114" i="3"/>
  <c r="P114" i="3"/>
  <c r="M115" i="3"/>
  <c r="N115" i="3"/>
  <c r="O115" i="3"/>
  <c r="P115" i="3"/>
  <c r="M116" i="3"/>
  <c r="N116" i="3"/>
  <c r="O116" i="3"/>
  <c r="P116" i="3"/>
  <c r="M117" i="3"/>
  <c r="N117" i="3"/>
  <c r="O117" i="3"/>
  <c r="P117" i="3"/>
  <c r="M118" i="3"/>
  <c r="N118" i="3"/>
  <c r="O118" i="3"/>
  <c r="P118" i="3"/>
  <c r="M119" i="3"/>
  <c r="N119" i="3"/>
  <c r="O119" i="3"/>
  <c r="P119" i="3"/>
  <c r="M120" i="3"/>
  <c r="N120" i="3"/>
  <c r="O120" i="3"/>
  <c r="P120" i="3"/>
  <c r="M121" i="3"/>
  <c r="N121" i="3"/>
  <c r="O121" i="3"/>
  <c r="P121" i="3"/>
  <c r="M122" i="3"/>
  <c r="N122" i="3"/>
  <c r="O122" i="3"/>
  <c r="P122" i="3"/>
  <c r="M123" i="3"/>
  <c r="N123" i="3"/>
  <c r="O123" i="3"/>
  <c r="P123" i="3"/>
  <c r="M124" i="3"/>
  <c r="N124" i="3"/>
  <c r="O124" i="3"/>
  <c r="P124" i="3"/>
  <c r="M125" i="3"/>
  <c r="N125" i="3"/>
  <c r="O125" i="3"/>
  <c r="P125" i="3"/>
  <c r="M126" i="3"/>
  <c r="N126" i="3"/>
  <c r="O126" i="3"/>
  <c r="P126" i="3"/>
  <c r="M127" i="3"/>
  <c r="N127" i="3"/>
  <c r="O127" i="3"/>
  <c r="P127" i="3"/>
  <c r="M128" i="3"/>
  <c r="N128" i="3"/>
  <c r="O128" i="3"/>
  <c r="P128" i="3"/>
  <c r="M129" i="3"/>
  <c r="N129" i="3"/>
  <c r="O129" i="3"/>
  <c r="P129" i="3"/>
  <c r="M130" i="3"/>
  <c r="N130" i="3"/>
  <c r="O130" i="3"/>
  <c r="P130" i="3"/>
  <c r="M131" i="3"/>
  <c r="N131" i="3"/>
  <c r="O131" i="3"/>
  <c r="P131" i="3"/>
  <c r="M132" i="3"/>
  <c r="N132" i="3"/>
  <c r="O132" i="3"/>
  <c r="P132" i="3"/>
  <c r="M133" i="3"/>
  <c r="N133" i="3"/>
  <c r="O133" i="3"/>
  <c r="P133" i="3"/>
  <c r="M134" i="3"/>
  <c r="N134" i="3"/>
  <c r="O134" i="3"/>
  <c r="P134" i="3"/>
  <c r="M135" i="3"/>
  <c r="N135" i="3"/>
  <c r="O135" i="3"/>
  <c r="P135" i="3"/>
  <c r="M136" i="3"/>
  <c r="N136" i="3"/>
  <c r="O136" i="3"/>
  <c r="P136" i="3"/>
  <c r="M137" i="3"/>
  <c r="N137" i="3"/>
  <c r="O137" i="3"/>
  <c r="P137" i="3"/>
  <c r="M138" i="3"/>
  <c r="N138" i="3"/>
  <c r="O138" i="3"/>
  <c r="P138" i="3"/>
  <c r="M139" i="3"/>
  <c r="N139" i="3"/>
  <c r="O139" i="3"/>
  <c r="P139" i="3"/>
  <c r="M140" i="3"/>
  <c r="N140" i="3"/>
  <c r="O140" i="3"/>
  <c r="P140" i="3"/>
  <c r="M141" i="3"/>
  <c r="N141" i="3"/>
  <c r="O141" i="3"/>
  <c r="P141" i="3"/>
  <c r="M142" i="3"/>
  <c r="N142" i="3"/>
  <c r="O142" i="3"/>
  <c r="P142" i="3"/>
  <c r="M143" i="3"/>
  <c r="N143" i="3"/>
  <c r="O143" i="3"/>
  <c r="P143" i="3"/>
  <c r="M144" i="3"/>
  <c r="N144" i="3"/>
  <c r="O144" i="3"/>
  <c r="P144" i="3"/>
  <c r="M145" i="3"/>
  <c r="N145" i="3"/>
  <c r="O145" i="3"/>
  <c r="P145" i="3"/>
  <c r="M146" i="3"/>
  <c r="N146" i="3"/>
  <c r="O146" i="3"/>
  <c r="P146" i="3"/>
  <c r="M147" i="3"/>
  <c r="N147" i="3"/>
  <c r="O147" i="3"/>
  <c r="P147" i="3"/>
  <c r="M148" i="3"/>
  <c r="N148" i="3"/>
  <c r="O148" i="3"/>
  <c r="P148" i="3"/>
  <c r="M149" i="3"/>
  <c r="N149" i="3"/>
  <c r="O149" i="3"/>
  <c r="P149" i="3"/>
  <c r="I55" i="3" l="1"/>
  <c r="J55" i="3"/>
  <c r="K55" i="3"/>
  <c r="L55" i="3"/>
  <c r="I56" i="3"/>
  <c r="J56" i="3"/>
  <c r="K56" i="3"/>
  <c r="L56" i="3"/>
  <c r="I57" i="3"/>
  <c r="J57" i="3"/>
  <c r="K57" i="3"/>
  <c r="L57" i="3"/>
  <c r="I58" i="3"/>
  <c r="J58" i="3"/>
  <c r="K58" i="3"/>
  <c r="L58" i="3"/>
  <c r="I59" i="3"/>
  <c r="J59" i="3"/>
  <c r="K59" i="3"/>
  <c r="L59" i="3"/>
  <c r="I60" i="3"/>
  <c r="J60" i="3"/>
  <c r="K60" i="3"/>
  <c r="L60" i="3"/>
  <c r="I61" i="3"/>
  <c r="J61" i="3"/>
  <c r="K61" i="3"/>
  <c r="L61" i="3"/>
  <c r="I62" i="3"/>
  <c r="J62" i="3"/>
  <c r="K62" i="3"/>
  <c r="L62" i="3"/>
  <c r="I63" i="3"/>
  <c r="J63" i="3"/>
  <c r="K63" i="3"/>
  <c r="L63" i="3"/>
  <c r="I64" i="3"/>
  <c r="J64" i="3"/>
  <c r="K64" i="3"/>
  <c r="L64" i="3"/>
  <c r="I65" i="3"/>
  <c r="J65" i="3"/>
  <c r="K65" i="3"/>
  <c r="L65" i="3"/>
  <c r="I66" i="3"/>
  <c r="J66" i="3"/>
  <c r="K66" i="3"/>
  <c r="L66" i="3"/>
  <c r="I67" i="3"/>
  <c r="J67" i="3"/>
  <c r="K67" i="3"/>
  <c r="L67" i="3"/>
  <c r="I68" i="3"/>
  <c r="J68" i="3"/>
  <c r="K68" i="3"/>
  <c r="L68" i="3"/>
  <c r="I69" i="3"/>
  <c r="J69" i="3"/>
  <c r="K69" i="3"/>
  <c r="L69" i="3"/>
  <c r="I70" i="3"/>
  <c r="J70" i="3"/>
  <c r="K70" i="3"/>
  <c r="L70" i="3"/>
  <c r="I71" i="3"/>
  <c r="J71" i="3"/>
  <c r="K71" i="3"/>
  <c r="L71" i="3"/>
  <c r="I72" i="3"/>
  <c r="J72" i="3"/>
  <c r="K72" i="3"/>
  <c r="L72" i="3"/>
  <c r="I73" i="3"/>
  <c r="J73" i="3"/>
  <c r="K73" i="3"/>
  <c r="L73" i="3"/>
  <c r="I74" i="3"/>
  <c r="J74" i="3"/>
  <c r="K74" i="3"/>
  <c r="L74" i="3"/>
  <c r="I75" i="3"/>
  <c r="J75" i="3"/>
  <c r="K75" i="3"/>
  <c r="L75" i="3"/>
  <c r="I76" i="3"/>
  <c r="J76" i="3"/>
  <c r="K76" i="3"/>
  <c r="L76" i="3"/>
  <c r="I77" i="3"/>
  <c r="J77" i="3"/>
  <c r="K77" i="3"/>
  <c r="L77" i="3"/>
  <c r="I78" i="3"/>
  <c r="J78" i="3"/>
  <c r="K78" i="3"/>
  <c r="L78" i="3"/>
  <c r="I79" i="3"/>
  <c r="J79" i="3"/>
  <c r="K79" i="3"/>
  <c r="L79" i="3"/>
  <c r="I80" i="3"/>
  <c r="J80" i="3"/>
  <c r="K80" i="3"/>
  <c r="L80" i="3"/>
  <c r="I81" i="3"/>
  <c r="J81" i="3"/>
  <c r="K81" i="3"/>
  <c r="L81" i="3"/>
  <c r="I82" i="3"/>
  <c r="J82" i="3"/>
  <c r="K82" i="3"/>
  <c r="L82" i="3"/>
  <c r="I83" i="3"/>
  <c r="J83" i="3"/>
  <c r="K83" i="3"/>
  <c r="L83" i="3"/>
  <c r="I84" i="3"/>
  <c r="J84" i="3"/>
  <c r="K84" i="3"/>
  <c r="L84" i="3"/>
  <c r="I85" i="3"/>
  <c r="J85" i="3"/>
  <c r="K85" i="3"/>
  <c r="L85" i="3"/>
  <c r="I86" i="3"/>
  <c r="J86" i="3"/>
  <c r="K86" i="3"/>
  <c r="L86" i="3"/>
  <c r="I87" i="3"/>
  <c r="J87" i="3"/>
  <c r="K87" i="3"/>
  <c r="L87" i="3"/>
  <c r="I88" i="3"/>
  <c r="J88" i="3"/>
  <c r="K88" i="3"/>
  <c r="L88" i="3"/>
  <c r="I89" i="3"/>
  <c r="J89" i="3"/>
  <c r="K89" i="3"/>
  <c r="L89" i="3"/>
  <c r="I90" i="3"/>
  <c r="J90" i="3"/>
  <c r="K90" i="3"/>
  <c r="L90" i="3"/>
  <c r="I91" i="3"/>
  <c r="J91" i="3"/>
  <c r="K91" i="3"/>
  <c r="L91" i="3"/>
  <c r="I92" i="3"/>
  <c r="J92" i="3"/>
  <c r="K92" i="3"/>
  <c r="L92" i="3"/>
  <c r="I93" i="3"/>
  <c r="J93" i="3"/>
  <c r="K93" i="3"/>
  <c r="L93" i="3"/>
  <c r="I94" i="3"/>
  <c r="J94" i="3"/>
  <c r="K94" i="3"/>
  <c r="L94" i="3"/>
  <c r="I95" i="3"/>
  <c r="J95" i="3"/>
  <c r="K95" i="3"/>
  <c r="L95" i="3"/>
  <c r="I96" i="3"/>
  <c r="J96" i="3"/>
  <c r="K96" i="3"/>
  <c r="L96" i="3"/>
  <c r="I97" i="3"/>
  <c r="J97" i="3"/>
  <c r="K97" i="3"/>
  <c r="L97" i="3"/>
  <c r="I98" i="3"/>
  <c r="J98" i="3"/>
  <c r="K98" i="3"/>
  <c r="L98" i="3"/>
  <c r="I99" i="3"/>
  <c r="J99" i="3"/>
  <c r="K99" i="3"/>
  <c r="L99" i="3"/>
  <c r="I100" i="3"/>
  <c r="J100" i="3"/>
  <c r="K100" i="3"/>
  <c r="L100" i="3"/>
  <c r="I101" i="3"/>
  <c r="J101" i="3"/>
  <c r="K101" i="3"/>
  <c r="L101" i="3"/>
  <c r="I103" i="3"/>
  <c r="J103" i="3"/>
  <c r="K103" i="3"/>
  <c r="L103" i="3"/>
  <c r="I104" i="3"/>
  <c r="J104" i="3"/>
  <c r="K104" i="3"/>
  <c r="L104" i="3"/>
  <c r="I105" i="3"/>
  <c r="J105" i="3"/>
  <c r="K105" i="3"/>
  <c r="L105" i="3"/>
  <c r="I106" i="3"/>
  <c r="J106" i="3"/>
  <c r="K106" i="3"/>
  <c r="L106" i="3"/>
  <c r="I107" i="3"/>
  <c r="J107" i="3"/>
  <c r="K107" i="3"/>
  <c r="L107" i="3"/>
  <c r="I108" i="3"/>
  <c r="J108" i="3"/>
  <c r="K108" i="3"/>
  <c r="L108" i="3"/>
  <c r="I109" i="3"/>
  <c r="J109" i="3"/>
  <c r="K109" i="3"/>
  <c r="L109" i="3"/>
  <c r="I110" i="3"/>
  <c r="J110" i="3"/>
  <c r="K110" i="3"/>
  <c r="L110" i="3"/>
  <c r="I111" i="3"/>
  <c r="J111" i="3"/>
  <c r="K111" i="3"/>
  <c r="L111" i="3"/>
  <c r="I112" i="3"/>
  <c r="J112" i="3"/>
  <c r="K112" i="3"/>
  <c r="L112" i="3"/>
  <c r="I113" i="3"/>
  <c r="J113" i="3"/>
  <c r="K113" i="3"/>
  <c r="L113" i="3"/>
  <c r="I114" i="3"/>
  <c r="J114" i="3"/>
  <c r="K114" i="3"/>
  <c r="L114" i="3"/>
  <c r="I115" i="3"/>
  <c r="J115" i="3"/>
  <c r="K115" i="3"/>
  <c r="L115" i="3"/>
  <c r="I116" i="3"/>
  <c r="J116" i="3"/>
  <c r="K116" i="3"/>
  <c r="L116" i="3"/>
  <c r="I117" i="3"/>
  <c r="J117" i="3"/>
  <c r="K117" i="3"/>
  <c r="L117" i="3"/>
  <c r="I118" i="3"/>
  <c r="J118" i="3"/>
  <c r="K118" i="3"/>
  <c r="L118" i="3"/>
  <c r="I119" i="3"/>
  <c r="J119" i="3"/>
  <c r="K119" i="3"/>
  <c r="L119" i="3"/>
  <c r="I120" i="3"/>
  <c r="J120" i="3"/>
  <c r="K120" i="3"/>
  <c r="L120" i="3"/>
  <c r="I121" i="3"/>
  <c r="J121" i="3"/>
  <c r="K121" i="3"/>
  <c r="L121" i="3"/>
  <c r="I122" i="3"/>
  <c r="J122" i="3"/>
  <c r="K122" i="3"/>
  <c r="L122" i="3"/>
  <c r="I123" i="3"/>
  <c r="J123" i="3"/>
  <c r="K123" i="3"/>
  <c r="L123" i="3"/>
  <c r="I124" i="3"/>
  <c r="J124" i="3"/>
  <c r="K124" i="3"/>
  <c r="L124" i="3"/>
  <c r="I125" i="3"/>
  <c r="J125" i="3"/>
  <c r="K125" i="3"/>
  <c r="L125" i="3"/>
  <c r="I126" i="3"/>
  <c r="J126" i="3"/>
  <c r="K126" i="3"/>
  <c r="L126" i="3"/>
  <c r="I127" i="3"/>
  <c r="J127" i="3"/>
  <c r="K127" i="3"/>
  <c r="L127" i="3"/>
  <c r="I128" i="3"/>
  <c r="J128" i="3"/>
  <c r="K128" i="3"/>
  <c r="L128" i="3"/>
  <c r="I129" i="3"/>
  <c r="J129" i="3"/>
  <c r="K129" i="3"/>
  <c r="L129" i="3"/>
  <c r="I130" i="3"/>
  <c r="J130" i="3"/>
  <c r="K130" i="3"/>
  <c r="L130" i="3"/>
  <c r="I131" i="3"/>
  <c r="J131" i="3"/>
  <c r="K131" i="3"/>
  <c r="L131" i="3"/>
  <c r="I132" i="3"/>
  <c r="J132" i="3"/>
  <c r="K132" i="3"/>
  <c r="L132" i="3"/>
  <c r="I133" i="3"/>
  <c r="J133" i="3"/>
  <c r="K133" i="3"/>
  <c r="L133" i="3"/>
  <c r="I134" i="3"/>
  <c r="J134" i="3"/>
  <c r="K134" i="3"/>
  <c r="L134" i="3"/>
  <c r="I135" i="3"/>
  <c r="J135" i="3"/>
  <c r="K135" i="3"/>
  <c r="L135" i="3"/>
  <c r="I136" i="3"/>
  <c r="J136" i="3"/>
  <c r="K136" i="3"/>
  <c r="L136" i="3"/>
  <c r="I137" i="3"/>
  <c r="J137" i="3"/>
  <c r="K137" i="3"/>
  <c r="L137" i="3"/>
  <c r="I138" i="3"/>
  <c r="J138" i="3"/>
  <c r="K138" i="3"/>
  <c r="L138" i="3"/>
  <c r="I139" i="3"/>
  <c r="J139" i="3"/>
  <c r="K139" i="3"/>
  <c r="L139" i="3"/>
  <c r="I140" i="3"/>
  <c r="J140" i="3"/>
  <c r="K140" i="3"/>
  <c r="L140" i="3"/>
  <c r="I141" i="3"/>
  <c r="J141" i="3"/>
  <c r="K141" i="3"/>
  <c r="L141" i="3"/>
  <c r="I142" i="3"/>
  <c r="J142" i="3"/>
  <c r="K142" i="3"/>
  <c r="L142" i="3"/>
  <c r="I143" i="3"/>
  <c r="J143" i="3"/>
  <c r="K143" i="3"/>
  <c r="L143" i="3"/>
  <c r="I144" i="3"/>
  <c r="J144" i="3"/>
  <c r="K144" i="3"/>
  <c r="L144" i="3"/>
  <c r="I145" i="3"/>
  <c r="J145" i="3"/>
  <c r="K145" i="3"/>
  <c r="L145" i="3"/>
  <c r="I146" i="3"/>
  <c r="J146" i="3"/>
  <c r="K146" i="3"/>
  <c r="L146" i="3"/>
  <c r="I147" i="3"/>
  <c r="J147" i="3"/>
  <c r="K147" i="3"/>
  <c r="L147" i="3"/>
  <c r="I148" i="3"/>
  <c r="J148" i="3"/>
  <c r="K148" i="3"/>
  <c r="L148" i="3"/>
  <c r="I149" i="3"/>
  <c r="J149" i="3"/>
  <c r="K149" i="3"/>
  <c r="L149" i="3"/>
  <c r="F55" i="3" l="1"/>
  <c r="G55" i="3"/>
  <c r="H55" i="3"/>
  <c r="F56" i="3"/>
  <c r="G56" i="3"/>
  <c r="H56" i="3"/>
  <c r="F57" i="3"/>
  <c r="G57" i="3"/>
  <c r="H57" i="3"/>
  <c r="F58" i="3"/>
  <c r="G58" i="3"/>
  <c r="H58" i="3"/>
  <c r="F59" i="3"/>
  <c r="G59" i="3"/>
  <c r="H59" i="3"/>
  <c r="F60" i="3"/>
  <c r="G60" i="3"/>
  <c r="H60" i="3"/>
  <c r="F61" i="3"/>
  <c r="G61" i="3"/>
  <c r="H61" i="3"/>
  <c r="F62" i="3"/>
  <c r="G62" i="3"/>
  <c r="H62" i="3"/>
  <c r="F63" i="3"/>
  <c r="G63" i="3"/>
  <c r="H63" i="3"/>
  <c r="F64" i="3"/>
  <c r="G64" i="3"/>
  <c r="H64" i="3"/>
  <c r="F65" i="3"/>
  <c r="G65" i="3"/>
  <c r="H65" i="3"/>
  <c r="F66" i="3"/>
  <c r="G66" i="3"/>
  <c r="H66" i="3"/>
  <c r="F67" i="3"/>
  <c r="G67" i="3"/>
  <c r="H67" i="3"/>
  <c r="F68" i="3"/>
  <c r="G68" i="3"/>
  <c r="H68" i="3"/>
  <c r="F69" i="3"/>
  <c r="G69" i="3"/>
  <c r="H69" i="3"/>
  <c r="F70" i="3"/>
  <c r="G70" i="3"/>
  <c r="H70" i="3"/>
  <c r="F71" i="3"/>
  <c r="G71" i="3"/>
  <c r="H71" i="3"/>
  <c r="F72" i="3"/>
  <c r="G72" i="3"/>
  <c r="H72" i="3"/>
  <c r="F73" i="3"/>
  <c r="G73" i="3"/>
  <c r="H73" i="3"/>
  <c r="F74" i="3"/>
  <c r="G74" i="3"/>
  <c r="H74" i="3"/>
  <c r="F75" i="3"/>
  <c r="G75" i="3"/>
  <c r="H75" i="3"/>
  <c r="F76" i="3"/>
  <c r="G76" i="3"/>
  <c r="H76" i="3"/>
  <c r="F77" i="3"/>
  <c r="G77" i="3"/>
  <c r="H77" i="3"/>
  <c r="F78" i="3"/>
  <c r="G78" i="3"/>
  <c r="H78" i="3"/>
  <c r="F79" i="3"/>
  <c r="G79" i="3"/>
  <c r="H79" i="3"/>
  <c r="F80" i="3"/>
  <c r="G80" i="3"/>
  <c r="H80" i="3"/>
  <c r="F81" i="3"/>
  <c r="G81" i="3"/>
  <c r="H81" i="3"/>
  <c r="F82" i="3"/>
  <c r="G82" i="3"/>
  <c r="H82" i="3"/>
  <c r="F83" i="3"/>
  <c r="G83" i="3"/>
  <c r="H83" i="3"/>
  <c r="F84" i="3"/>
  <c r="G84" i="3"/>
  <c r="H84" i="3"/>
  <c r="F85" i="3"/>
  <c r="G85" i="3"/>
  <c r="H85" i="3"/>
  <c r="F86" i="3"/>
  <c r="G86" i="3"/>
  <c r="H86" i="3"/>
  <c r="F87" i="3"/>
  <c r="G87" i="3"/>
  <c r="H87" i="3"/>
  <c r="F88" i="3"/>
  <c r="G88" i="3"/>
  <c r="H88" i="3"/>
  <c r="F89" i="3"/>
  <c r="G89" i="3"/>
  <c r="H89" i="3"/>
  <c r="F90" i="3"/>
  <c r="G90" i="3"/>
  <c r="H90" i="3"/>
  <c r="F91" i="3"/>
  <c r="G91" i="3"/>
  <c r="H91" i="3"/>
  <c r="F92" i="3"/>
  <c r="G92" i="3"/>
  <c r="H92" i="3"/>
  <c r="F93" i="3"/>
  <c r="G93" i="3"/>
  <c r="H93" i="3"/>
  <c r="F94" i="3"/>
  <c r="G94" i="3"/>
  <c r="H94" i="3"/>
  <c r="F95" i="3"/>
  <c r="G95" i="3"/>
  <c r="H95" i="3"/>
  <c r="F96" i="3"/>
  <c r="G96" i="3"/>
  <c r="H96" i="3"/>
  <c r="F97" i="3"/>
  <c r="G97" i="3"/>
  <c r="H97" i="3"/>
  <c r="F98" i="3"/>
  <c r="G98" i="3"/>
  <c r="H98" i="3"/>
  <c r="F99" i="3"/>
  <c r="G99" i="3"/>
  <c r="H99" i="3"/>
  <c r="F100" i="3"/>
  <c r="G100" i="3"/>
  <c r="H100" i="3"/>
  <c r="F101" i="3"/>
  <c r="G101" i="3"/>
  <c r="H101" i="3"/>
  <c r="F103" i="3"/>
  <c r="G103" i="3"/>
  <c r="H103" i="3"/>
  <c r="F104" i="3"/>
  <c r="G104" i="3"/>
  <c r="H104" i="3"/>
  <c r="F105" i="3"/>
  <c r="G105" i="3"/>
  <c r="H105" i="3"/>
  <c r="F106" i="3"/>
  <c r="G106" i="3"/>
  <c r="H106" i="3"/>
  <c r="F107" i="3"/>
  <c r="G107" i="3"/>
  <c r="H107" i="3"/>
  <c r="F108" i="3"/>
  <c r="G108" i="3"/>
  <c r="H108" i="3"/>
  <c r="F109" i="3"/>
  <c r="G109" i="3"/>
  <c r="H109" i="3"/>
  <c r="F110" i="3"/>
  <c r="G110" i="3"/>
  <c r="H110" i="3"/>
  <c r="F111" i="3"/>
  <c r="G111" i="3"/>
  <c r="H111" i="3"/>
  <c r="F112" i="3"/>
  <c r="G112" i="3"/>
  <c r="H112" i="3"/>
  <c r="F113" i="3"/>
  <c r="G113" i="3"/>
  <c r="H113" i="3"/>
  <c r="F114" i="3"/>
  <c r="G114" i="3"/>
  <c r="H114" i="3"/>
  <c r="F115" i="3"/>
  <c r="G115" i="3"/>
  <c r="H115" i="3"/>
  <c r="F116" i="3"/>
  <c r="G116" i="3"/>
  <c r="H116" i="3"/>
  <c r="F117" i="3"/>
  <c r="G117" i="3"/>
  <c r="H117" i="3"/>
  <c r="F118" i="3"/>
  <c r="G118" i="3"/>
  <c r="H118" i="3"/>
  <c r="F119" i="3"/>
  <c r="G119" i="3"/>
  <c r="H119" i="3"/>
  <c r="F120" i="3"/>
  <c r="G120" i="3"/>
  <c r="H120" i="3"/>
  <c r="F121" i="3"/>
  <c r="G121" i="3"/>
  <c r="H121" i="3"/>
  <c r="F122" i="3"/>
  <c r="G122" i="3"/>
  <c r="H122" i="3"/>
  <c r="F123" i="3"/>
  <c r="G123" i="3"/>
  <c r="H123" i="3"/>
  <c r="F124" i="3"/>
  <c r="G124" i="3"/>
  <c r="H124" i="3"/>
  <c r="F125" i="3"/>
  <c r="G125" i="3"/>
  <c r="H125" i="3"/>
  <c r="F126" i="3"/>
  <c r="G126" i="3"/>
  <c r="H126" i="3"/>
  <c r="F127" i="3"/>
  <c r="G127" i="3"/>
  <c r="H127" i="3"/>
  <c r="F128" i="3"/>
  <c r="G128" i="3"/>
  <c r="H128" i="3"/>
  <c r="F129" i="3"/>
  <c r="G129" i="3"/>
  <c r="H129" i="3"/>
  <c r="F130" i="3"/>
  <c r="G130" i="3"/>
  <c r="H130" i="3"/>
  <c r="F131" i="3"/>
  <c r="G131" i="3"/>
  <c r="H131" i="3"/>
  <c r="F132" i="3"/>
  <c r="G132" i="3"/>
  <c r="H132" i="3"/>
  <c r="F133" i="3"/>
  <c r="G133" i="3"/>
  <c r="H133" i="3"/>
  <c r="F134" i="3"/>
  <c r="G134" i="3"/>
  <c r="H134" i="3"/>
  <c r="F135" i="3"/>
  <c r="G135" i="3"/>
  <c r="H135" i="3"/>
  <c r="F136" i="3"/>
  <c r="G136" i="3"/>
  <c r="H136" i="3"/>
  <c r="F137" i="3"/>
  <c r="G137" i="3"/>
  <c r="H137" i="3"/>
  <c r="F138" i="3"/>
  <c r="G138" i="3"/>
  <c r="H138" i="3"/>
  <c r="F139" i="3"/>
  <c r="G139" i="3"/>
  <c r="H139" i="3"/>
  <c r="F140" i="3"/>
  <c r="G140" i="3"/>
  <c r="H140" i="3"/>
  <c r="F141" i="3"/>
  <c r="G141" i="3"/>
  <c r="H141" i="3"/>
  <c r="F142" i="3"/>
  <c r="G142" i="3"/>
  <c r="H142" i="3"/>
  <c r="F143" i="3"/>
  <c r="G143" i="3"/>
  <c r="H143" i="3"/>
  <c r="F144" i="3"/>
  <c r="G144" i="3"/>
  <c r="H144" i="3"/>
  <c r="F145" i="3"/>
  <c r="G145" i="3"/>
  <c r="H145" i="3"/>
  <c r="F146" i="3"/>
  <c r="G146" i="3"/>
  <c r="H146" i="3"/>
  <c r="F147" i="3"/>
  <c r="G147" i="3"/>
  <c r="H147" i="3"/>
  <c r="F148" i="3"/>
  <c r="G148" i="3"/>
  <c r="H148" i="3"/>
  <c r="F149" i="3"/>
  <c r="G149" i="3"/>
  <c r="H149" i="3"/>
  <c r="E55" i="3" l="1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C104" i="3" l="1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03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55" i="3"/>
</calcChain>
</file>

<file path=xl/sharedStrings.xml><?xml version="1.0" encoding="utf-8"?>
<sst xmlns="http://schemas.openxmlformats.org/spreadsheetml/2006/main" count="761" uniqueCount="289">
  <si>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</si>
  <si>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</si>
  <si>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</si>
  <si>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</si>
  <si>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</si>
  <si>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</si>
  <si>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</si>
  <si>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</si>
  <si>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</si>
  <si>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</si>
  <si>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</si>
  <si>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</si>
  <si>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</si>
  <si>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</si>
  <si>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</si>
  <si>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</si>
  <si>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</si>
  <si>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</si>
  <si>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</si>
  <si>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region</t>
  </si>
  <si>
    <t>value</t>
  </si>
  <si>
    <t>commodity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</si>
  <si>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</si>
  <si>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</si>
  <si>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</si>
  <si>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</si>
  <si>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</si>
  <si>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</si>
  <si>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</si>
  <si>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</si>
  <si>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</si>
  <si>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</si>
  <si>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</si>
  <si>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</si>
  <si>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</si>
  <si>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</si>
  <si>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</si>
  <si>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</si>
  <si>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</si>
  <si>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</si>
  <si>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</si>
  <si>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</si>
  <si>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</si>
  <si>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</si>
  <si>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</si>
  <si>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</si>
  <si>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</si>
  <si>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</si>
  <si>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</si>
  <si>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</si>
  <si>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</si>
  <si>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</si>
  <si>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</si>
  <si>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</si>
  <si>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</si>
  <si>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</si>
  <si>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</si>
  <si>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</si>
  <si>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</si>
  <si>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</si>
  <si>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</si>
  <si>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</si>
  <si>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</si>
  <si>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</si>
  <si>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</si>
  <si>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</si>
  <si>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</si>
  <si>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</si>
  <si>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</si>
  <si>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</si>
  <si>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</si>
  <si>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</si>
  <si>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</si>
  <si>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</si>
  <si>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</si>
  <si>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</si>
  <si>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</si>
  <si>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</si>
  <si>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</si>
  <si>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</si>
  <si>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</si>
  <si>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</si>
  <si>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</si>
  <si>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</si>
  <si>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</si>
  <si>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</si>
  <si>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</si>
  <si>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</si>
  <si>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</si>
  <si>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</si>
  <si>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</si>
  <si>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</si>
  <si>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</si>
  <si>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</si>
  <si>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</si>
  <si>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</si>
  <si>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</si>
  <si>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</si>
  <si>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</si>
  <si>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</si>
  <si>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</si>
  <si>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</si>
  <si>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</si>
  <si>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</si>
  <si>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</si>
  <si>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</si>
  <si>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</si>
  <si>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</si>
  <si>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</si>
  <si>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Material composition</t>
  </si>
  <si>
    <t>major construction materials</t>
  </si>
  <si>
    <t>engineering_material</t>
  </si>
  <si>
    <t>age-cohort</t>
  </si>
  <si>
    <t>stone</t>
  </si>
  <si>
    <t>glass</t>
  </si>
  <si>
    <t>3_MC_nonresidential_buildings_Germany_per_area_IOER</t>
  </si>
  <si>
    <t>Baumaterialgruppen</t>
  </si>
  <si>
    <t>Summe</t>
  </si>
  <si>
    <t xml:space="preserve"> t</t>
  </si>
  <si>
    <t>Standardbeton</t>
  </si>
  <si>
    <t>Leichtbeton</t>
  </si>
  <si>
    <t>Ziegelsteine</t>
  </si>
  <si>
    <t>Ziegelsteine mit Dämmung</t>
  </si>
  <si>
    <t>Ziegeldeckung</t>
  </si>
  <si>
    <t>Asbestzementplatten</t>
  </si>
  <si>
    <t>Asbesthaltige Dachdeckung</t>
  </si>
  <si>
    <t>Kalkhaltige Putze, Mörtel</t>
  </si>
  <si>
    <t>Gips-/anhydrithaltige Putze, Mörtel</t>
  </si>
  <si>
    <t>Ton-/lehmhaltige Putze, Mörtel</t>
  </si>
  <si>
    <t>Putze, Mörtel mit synthetischen Anteilen</t>
  </si>
  <si>
    <t>Kalkhaltige Estriche</t>
  </si>
  <si>
    <t>Gips-/anhydrithaltige Estriche</t>
  </si>
  <si>
    <t>Trockenestrich (gips-/anhydrithaltig)</t>
  </si>
  <si>
    <t>Estriche mit synthetischen Anteilen</t>
  </si>
  <si>
    <t>Kalksandsteine</t>
  </si>
  <si>
    <t>Porenbetonsteine</t>
  </si>
  <si>
    <t>Betonsteine</t>
  </si>
  <si>
    <t>Lehmsteine</t>
  </si>
  <si>
    <t>Gips-/Gipskartonplatten</t>
  </si>
  <si>
    <t>Mineralische Bauplatten</t>
  </si>
  <si>
    <t>Mineralische Wärmedämmstoffe</t>
  </si>
  <si>
    <t>Betondachsteindeckung</t>
  </si>
  <si>
    <t>Faserzementdeckung</t>
  </si>
  <si>
    <t>Schieferdeckung</t>
  </si>
  <si>
    <t>Substratschicht ("Gründach")</t>
  </si>
  <si>
    <t>Mineralische Schüttungen</t>
  </si>
  <si>
    <t>Glas</t>
  </si>
  <si>
    <t>Natursteine</t>
  </si>
  <si>
    <t>Sonstige mineralische Baustoffe</t>
  </si>
  <si>
    <t>Schnittholz</t>
  </si>
  <si>
    <t>Verarbeitetes Holz</t>
  </si>
  <si>
    <t>Nachwachsende Wärmedämmstoffe</t>
  </si>
  <si>
    <t>Stroh-/Schilfdeckung</t>
  </si>
  <si>
    <t>Sonstige Materialien (nicht mineralisch)</t>
  </si>
  <si>
    <t>Erdölbasierte Wärmedämmstoffe</t>
  </si>
  <si>
    <t>Kunststoffdachdeckung</t>
  </si>
  <si>
    <t>Erdölbasierte Beläge, Dichtungsbahnen</t>
  </si>
  <si>
    <t>Bitumendachdeckung</t>
  </si>
  <si>
    <t>Bitumenhaltige Beläge, Dichtungsbahnen</t>
  </si>
  <si>
    <t>Metalldachdeckung</t>
  </si>
  <si>
    <t>Eisenmetalle</t>
  </si>
  <si>
    <t>Aluminiumhaltige Beläge, Dichtungsbahnen</t>
  </si>
  <si>
    <t>Aluminium</t>
  </si>
  <si>
    <t>Kupfer</t>
  </si>
  <si>
    <t>Sonstige Nichteisenmetalle</t>
  </si>
  <si>
    <t>concrete, standard</t>
  </si>
  <si>
    <t>concrete, lightweight</t>
  </si>
  <si>
    <t>bricks</t>
  </si>
  <si>
    <t>bricks with insulation</t>
  </si>
  <si>
    <t>roof tiles</t>
  </si>
  <si>
    <t>plastering and mortar based on gypsum and anhydrite</t>
  </si>
  <si>
    <t>plastering and mortar with synthetic components</t>
  </si>
  <si>
    <t>screed, based on gypsum and anhydrite</t>
  </si>
  <si>
    <t>dry screed, containing gypsum and anhydrite</t>
  </si>
  <si>
    <t>screed with synthetic components</t>
  </si>
  <si>
    <t>concrete blocks</t>
  </si>
  <si>
    <t>gypsum plasterboard</t>
  </si>
  <si>
    <t>mineralic building boards</t>
  </si>
  <si>
    <t>insulation material, mineralic</t>
  </si>
  <si>
    <t>roofing tile, concrete</t>
  </si>
  <si>
    <t>roofing tile, fibre cement</t>
  </si>
  <si>
    <t>roofing tile, slate</t>
  </si>
  <si>
    <t>other mineralic construction material</t>
  </si>
  <si>
    <t>sawnwood</t>
  </si>
  <si>
    <t>processed wood</t>
  </si>
  <si>
    <t>bio-based insulation material</t>
  </si>
  <si>
    <t>roof cover, reed or straw</t>
  </si>
  <si>
    <t>other non-mineralic construction materials</t>
  </si>
  <si>
    <t>insulation material, petroleum-based</t>
  </si>
  <si>
    <t>roof cover made of plastics</t>
  </si>
  <si>
    <t>sealing sheeting, petroleum-based</t>
  </si>
  <si>
    <t>roof cover made of bitumen</t>
  </si>
  <si>
    <t>ferrous metals</t>
  </si>
  <si>
    <t>aluminium</t>
  </si>
  <si>
    <t>copper</t>
  </si>
  <si>
    <t>other nonferrous metals</t>
  </si>
  <si>
    <t>gross floor area (m²)</t>
  </si>
  <si>
    <t>Germany</t>
  </si>
  <si>
    <t>ca. 2020</t>
  </si>
  <si>
    <t>gross building volume (m³)</t>
  </si>
  <si>
    <t>Nichtwohngebäude Deutschland</t>
  </si>
  <si>
    <t>per volume</t>
  </si>
  <si>
    <t>per area</t>
  </si>
  <si>
    <t>nonresidential buildings</t>
  </si>
  <si>
    <t>Construction material groups</t>
  </si>
  <si>
    <t>Anstaltsgebäude</t>
  </si>
  <si>
    <t>office buildings</t>
  </si>
  <si>
    <t>Büro- und Verwaltungsgebäude</t>
  </si>
  <si>
    <t>Publicly available dataset, static web page</t>
  </si>
  <si>
    <t xml:space="preserve">Leibniz-Institut für ökologische Raumentwicklung e. V. </t>
  </si>
  <si>
    <t>xlsx spreadsheet</t>
  </si>
  <si>
    <t>Materials divided by the gross volume to calculate material intensity</t>
  </si>
  <si>
    <t>Stefan Pauliuk</t>
  </si>
  <si>
    <t>added age-cohort aspect</t>
  </si>
  <si>
    <t>Value(r,c,m,g)</t>
  </si>
  <si>
    <t>[Layer] measuring [data type] of [Aspect 3] in [Aspect 4] in [Aspect 1] built in [Aspect 2] is [Value].</t>
  </si>
  <si>
    <t>use phase</t>
  </si>
  <si>
    <t>one aggregate process</t>
  </si>
  <si>
    <t>one representative value</t>
  </si>
  <si>
    <t>Material content of nonresidential buildings in Germany, average values based on a sample of real projects from the BKI-Database</t>
  </si>
  <si>
    <t>Representative (synthetic) sample, aggregated from survey results</t>
  </si>
  <si>
    <t>Landwirtschaftliche Betriebsgebäude</t>
  </si>
  <si>
    <t>agricultural buildings</t>
  </si>
  <si>
    <t>Fabrik-und Werkstattgebäude</t>
  </si>
  <si>
    <t>factory and workshop buildings</t>
  </si>
  <si>
    <t>Handelsgebäude</t>
  </si>
  <si>
    <t>Hotels und Gaststätten</t>
  </si>
  <si>
    <t>institutions</t>
  </si>
  <si>
    <t>commercial buildings</t>
  </si>
  <si>
    <t>hotels and restaurants</t>
  </si>
  <si>
    <t>Warenlagergebäude</t>
  </si>
  <si>
    <t>storage buildings</t>
  </si>
  <si>
    <t>Sonstige Nichtwohngebäude</t>
  </si>
  <si>
    <t>Sonstige nichtlandwirtschaftliche Betriebsgebäude</t>
  </si>
  <si>
    <t>other nonresidential buildings</t>
  </si>
  <si>
    <t>other service buildings, not agricultural</t>
  </si>
  <si>
    <t>Pflegeheime</t>
  </si>
  <si>
    <t>nursery home</t>
  </si>
  <si>
    <t>Feuerwehrhäuser/Rettungswachen</t>
  </si>
  <si>
    <t>Landwirtschaftliche Hallen</t>
  </si>
  <si>
    <t>fire station / resque station</t>
  </si>
  <si>
    <t>agricultural sheds</t>
  </si>
  <si>
    <t>Hotels/Gästehäuser</t>
  </si>
  <si>
    <t>Autohäuser</t>
  </si>
  <si>
    <t>Verbrauchermärkte</t>
  </si>
  <si>
    <t>Lagerhallen</t>
  </si>
  <si>
    <t>Produktionshallen</t>
  </si>
  <si>
    <t>hotels and guest houses</t>
  </si>
  <si>
    <t>car dealership</t>
  </si>
  <si>
    <t>supermarkets</t>
  </si>
  <si>
    <t>warehouse</t>
  </si>
  <si>
    <t>production halls</t>
  </si>
  <si>
    <t>Sport- und Mehrzweckhallen</t>
  </si>
  <si>
    <t>Blockheizkraftwerke</t>
  </si>
  <si>
    <t>Allgemeinbildende Schulen</t>
  </si>
  <si>
    <t>Tiefgaragen</t>
  </si>
  <si>
    <t>Parkhäuser/-decks</t>
  </si>
  <si>
    <t>Kindertagesstätten/Kindergärten</t>
  </si>
  <si>
    <t>sport hall / multi-purpose hall</t>
  </si>
  <si>
    <t>decentral combined heat and power station</t>
  </si>
  <si>
    <t>schools</t>
  </si>
  <si>
    <t>underground parking</t>
  </si>
  <si>
    <t>multi-storey car park / parking deck</t>
  </si>
  <si>
    <t>kindergarten</t>
  </si>
  <si>
    <t>25 different building types/groups of nonresidential buildings</t>
  </si>
  <si>
    <t>t</t>
  </si>
  <si>
    <t>m3</t>
  </si>
  <si>
    <t>Mass per volume</t>
  </si>
  <si>
    <t>material; material content; non-residential buildings; Germany; buildings; building materials; construction materials; gross building volume</t>
  </si>
  <si>
    <t>Mass per volume measuring material composition of standard concrete in multi-story car park in Germany built in ca. 2020 is 0.507 t/m³.</t>
  </si>
  <si>
    <t>country sample</t>
  </si>
  <si>
    <t>46 materials</t>
  </si>
  <si>
    <t>non-residential buildings</t>
  </si>
  <si>
    <t>other non-residential buildings</t>
  </si>
  <si>
    <t>data converted from material content of a typical building, divided by its gross building volume ('Bruttorauminhalt'). Two independent datasets on office buildings (listed twice).</t>
  </si>
  <si>
    <t>https://ioer-isbe.de/en/resources/construction-data/non-residential-buildings</t>
  </si>
  <si>
    <t>asbestos cement panels</t>
  </si>
  <si>
    <t>sand-lime bricks</t>
  </si>
  <si>
    <t>calcareous screeds</t>
  </si>
  <si>
    <t>plastering and mortar based on clay and loam</t>
  </si>
  <si>
    <t>asbestos roofing</t>
  </si>
  <si>
    <t>calcareous plaster mortar</t>
  </si>
  <si>
    <t>aerated concrete blocks</t>
  </si>
  <si>
    <t>mud bricks</t>
  </si>
  <si>
    <t>substrate layer (green roof)</t>
  </si>
  <si>
    <t>mineral fillings</t>
  </si>
  <si>
    <t>bituminous coverings, waterproofing membranes</t>
  </si>
  <si>
    <t>metal roofing</t>
  </si>
  <si>
    <t>coverings containing aluminum, sealing membranes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</si>
</sst>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left"/>
    </xf>
    <xf numFmtId="0" fontId="11" fillId="0" borderId="11" xfId="0" applyFont="1" applyBorder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1" fillId="0" borderId="0" xfId="0" applyFont="1" applyFill="1" applyBorder="1"/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opLeftCell="B36" zoomScale="80" zoomScaleNormal="80" workbookViewId="0">
      <selection activeCell="I50" sqref="I50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0" width="13.83984375" customWidth="1"/>
    <col min="11" max="11" width="15.47265625" bestFit="1" customWidth="1"/>
  </cols>
  <sheetData>
    <row r="1" spans="1:12" x14ac:dyDescent="0.55000000000000004">
      <c r="E1" s="1"/>
      <c r="H1" s="9"/>
    </row>
    <row r="2" spans="1:12" ht="15.6" x14ac:dyDescent="0.6">
      <c r="B2" s="86" t="s">
        <v>22</v>
      </c>
      <c r="C2" s="87"/>
      <c r="D2" s="88"/>
      <c r="E2" s="1"/>
      <c r="F2" s="86" t="s">
        <v>23</v>
      </c>
      <c r="G2" s="87"/>
      <c r="H2" s="87"/>
      <c r="I2" s="87"/>
      <c r="J2" s="87"/>
      <c r="K2" s="88"/>
      <c r="L2" s="1"/>
    </row>
    <row r="3" spans="1:12" x14ac:dyDescent="0.55000000000000004">
      <c r="A3" s="12"/>
      <c r="B3" s="13"/>
      <c r="C3" s="14" t="s">
        <v>24</v>
      </c>
      <c r="D3" s="15" t="s">
        <v>25</v>
      </c>
      <c r="E3" s="1"/>
      <c r="L3" s="1"/>
    </row>
    <row r="4" spans="1:12" x14ac:dyDescent="0.55000000000000004">
      <c r="A4" s="12">
        <v>1</v>
      </c>
      <c r="B4" s="89" t="s">
        <v>26</v>
      </c>
      <c r="C4" s="16" t="s">
        <v>27</v>
      </c>
      <c r="D4" s="17" t="s">
        <v>28</v>
      </c>
      <c r="E4" s="1" t="s">
        <v>14</v>
      </c>
      <c r="F4" s="18" t="s">
        <v>29</v>
      </c>
      <c r="G4" s="19"/>
      <c r="H4" s="19"/>
      <c r="I4" s="19"/>
      <c r="J4" s="19"/>
      <c r="K4" s="20"/>
      <c r="L4" s="1"/>
    </row>
    <row r="5" spans="1:12" x14ac:dyDescent="0.55000000000000004">
      <c r="A5" s="12">
        <v>2</v>
      </c>
      <c r="B5" s="90"/>
      <c r="C5" s="21" t="s">
        <v>30</v>
      </c>
      <c r="D5" s="22" t="s">
        <v>115</v>
      </c>
      <c r="E5" s="1" t="s">
        <v>14</v>
      </c>
      <c r="F5" s="23"/>
      <c r="G5" s="24"/>
      <c r="H5" s="24"/>
      <c r="I5" s="24"/>
      <c r="J5" s="24"/>
      <c r="K5" s="25"/>
      <c r="L5" s="1"/>
    </row>
    <row r="6" spans="1:12" x14ac:dyDescent="0.55000000000000004">
      <c r="A6" s="12">
        <v>3</v>
      </c>
      <c r="B6" s="26"/>
      <c r="C6" s="21" t="s">
        <v>31</v>
      </c>
      <c r="D6" s="22" t="s">
        <v>16</v>
      </c>
      <c r="E6" s="1" t="s">
        <v>14</v>
      </c>
      <c r="F6" s="27" t="s">
        <v>0</v>
      </c>
      <c r="G6" s="28" t="s">
        <v>8</v>
      </c>
      <c r="H6" s="29" t="s">
        <v>33</v>
      </c>
      <c r="I6" s="29" t="s">
        <v>34</v>
      </c>
      <c r="J6" s="24"/>
      <c r="K6" s="25"/>
      <c r="L6" s="1"/>
    </row>
    <row r="7" spans="1:12" x14ac:dyDescent="0.55000000000000004">
      <c r="A7" s="12">
        <v>4</v>
      </c>
      <c r="B7" s="91" t="s">
        <v>35</v>
      </c>
      <c r="C7" s="21" t="s">
        <v>36</v>
      </c>
      <c r="D7" s="22" t="s">
        <v>32</v>
      </c>
      <c r="E7" s="1" t="s">
        <v>14</v>
      </c>
      <c r="F7" s="27" t="s">
        <v>1</v>
      </c>
      <c r="G7" s="30" t="s">
        <v>15</v>
      </c>
      <c r="H7" s="31" t="s">
        <v>265</v>
      </c>
      <c r="I7" s="31" t="s">
        <v>266</v>
      </c>
      <c r="J7" s="24"/>
      <c r="K7" s="25"/>
      <c r="L7" s="1"/>
    </row>
    <row r="8" spans="1:12" x14ac:dyDescent="0.55000000000000004">
      <c r="A8" s="12">
        <v>5</v>
      </c>
      <c r="B8" s="91"/>
      <c r="C8" s="21" t="s">
        <v>37</v>
      </c>
      <c r="D8" s="22">
        <v>3</v>
      </c>
      <c r="E8" s="1" t="s">
        <v>14</v>
      </c>
      <c r="F8" s="27" t="s">
        <v>3</v>
      </c>
      <c r="G8" s="30" t="s">
        <v>15</v>
      </c>
      <c r="H8" s="32" t="s">
        <v>16</v>
      </c>
      <c r="I8" s="32"/>
      <c r="J8" s="24"/>
      <c r="K8" s="25"/>
      <c r="L8" s="1"/>
    </row>
    <row r="9" spans="1:12" x14ac:dyDescent="0.55000000000000004">
      <c r="A9" s="12">
        <v>6</v>
      </c>
      <c r="B9" s="91"/>
      <c r="C9" s="21" t="s">
        <v>38</v>
      </c>
      <c r="D9" s="22" t="s">
        <v>109</v>
      </c>
      <c r="E9" s="1" t="s">
        <v>14</v>
      </c>
      <c r="F9" s="27" t="s">
        <v>4</v>
      </c>
      <c r="G9" s="30" t="s">
        <v>15</v>
      </c>
      <c r="H9" s="32" t="s">
        <v>16</v>
      </c>
      <c r="I9" s="32"/>
      <c r="J9" s="24"/>
      <c r="K9" s="25"/>
      <c r="L9" s="1"/>
    </row>
    <row r="10" spans="1:12" x14ac:dyDescent="0.55000000000000004">
      <c r="A10" s="12">
        <v>7</v>
      </c>
      <c r="B10" s="91"/>
      <c r="C10" s="21" t="s">
        <v>39</v>
      </c>
      <c r="D10" s="22" t="s">
        <v>267</v>
      </c>
      <c r="E10" s="1" t="s">
        <v>14</v>
      </c>
      <c r="F10" s="33" t="s">
        <v>2</v>
      </c>
      <c r="G10" s="34" t="s">
        <v>9</v>
      </c>
      <c r="H10" s="35" t="s">
        <v>7</v>
      </c>
      <c r="I10" s="75">
        <v>46</v>
      </c>
      <c r="J10" s="35" t="s">
        <v>10</v>
      </c>
      <c r="K10" s="75">
        <v>25</v>
      </c>
      <c r="L10" s="1"/>
    </row>
    <row r="11" spans="1:12" x14ac:dyDescent="0.55000000000000004">
      <c r="A11" s="12">
        <v>8</v>
      </c>
      <c r="B11" s="92" t="s">
        <v>40</v>
      </c>
      <c r="C11" s="36" t="s">
        <v>41</v>
      </c>
      <c r="D11" s="22" t="s">
        <v>216</v>
      </c>
      <c r="E11" s="1" t="s">
        <v>14</v>
      </c>
      <c r="F11" s="33" t="s">
        <v>11</v>
      </c>
      <c r="G11" s="37" t="s">
        <v>17</v>
      </c>
      <c r="H11" s="37" t="s">
        <v>12</v>
      </c>
      <c r="I11" s="37" t="s">
        <v>18</v>
      </c>
      <c r="J11" s="37" t="s">
        <v>5</v>
      </c>
      <c r="K11" s="38" t="s">
        <v>6</v>
      </c>
      <c r="L11" s="1"/>
    </row>
    <row r="12" spans="1:12" x14ac:dyDescent="0.55000000000000004">
      <c r="A12" s="12">
        <v>9</v>
      </c>
      <c r="B12" s="93"/>
      <c r="C12" s="39" t="s">
        <v>42</v>
      </c>
      <c r="D12" s="22" t="s">
        <v>217</v>
      </c>
      <c r="E12" s="1" t="s">
        <v>14</v>
      </c>
      <c r="F12" s="40" t="s">
        <v>19</v>
      </c>
      <c r="G12" s="41">
        <v>1</v>
      </c>
      <c r="H12" s="30" t="s">
        <v>21</v>
      </c>
      <c r="I12" s="41">
        <v>1</v>
      </c>
      <c r="J12" s="30" t="s">
        <v>13</v>
      </c>
      <c r="K12" s="42" t="s">
        <v>20</v>
      </c>
      <c r="L12" s="1"/>
    </row>
    <row r="13" spans="1:12" x14ac:dyDescent="0.55000000000000004">
      <c r="A13" s="12">
        <v>10</v>
      </c>
      <c r="B13" s="93"/>
      <c r="C13" s="39" t="s">
        <v>43</v>
      </c>
      <c r="D13" s="22" t="s">
        <v>203</v>
      </c>
      <c r="E13" s="1" t="s">
        <v>14</v>
      </c>
      <c r="F13" s="40" t="s">
        <v>112</v>
      </c>
      <c r="G13" s="41">
        <v>1</v>
      </c>
      <c r="H13" s="46"/>
      <c r="I13" s="46"/>
      <c r="J13" s="43" t="s">
        <v>14</v>
      </c>
      <c r="K13" s="44" t="s">
        <v>14</v>
      </c>
      <c r="L13" s="1"/>
    </row>
    <row r="14" spans="1:12" x14ac:dyDescent="0.55000000000000004">
      <c r="A14" s="12">
        <v>11</v>
      </c>
      <c r="B14" s="93"/>
      <c r="C14" s="39" t="s">
        <v>44</v>
      </c>
      <c r="D14" s="22" t="s">
        <v>264</v>
      </c>
      <c r="E14" s="1" t="s">
        <v>14</v>
      </c>
      <c r="F14" s="40" t="s">
        <v>111</v>
      </c>
      <c r="G14" s="41">
        <v>1</v>
      </c>
      <c r="H14" s="46"/>
      <c r="I14" s="47"/>
      <c r="J14" s="48"/>
      <c r="K14" s="49"/>
      <c r="L14" s="1"/>
    </row>
    <row r="15" spans="1:12" x14ac:dyDescent="0.55000000000000004">
      <c r="A15" s="12">
        <v>12</v>
      </c>
      <c r="B15" s="93"/>
      <c r="C15" s="39" t="s">
        <v>45</v>
      </c>
      <c r="D15" s="22" t="s">
        <v>110</v>
      </c>
      <c r="E15" s="1" t="s">
        <v>14</v>
      </c>
      <c r="F15" s="64"/>
      <c r="G15" s="45"/>
      <c r="H15" s="46"/>
      <c r="I15" s="47"/>
      <c r="J15" s="48"/>
      <c r="K15" s="49"/>
      <c r="L15" s="1"/>
    </row>
    <row r="16" spans="1:12" x14ac:dyDescent="0.55000000000000004">
      <c r="A16" s="12">
        <v>13</v>
      </c>
      <c r="B16" s="93"/>
      <c r="C16" s="39" t="s">
        <v>46</v>
      </c>
      <c r="D16" s="22" t="s">
        <v>271</v>
      </c>
      <c r="E16" s="1" t="s">
        <v>14</v>
      </c>
      <c r="F16" s="64"/>
      <c r="G16" s="50"/>
      <c r="H16" s="46"/>
      <c r="I16" s="47"/>
      <c r="J16" s="51"/>
      <c r="K16" s="52"/>
      <c r="L16" s="1"/>
    </row>
    <row r="17" spans="1:29" x14ac:dyDescent="0.55000000000000004">
      <c r="A17" s="12">
        <v>14</v>
      </c>
      <c r="B17" s="93"/>
      <c r="C17" s="39" t="s">
        <v>47</v>
      </c>
      <c r="D17" s="22" t="s">
        <v>197</v>
      </c>
      <c r="E17" s="1" t="s">
        <v>14</v>
      </c>
      <c r="F17" s="65"/>
      <c r="G17" s="66"/>
      <c r="H17" s="24"/>
      <c r="I17" s="24"/>
      <c r="J17" s="24"/>
      <c r="K17" s="53"/>
      <c r="L17" s="1"/>
    </row>
    <row r="18" spans="1:29" x14ac:dyDescent="0.55000000000000004">
      <c r="A18" s="12">
        <v>15</v>
      </c>
      <c r="B18" s="93"/>
      <c r="C18" s="39" t="s">
        <v>48</v>
      </c>
      <c r="D18" s="22" t="s">
        <v>270</v>
      </c>
      <c r="E18" s="1" t="s">
        <v>14</v>
      </c>
      <c r="F18" s="65"/>
      <c r="G18" s="66"/>
      <c r="H18" s="24"/>
      <c r="I18" s="24"/>
      <c r="J18" s="24"/>
      <c r="K18" s="53"/>
      <c r="L18" s="1"/>
    </row>
    <row r="19" spans="1:29" x14ac:dyDescent="0.55000000000000004">
      <c r="A19" s="12">
        <v>16</v>
      </c>
      <c r="B19" s="93"/>
      <c r="C19" s="39" t="s">
        <v>49</v>
      </c>
      <c r="D19" s="22" t="s">
        <v>198</v>
      </c>
      <c r="E19" s="1" t="s">
        <v>14</v>
      </c>
      <c r="F19" s="65"/>
      <c r="G19" s="66"/>
      <c r="H19" s="24"/>
      <c r="I19" s="24"/>
      <c r="J19" s="24"/>
      <c r="K19" s="53"/>
      <c r="L19" s="1"/>
    </row>
    <row r="20" spans="1:29" x14ac:dyDescent="0.55000000000000004">
      <c r="A20" s="12">
        <v>17</v>
      </c>
      <c r="B20" s="93"/>
      <c r="C20" s="39" t="s">
        <v>50</v>
      </c>
      <c r="D20" s="22" t="s">
        <v>218</v>
      </c>
      <c r="E20" s="1" t="s">
        <v>14</v>
      </c>
      <c r="F20" s="65"/>
      <c r="G20" s="66"/>
      <c r="H20" s="24"/>
      <c r="I20" s="24"/>
      <c r="J20" s="24"/>
      <c r="K20" s="53"/>
      <c r="L20" s="1"/>
    </row>
    <row r="21" spans="1:29" x14ac:dyDescent="0.55000000000000004">
      <c r="A21" s="12">
        <v>18</v>
      </c>
      <c r="B21" s="94" t="s">
        <v>51</v>
      </c>
      <c r="C21" s="39" t="s">
        <v>52</v>
      </c>
      <c r="D21" s="22" t="s">
        <v>219</v>
      </c>
      <c r="E21" s="1" t="s">
        <v>14</v>
      </c>
      <c r="F21" s="54"/>
      <c r="G21" s="55"/>
      <c r="H21" s="55"/>
      <c r="I21" s="55"/>
      <c r="J21" s="55"/>
      <c r="K21" s="56"/>
      <c r="L21" s="1"/>
    </row>
    <row r="22" spans="1:29" x14ac:dyDescent="0.55000000000000004">
      <c r="A22" s="12">
        <v>19</v>
      </c>
      <c r="B22" s="94"/>
      <c r="C22" s="39" t="s">
        <v>53</v>
      </c>
      <c r="D22" s="22" t="s">
        <v>268</v>
      </c>
      <c r="E22" s="1" t="s">
        <v>14</v>
      </c>
      <c r="G22" s="5"/>
      <c r="H22" s="5"/>
      <c r="L22" s="1"/>
    </row>
    <row r="23" spans="1:29" x14ac:dyDescent="0.55000000000000004">
      <c r="A23" s="12">
        <v>20</v>
      </c>
      <c r="B23" s="94"/>
      <c r="C23" s="36" t="s">
        <v>54</v>
      </c>
      <c r="D23" s="22" t="s">
        <v>220</v>
      </c>
      <c r="E23" s="1" t="s">
        <v>14</v>
      </c>
      <c r="G23" s="5"/>
      <c r="H23" s="5"/>
      <c r="L23" s="1"/>
    </row>
    <row r="24" spans="1:29" x14ac:dyDescent="0.55000000000000004">
      <c r="A24" s="12">
        <v>21</v>
      </c>
      <c r="B24" s="94"/>
      <c r="C24" s="36" t="s">
        <v>55</v>
      </c>
      <c r="D24" s="22">
        <v>1150</v>
      </c>
      <c r="E24" s="1" t="s">
        <v>14</v>
      </c>
      <c r="G24" s="5"/>
      <c r="H24" s="4"/>
      <c r="L24" s="1"/>
    </row>
    <row r="25" spans="1:29" x14ac:dyDescent="0.55000000000000004">
      <c r="A25" s="12">
        <v>22</v>
      </c>
      <c r="B25" s="94"/>
      <c r="C25" s="39" t="s">
        <v>56</v>
      </c>
      <c r="D25" s="22" t="s">
        <v>274</v>
      </c>
      <c r="E25" s="1" t="s">
        <v>14</v>
      </c>
      <c r="G25" s="5"/>
      <c r="H25" s="4"/>
      <c r="L25" s="1"/>
    </row>
    <row r="26" spans="1:29" x14ac:dyDescent="0.55000000000000004">
      <c r="A26" s="12">
        <v>23</v>
      </c>
      <c r="B26" s="81" t="s">
        <v>57</v>
      </c>
      <c r="C26" s="57" t="s">
        <v>58</v>
      </c>
      <c r="D26" s="59" t="s">
        <v>19</v>
      </c>
      <c r="E26" s="1" t="s">
        <v>14</v>
      </c>
      <c r="G26" s="5"/>
      <c r="H26" s="5"/>
      <c r="L26" s="1"/>
    </row>
    <row r="27" spans="1:29" x14ac:dyDescent="0.55000000000000004">
      <c r="A27" s="12">
        <v>24</v>
      </c>
      <c r="B27" s="81"/>
      <c r="C27" s="57" t="s">
        <v>59</v>
      </c>
      <c r="D27" s="58">
        <v>2</v>
      </c>
      <c r="E27" s="1" t="s">
        <v>14</v>
      </c>
      <c r="H27" s="7"/>
      <c r="I27" s="7"/>
      <c r="J27" s="7"/>
      <c r="K27" s="7"/>
      <c r="L27" s="8"/>
    </row>
    <row r="28" spans="1:29" x14ac:dyDescent="0.55000000000000004">
      <c r="A28" s="12">
        <v>25</v>
      </c>
      <c r="B28" s="81"/>
      <c r="C28" s="57" t="s">
        <v>60</v>
      </c>
      <c r="D28" s="58" t="s">
        <v>112</v>
      </c>
      <c r="E28" s="1" t="s">
        <v>14</v>
      </c>
      <c r="F28" s="7"/>
      <c r="H28" s="7"/>
      <c r="I28" s="7"/>
      <c r="J28" s="7"/>
      <c r="K28" s="7"/>
      <c r="L28" s="8"/>
    </row>
    <row r="29" spans="1:29" x14ac:dyDescent="0.55000000000000004">
      <c r="A29" s="12">
        <v>26</v>
      </c>
      <c r="B29" s="81"/>
      <c r="C29" s="57" t="s">
        <v>61</v>
      </c>
      <c r="D29" s="58">
        <v>9</v>
      </c>
      <c r="E29" s="1" t="s">
        <v>14</v>
      </c>
      <c r="F29" s="7"/>
      <c r="H29" s="7"/>
      <c r="I29" s="7"/>
      <c r="J29" s="7"/>
      <c r="K29" s="7"/>
      <c r="L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55000000000000004">
      <c r="A30" s="12">
        <v>27</v>
      </c>
      <c r="B30" s="81"/>
      <c r="C30" s="57" t="s">
        <v>62</v>
      </c>
      <c r="D30" s="58" t="s">
        <v>111</v>
      </c>
      <c r="E30" s="1" t="s">
        <v>14</v>
      </c>
      <c r="F30" s="7"/>
      <c r="H30" s="7"/>
      <c r="I30" s="7"/>
      <c r="J30" s="7"/>
      <c r="K30" s="7"/>
      <c r="L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55000000000000004">
      <c r="A31" s="12">
        <v>28</v>
      </c>
      <c r="B31" s="81"/>
      <c r="C31" s="57" t="s">
        <v>63</v>
      </c>
      <c r="D31" s="58">
        <v>4</v>
      </c>
      <c r="E31" s="1" t="s">
        <v>14</v>
      </c>
      <c r="F31" s="7"/>
      <c r="H31" s="7"/>
      <c r="I31" s="7"/>
      <c r="J31" s="7"/>
      <c r="K31" s="7"/>
      <c r="L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55000000000000004">
      <c r="A32" s="12">
        <v>29</v>
      </c>
      <c r="B32" s="81"/>
      <c r="C32" s="57" t="s">
        <v>64</v>
      </c>
      <c r="D32" s="58" t="s">
        <v>21</v>
      </c>
      <c r="E32" s="1" t="s">
        <v>14</v>
      </c>
      <c r="F32" s="7"/>
      <c r="H32" s="6"/>
      <c r="I32" s="6"/>
      <c r="J32" s="7"/>
      <c r="K32" s="7"/>
      <c r="L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55000000000000004">
      <c r="A33" s="12">
        <v>30</v>
      </c>
      <c r="B33" s="81"/>
      <c r="C33" s="57" t="s">
        <v>65</v>
      </c>
      <c r="D33" s="59">
        <v>13</v>
      </c>
      <c r="E33" s="1" t="s">
        <v>14</v>
      </c>
      <c r="F33" s="7"/>
      <c r="G33" s="7"/>
      <c r="H33" s="7"/>
      <c r="I33" s="7"/>
      <c r="J33" s="7"/>
      <c r="K33" s="7"/>
      <c r="L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55000000000000004">
      <c r="A34" s="12">
        <v>31</v>
      </c>
      <c r="B34" s="81"/>
      <c r="C34" s="57" t="s">
        <v>66</v>
      </c>
      <c r="D34" s="58" t="s">
        <v>16</v>
      </c>
      <c r="E34" s="1" t="s">
        <v>14</v>
      </c>
      <c r="F34" s="7"/>
      <c r="G34" s="7"/>
      <c r="H34" s="7"/>
      <c r="I34" s="7"/>
      <c r="J34" s="7"/>
      <c r="K34" s="7"/>
      <c r="L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55000000000000004">
      <c r="A35" s="12">
        <v>32</v>
      </c>
      <c r="B35" s="81"/>
      <c r="C35" s="57" t="s">
        <v>67</v>
      </c>
      <c r="D35" s="58" t="s">
        <v>16</v>
      </c>
      <c r="E35" s="1" t="s">
        <v>14</v>
      </c>
      <c r="F35" s="7"/>
      <c r="G35" s="7"/>
      <c r="H35" s="7"/>
      <c r="I35" s="7"/>
      <c r="J35" s="7"/>
      <c r="K35" s="7"/>
      <c r="L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55000000000000004">
      <c r="A36" s="12">
        <v>33</v>
      </c>
      <c r="B36" s="81"/>
      <c r="C36" s="57" t="s">
        <v>68</v>
      </c>
      <c r="D36" s="58" t="s">
        <v>16</v>
      </c>
      <c r="E36" s="1" t="s">
        <v>14</v>
      </c>
      <c r="F36" s="7"/>
      <c r="G36" s="7"/>
      <c r="H36" s="7"/>
      <c r="I36" s="7"/>
      <c r="J36" s="7"/>
      <c r="K36" s="7"/>
      <c r="L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55000000000000004">
      <c r="A37" s="12">
        <v>34</v>
      </c>
      <c r="B37" s="81"/>
      <c r="C37" s="57" t="s">
        <v>69</v>
      </c>
      <c r="D37" s="58" t="s">
        <v>16</v>
      </c>
      <c r="E37" s="1" t="s">
        <v>14</v>
      </c>
      <c r="R37" s="7"/>
      <c r="S37" s="7"/>
      <c r="T37" s="7"/>
      <c r="U37" s="67"/>
      <c r="V37" s="7"/>
      <c r="W37" s="7"/>
      <c r="X37" s="7"/>
      <c r="Y37" s="8"/>
      <c r="Z37" s="7"/>
      <c r="AA37" s="7"/>
      <c r="AB37" s="9"/>
      <c r="AC37" s="7"/>
    </row>
    <row r="38" spans="1:29" x14ac:dyDescent="0.55000000000000004">
      <c r="A38" s="12">
        <v>35</v>
      </c>
      <c r="B38" s="81"/>
      <c r="C38" s="57" t="s">
        <v>70</v>
      </c>
      <c r="D38" s="58" t="s">
        <v>16</v>
      </c>
      <c r="E38" s="1" t="s">
        <v>14</v>
      </c>
      <c r="R38" s="7"/>
      <c r="S38" s="7"/>
      <c r="T38" s="7"/>
      <c r="U38" s="3"/>
      <c r="V38" s="8"/>
      <c r="W38" s="7"/>
      <c r="X38" s="7"/>
      <c r="Y38" s="8"/>
      <c r="Z38" s="7"/>
      <c r="AA38" s="7"/>
      <c r="AB38" s="68"/>
      <c r="AC38" s="7"/>
    </row>
    <row r="39" spans="1:29" x14ac:dyDescent="0.55000000000000004">
      <c r="A39" s="12">
        <v>36</v>
      </c>
      <c r="B39" s="81"/>
      <c r="C39" s="57" t="s">
        <v>71</v>
      </c>
      <c r="D39" s="58" t="s">
        <v>16</v>
      </c>
      <c r="E39" s="1" t="s">
        <v>14</v>
      </c>
      <c r="R39" s="7"/>
      <c r="S39" s="7"/>
      <c r="T39" s="7"/>
      <c r="U39" s="3"/>
      <c r="V39" s="7"/>
      <c r="W39" s="7"/>
      <c r="X39" s="7"/>
      <c r="Y39" s="8"/>
      <c r="Z39" s="7"/>
      <c r="AA39" s="7"/>
      <c r="AB39" s="68"/>
      <c r="AC39" s="7"/>
    </row>
    <row r="40" spans="1:29" x14ac:dyDescent="0.55000000000000004">
      <c r="A40" s="12">
        <v>37</v>
      </c>
      <c r="B40" s="81"/>
      <c r="C40" s="57" t="s">
        <v>72</v>
      </c>
      <c r="D40" s="58" t="s">
        <v>16</v>
      </c>
      <c r="E40" s="1" t="s">
        <v>14</v>
      </c>
      <c r="R40" s="7"/>
      <c r="S40" s="7"/>
      <c r="T40" s="7"/>
      <c r="U40" s="3"/>
      <c r="V40" s="6"/>
      <c r="W40" s="3"/>
      <c r="X40" s="3"/>
      <c r="Y40" s="8"/>
      <c r="Z40" s="7"/>
      <c r="AA40" s="7"/>
      <c r="AB40" s="7"/>
      <c r="AC40" s="7"/>
    </row>
    <row r="41" spans="1:29" x14ac:dyDescent="0.55000000000000004">
      <c r="A41" s="12">
        <v>38</v>
      </c>
      <c r="B41" s="81"/>
      <c r="C41" s="57" t="s">
        <v>73</v>
      </c>
      <c r="D41" s="58" t="s">
        <v>16</v>
      </c>
      <c r="E41" s="1" t="s">
        <v>14</v>
      </c>
      <c r="R41" s="7"/>
      <c r="S41" s="7"/>
      <c r="T41" s="7"/>
      <c r="U41" s="3"/>
      <c r="V41" s="9"/>
      <c r="W41" s="69"/>
      <c r="X41" s="69"/>
      <c r="Y41" s="8"/>
      <c r="Z41" s="7"/>
      <c r="AA41" s="7"/>
      <c r="AB41" s="7"/>
      <c r="AC41" s="7"/>
    </row>
    <row r="42" spans="1:29" x14ac:dyDescent="0.55000000000000004">
      <c r="A42" s="12">
        <v>39</v>
      </c>
      <c r="B42" s="81"/>
      <c r="C42" s="57" t="s">
        <v>74</v>
      </c>
      <c r="D42" s="58" t="s">
        <v>16</v>
      </c>
      <c r="E42" s="1" t="s">
        <v>14</v>
      </c>
      <c r="R42" s="7"/>
      <c r="S42" s="7"/>
      <c r="T42" s="7"/>
      <c r="U42" s="3"/>
      <c r="V42" s="9"/>
      <c r="W42" s="9"/>
      <c r="X42" s="9"/>
      <c r="Y42" s="8"/>
      <c r="Z42" s="7"/>
      <c r="AA42" s="7"/>
      <c r="AB42" s="7"/>
      <c r="AC42" s="7"/>
    </row>
    <row r="43" spans="1:29" x14ac:dyDescent="0.55000000000000004">
      <c r="A43" s="12">
        <v>40</v>
      </c>
      <c r="B43" s="81"/>
      <c r="C43" s="57" t="s">
        <v>75</v>
      </c>
      <c r="D43" s="58" t="s">
        <v>16</v>
      </c>
      <c r="E43" s="1" t="s">
        <v>14</v>
      </c>
      <c r="R43" s="7"/>
      <c r="S43" s="7"/>
      <c r="T43" s="7"/>
      <c r="U43" s="3"/>
      <c r="V43" s="9"/>
      <c r="W43" s="9"/>
      <c r="X43" s="9"/>
      <c r="Y43" s="8"/>
      <c r="Z43" s="7"/>
      <c r="AA43" s="7"/>
      <c r="AB43" s="7"/>
      <c r="AC43" s="7"/>
    </row>
    <row r="44" spans="1:29" x14ac:dyDescent="0.55000000000000004">
      <c r="A44" s="12">
        <v>41</v>
      </c>
      <c r="B44" s="81"/>
      <c r="C44" s="57" t="s">
        <v>76</v>
      </c>
      <c r="D44" s="58" t="s">
        <v>16</v>
      </c>
      <c r="E44" s="1" t="s">
        <v>14</v>
      </c>
      <c r="R44" s="7"/>
      <c r="S44" s="7"/>
      <c r="T44" s="7"/>
      <c r="U44" s="3"/>
      <c r="V44" s="7"/>
      <c r="W44" s="7"/>
      <c r="X44" s="7"/>
      <c r="Y44" s="8"/>
      <c r="Z44" s="7"/>
      <c r="AA44" s="7"/>
      <c r="AB44" s="7"/>
      <c r="AC44" s="7"/>
    </row>
    <row r="45" spans="1:29" x14ac:dyDescent="0.55000000000000004">
      <c r="A45" s="12">
        <v>42</v>
      </c>
      <c r="B45" s="81"/>
      <c r="C45" s="57" t="s">
        <v>77</v>
      </c>
      <c r="D45" s="58" t="s">
        <v>16</v>
      </c>
      <c r="E45" s="1" t="s">
        <v>14</v>
      </c>
      <c r="R45" s="7"/>
      <c r="S45" s="7"/>
      <c r="T45" s="7"/>
      <c r="U45" s="3"/>
      <c r="V45" s="7"/>
      <c r="W45" s="7"/>
      <c r="X45" s="7"/>
      <c r="Y45" s="8"/>
      <c r="Z45" s="7"/>
      <c r="AA45" s="7"/>
      <c r="AB45" s="7"/>
      <c r="AC45" s="7"/>
    </row>
    <row r="46" spans="1:29" x14ac:dyDescent="0.55000000000000004">
      <c r="A46" s="12">
        <v>43</v>
      </c>
      <c r="B46" s="81"/>
      <c r="C46" s="57" t="s">
        <v>78</v>
      </c>
      <c r="D46" s="58" t="s">
        <v>16</v>
      </c>
      <c r="E46" s="1" t="s">
        <v>14</v>
      </c>
      <c r="R46" s="7"/>
      <c r="S46" s="7"/>
      <c r="T46" s="7"/>
      <c r="U46" s="3"/>
      <c r="V46" s="7"/>
      <c r="W46" s="7"/>
      <c r="X46" s="7"/>
      <c r="Y46" s="8"/>
      <c r="Z46" s="7"/>
      <c r="AA46" s="7"/>
      <c r="AB46" s="7"/>
      <c r="AC46" s="7"/>
    </row>
    <row r="47" spans="1:29" x14ac:dyDescent="0.55000000000000004">
      <c r="A47" s="12">
        <v>44</v>
      </c>
      <c r="B47" s="81"/>
      <c r="C47" s="57" t="s">
        <v>79</v>
      </c>
      <c r="D47" s="58" t="s">
        <v>16</v>
      </c>
      <c r="E47" s="1" t="s">
        <v>14</v>
      </c>
      <c r="R47" s="7"/>
      <c r="S47" s="7"/>
      <c r="T47" s="7"/>
      <c r="U47" s="3"/>
      <c r="V47" s="10"/>
      <c r="W47" s="7"/>
      <c r="X47" s="7"/>
      <c r="Y47" s="8"/>
      <c r="Z47" s="7"/>
      <c r="AA47" s="7"/>
      <c r="AB47" s="7"/>
      <c r="AC47" s="7"/>
    </row>
    <row r="48" spans="1:29" x14ac:dyDescent="0.55000000000000004">
      <c r="A48" s="12">
        <v>45</v>
      </c>
      <c r="B48" s="81"/>
      <c r="C48" s="57" t="s">
        <v>80</v>
      </c>
      <c r="D48" s="58" t="s">
        <v>16</v>
      </c>
      <c r="E48" s="1" t="s">
        <v>14</v>
      </c>
      <c r="R48" s="7"/>
      <c r="S48" s="7"/>
      <c r="T48" s="7"/>
      <c r="U48" s="3"/>
      <c r="V48" s="10"/>
      <c r="W48" s="7"/>
      <c r="X48" s="7"/>
      <c r="Y48" s="8"/>
      <c r="Z48" s="7"/>
      <c r="AA48" s="7"/>
      <c r="AB48" s="7"/>
      <c r="AC48" s="7"/>
    </row>
    <row r="49" spans="1:29" x14ac:dyDescent="0.55000000000000004">
      <c r="A49" s="12">
        <v>46</v>
      </c>
      <c r="B49" s="81"/>
      <c r="C49" s="57" t="s">
        <v>81</v>
      </c>
      <c r="D49" s="58" t="s">
        <v>16</v>
      </c>
      <c r="E49" s="1" t="s">
        <v>14</v>
      </c>
      <c r="R49" s="7"/>
      <c r="S49" s="7"/>
      <c r="T49" s="7"/>
      <c r="U49" s="3"/>
      <c r="V49" s="7"/>
      <c r="W49" s="7"/>
      <c r="X49" s="7"/>
      <c r="Y49" s="8"/>
      <c r="Z49" s="7"/>
      <c r="AA49" s="7"/>
      <c r="AB49" s="7"/>
      <c r="AC49" s="7"/>
    </row>
    <row r="50" spans="1:29" x14ac:dyDescent="0.55000000000000004">
      <c r="A50" s="12">
        <v>47</v>
      </c>
      <c r="B50" s="81"/>
      <c r="C50" s="36" t="s">
        <v>82</v>
      </c>
      <c r="D50" s="22" t="s">
        <v>214</v>
      </c>
      <c r="E50" s="1" t="s">
        <v>14</v>
      </c>
      <c r="R50" s="7"/>
      <c r="S50" s="7"/>
      <c r="T50" s="7"/>
      <c r="U50" s="3"/>
      <c r="V50" s="8"/>
      <c r="W50" s="7"/>
      <c r="X50" s="7"/>
      <c r="Y50" s="8"/>
      <c r="Z50" s="7"/>
      <c r="AA50" s="7"/>
      <c r="AB50" s="7"/>
      <c r="AC50" s="7"/>
    </row>
    <row r="51" spans="1:29" x14ac:dyDescent="0.55000000000000004">
      <c r="A51" s="12">
        <v>48</v>
      </c>
      <c r="B51" s="81"/>
      <c r="C51" s="36" t="s">
        <v>83</v>
      </c>
      <c r="D51" s="22" t="s">
        <v>269</v>
      </c>
      <c r="E51" s="1" t="s">
        <v>14</v>
      </c>
      <c r="R51" s="7"/>
      <c r="S51" s="7"/>
      <c r="T51" s="7"/>
      <c r="U51" s="3"/>
      <c r="V51" s="7"/>
      <c r="W51" s="7"/>
      <c r="X51" s="7"/>
      <c r="Y51" s="8"/>
      <c r="Z51" s="7"/>
      <c r="AA51" s="7"/>
      <c r="AB51" s="7"/>
      <c r="AC51" s="7"/>
    </row>
    <row r="52" spans="1:29" x14ac:dyDescent="0.55000000000000004">
      <c r="A52" s="12">
        <v>49</v>
      </c>
      <c r="B52" s="81"/>
      <c r="C52" s="36" t="s">
        <v>84</v>
      </c>
      <c r="D52" s="22" t="s">
        <v>215</v>
      </c>
      <c r="E52" s="1" t="s">
        <v>14</v>
      </c>
      <c r="R52" s="7"/>
      <c r="S52" s="7"/>
      <c r="T52" s="7"/>
      <c r="U52" s="3"/>
      <c r="V52" s="7"/>
      <c r="W52" s="7"/>
      <c r="X52" s="7"/>
      <c r="Y52" s="8"/>
      <c r="Z52" s="7"/>
      <c r="AA52" s="7"/>
      <c r="AB52" s="7"/>
      <c r="AC52" s="7"/>
    </row>
    <row r="53" spans="1:29" x14ac:dyDescent="0.55000000000000004">
      <c r="A53" s="12">
        <v>50</v>
      </c>
      <c r="B53" s="82" t="s">
        <v>85</v>
      </c>
      <c r="C53" s="21" t="s">
        <v>86</v>
      </c>
      <c r="D53" s="76" t="s">
        <v>208</v>
      </c>
      <c r="E53" s="1" t="s">
        <v>14</v>
      </c>
      <c r="R53" s="7"/>
      <c r="S53" s="7"/>
      <c r="T53" s="7"/>
      <c r="U53" s="3"/>
      <c r="V53" s="7"/>
      <c r="W53" s="7"/>
      <c r="X53" s="7"/>
      <c r="Y53" s="8"/>
      <c r="Z53" s="7"/>
      <c r="AA53" s="7"/>
      <c r="AB53" s="7"/>
      <c r="AC53" s="7"/>
    </row>
    <row r="54" spans="1:29" x14ac:dyDescent="0.55000000000000004">
      <c r="A54" s="12">
        <v>51</v>
      </c>
      <c r="B54" s="82"/>
      <c r="C54" s="21" t="s">
        <v>87</v>
      </c>
      <c r="D54" s="22" t="s">
        <v>88</v>
      </c>
      <c r="E54" s="1" t="s">
        <v>14</v>
      </c>
      <c r="R54" s="7"/>
      <c r="S54" s="7"/>
      <c r="T54" s="7"/>
      <c r="U54" s="3"/>
      <c r="V54" s="7"/>
      <c r="W54" s="7"/>
      <c r="X54" s="7"/>
      <c r="Y54" s="8"/>
      <c r="Z54" s="7"/>
      <c r="AA54" s="7"/>
      <c r="AB54" s="7"/>
      <c r="AC54" s="7"/>
    </row>
    <row r="55" spans="1:29" x14ac:dyDescent="0.55000000000000004">
      <c r="A55" s="12">
        <v>52</v>
      </c>
      <c r="B55" s="82"/>
      <c r="C55" s="60" t="s">
        <v>89</v>
      </c>
      <c r="D55" s="22" t="s">
        <v>209</v>
      </c>
      <c r="E55" s="1" t="s">
        <v>14</v>
      </c>
      <c r="R55" s="7"/>
      <c r="S55" s="7"/>
      <c r="T55" s="7"/>
      <c r="U55" s="3"/>
      <c r="V55" s="7"/>
      <c r="W55" s="7"/>
      <c r="X55" s="7"/>
      <c r="Y55" s="8"/>
      <c r="Z55" s="7"/>
      <c r="AA55" s="7"/>
      <c r="AB55" s="7"/>
      <c r="AC55" s="7"/>
    </row>
    <row r="56" spans="1:29" x14ac:dyDescent="0.55000000000000004">
      <c r="A56" s="12">
        <v>53</v>
      </c>
      <c r="B56" s="82"/>
      <c r="C56" s="60" t="s">
        <v>90</v>
      </c>
      <c r="D56" s="58" t="s">
        <v>275</v>
      </c>
      <c r="E56" s="1" t="s">
        <v>14</v>
      </c>
      <c r="R56" s="7"/>
      <c r="S56" s="7"/>
      <c r="T56" s="7"/>
      <c r="U56" s="3"/>
      <c r="V56" s="7"/>
      <c r="W56" s="7"/>
      <c r="X56" s="7"/>
      <c r="Y56" s="8"/>
      <c r="Z56" s="7"/>
      <c r="AA56" s="7"/>
      <c r="AB56" s="7"/>
      <c r="AC56" s="7"/>
    </row>
    <row r="57" spans="1:29" x14ac:dyDescent="0.55000000000000004">
      <c r="A57" s="12">
        <v>54</v>
      </c>
      <c r="B57" s="82"/>
      <c r="C57" s="39" t="s">
        <v>91</v>
      </c>
      <c r="D57" s="22" t="s">
        <v>210</v>
      </c>
      <c r="E57" s="1" t="s">
        <v>14</v>
      </c>
      <c r="R57" s="7"/>
      <c r="S57" s="7"/>
      <c r="T57" s="7"/>
      <c r="U57" s="3"/>
      <c r="V57" s="67"/>
      <c r="W57" s="70"/>
      <c r="X57" s="71"/>
      <c r="Y57" s="70"/>
      <c r="Z57" s="71"/>
      <c r="AA57" s="7"/>
      <c r="AB57" s="7"/>
      <c r="AC57" s="7"/>
    </row>
    <row r="58" spans="1:29" x14ac:dyDescent="0.55000000000000004">
      <c r="A58" s="12">
        <v>55</v>
      </c>
      <c r="B58" s="82"/>
      <c r="C58" s="60" t="s">
        <v>92</v>
      </c>
      <c r="D58" s="22" t="s">
        <v>275</v>
      </c>
      <c r="E58" s="1" t="s">
        <v>14</v>
      </c>
      <c r="R58" s="7"/>
      <c r="S58" s="7"/>
      <c r="T58" s="7"/>
      <c r="U58" s="3"/>
      <c r="V58" s="3"/>
      <c r="W58" s="3"/>
      <c r="X58" s="3"/>
      <c r="Y58" s="3"/>
      <c r="Z58" s="3"/>
      <c r="AA58" s="6"/>
      <c r="AB58" s="6"/>
      <c r="AC58" s="7"/>
    </row>
    <row r="59" spans="1:29" x14ac:dyDescent="0.55000000000000004">
      <c r="A59" s="12">
        <v>56</v>
      </c>
      <c r="B59" s="82"/>
      <c r="C59" s="60" t="s">
        <v>93</v>
      </c>
      <c r="D59" s="22" t="s">
        <v>275</v>
      </c>
      <c r="E59" s="1" t="s">
        <v>14</v>
      </c>
      <c r="R59" s="7"/>
      <c r="S59" s="7"/>
      <c r="T59" s="7"/>
      <c r="U59" s="9"/>
      <c r="V59" s="72"/>
      <c r="W59" s="9"/>
      <c r="X59" s="9"/>
      <c r="Y59" s="9"/>
      <c r="Z59" s="9"/>
      <c r="AA59" s="6"/>
      <c r="AB59" s="6"/>
      <c r="AC59" s="7"/>
    </row>
    <row r="60" spans="1:29" x14ac:dyDescent="0.55000000000000004">
      <c r="A60" s="12">
        <v>57</v>
      </c>
      <c r="B60" s="82"/>
      <c r="C60" s="21" t="s">
        <v>94</v>
      </c>
      <c r="D60" s="59">
        <v>1</v>
      </c>
      <c r="E60" s="1" t="s">
        <v>14</v>
      </c>
      <c r="R60" s="7"/>
      <c r="S60" s="7"/>
      <c r="T60" s="7"/>
      <c r="U60" s="9"/>
      <c r="V60" s="9"/>
      <c r="W60" s="9"/>
      <c r="X60" s="9"/>
      <c r="Y60" s="73"/>
      <c r="Z60" s="73"/>
      <c r="AA60" s="6"/>
      <c r="AB60" s="9"/>
      <c r="AC60" s="7"/>
    </row>
    <row r="61" spans="1:29" x14ac:dyDescent="0.55000000000000004">
      <c r="A61" s="12">
        <v>58</v>
      </c>
      <c r="B61" s="83" t="s">
        <v>95</v>
      </c>
      <c r="C61" s="60" t="s">
        <v>96</v>
      </c>
      <c r="D61" s="61">
        <v>45695</v>
      </c>
      <c r="E61" s="1" t="s">
        <v>14</v>
      </c>
      <c r="R61" s="7"/>
      <c r="S61" s="7"/>
      <c r="T61" s="7"/>
      <c r="U61" s="9"/>
      <c r="V61" s="11"/>
      <c r="W61" s="6"/>
      <c r="X61" s="10"/>
      <c r="Y61" s="74"/>
      <c r="Z61" s="6"/>
      <c r="AA61" s="6"/>
      <c r="AB61" s="9"/>
      <c r="AC61" s="7"/>
    </row>
    <row r="62" spans="1:29" x14ac:dyDescent="0.55000000000000004">
      <c r="A62" s="12">
        <v>59</v>
      </c>
      <c r="B62" s="83"/>
      <c r="C62" s="60" t="s">
        <v>97</v>
      </c>
      <c r="D62" s="61">
        <v>45695</v>
      </c>
      <c r="E62" s="1" t="s">
        <v>14</v>
      </c>
      <c r="R62" s="7"/>
      <c r="S62" s="7"/>
      <c r="T62" s="7"/>
      <c r="U62" s="9"/>
      <c r="V62" s="11"/>
      <c r="W62" s="6"/>
      <c r="X62" s="10"/>
      <c r="Y62" s="74"/>
      <c r="Z62" s="6"/>
      <c r="AA62" s="6"/>
      <c r="AB62" s="6"/>
      <c r="AC62" s="7"/>
    </row>
    <row r="63" spans="1:29" x14ac:dyDescent="0.55000000000000004">
      <c r="A63" s="12">
        <v>60</v>
      </c>
      <c r="B63" s="83"/>
      <c r="C63" s="60" t="s">
        <v>98</v>
      </c>
      <c r="D63" s="77" t="s">
        <v>212</v>
      </c>
      <c r="E63" s="1" t="s">
        <v>14</v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x14ac:dyDescent="0.55000000000000004">
      <c r="A64" s="12">
        <v>61</v>
      </c>
      <c r="B64" s="83"/>
      <c r="C64" s="60" t="s">
        <v>99</v>
      </c>
      <c r="D64" s="22" t="s">
        <v>211</v>
      </c>
      <c r="E64" s="1" t="s">
        <v>14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x14ac:dyDescent="0.55000000000000004">
      <c r="A65" s="12">
        <v>62</v>
      </c>
      <c r="B65" s="83"/>
      <c r="C65" s="21" t="s">
        <v>100</v>
      </c>
      <c r="D65" s="61">
        <v>45695</v>
      </c>
      <c r="E65" s="1" t="s">
        <v>14</v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55000000000000004">
      <c r="A66" s="12">
        <v>63</v>
      </c>
      <c r="B66" s="83"/>
      <c r="C66" s="21" t="s">
        <v>101</v>
      </c>
      <c r="D66" s="77" t="s">
        <v>212</v>
      </c>
      <c r="E66" s="1" t="s">
        <v>14</v>
      </c>
    </row>
    <row r="67" spans="1:29" x14ac:dyDescent="0.55000000000000004">
      <c r="A67" s="12">
        <v>64</v>
      </c>
      <c r="B67" s="83"/>
      <c r="C67" s="60" t="s">
        <v>102</v>
      </c>
      <c r="D67" s="77" t="s">
        <v>213</v>
      </c>
      <c r="E67" s="1" t="s">
        <v>14</v>
      </c>
    </row>
    <row r="68" spans="1:29" x14ac:dyDescent="0.55000000000000004">
      <c r="A68" s="12">
        <v>65</v>
      </c>
      <c r="B68" s="84" t="s">
        <v>103</v>
      </c>
      <c r="C68" s="62" t="s">
        <v>104</v>
      </c>
      <c r="D68" s="53"/>
      <c r="E68" s="1" t="s">
        <v>14</v>
      </c>
    </row>
    <row r="69" spans="1:29" x14ac:dyDescent="0.55000000000000004">
      <c r="A69" s="12">
        <v>66</v>
      </c>
      <c r="B69" s="84"/>
      <c r="C69" s="62" t="s">
        <v>105</v>
      </c>
      <c r="D69" s="53"/>
      <c r="E69" s="1" t="s">
        <v>14</v>
      </c>
    </row>
    <row r="70" spans="1:29" x14ac:dyDescent="0.55000000000000004">
      <c r="A70" s="12">
        <v>67</v>
      </c>
      <c r="B70" s="84"/>
      <c r="C70" s="62" t="s">
        <v>106</v>
      </c>
      <c r="D70" s="53"/>
      <c r="E70" s="1" t="s">
        <v>14</v>
      </c>
    </row>
    <row r="71" spans="1:29" x14ac:dyDescent="0.55000000000000004">
      <c r="A71" s="12">
        <v>68</v>
      </c>
      <c r="B71" s="84"/>
      <c r="C71" s="62" t="s">
        <v>107</v>
      </c>
      <c r="D71" s="53"/>
      <c r="E71" s="1" t="s">
        <v>14</v>
      </c>
    </row>
    <row r="72" spans="1:29" x14ac:dyDescent="0.55000000000000004">
      <c r="A72" s="12">
        <v>69</v>
      </c>
      <c r="B72" s="85"/>
      <c r="C72" s="63" t="s">
        <v>108</v>
      </c>
      <c r="D72" s="56"/>
      <c r="E72" s="1" t="s">
        <v>14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20"/>
  <sheetViews>
    <sheetView topLeftCell="A10" zoomScale="91" zoomScaleNormal="72" workbookViewId="0">
      <selection activeCell="C9" sqref="C9"/>
    </sheetView>
  </sheetViews>
  <sheetFormatPr baseColWidth="10" defaultRowHeight="14.4" x14ac:dyDescent="0.55000000000000004"/>
  <cols>
    <col min="1" max="1" width="8.47265625" style="2" bestFit="1" customWidth="1"/>
    <col min="2" max="2" width="7.68359375" style="2" bestFit="1" customWidth="1"/>
    <col min="3" max="3" width="43.41796875" style="2" bestFit="1" customWidth="1"/>
    <col min="4" max="4" width="11.68359375" bestFit="1" customWidth="1"/>
    <col min="5" max="5" width="15.47265625" bestFit="1" customWidth="1"/>
    <col min="6" max="7" width="17.68359375" bestFit="1" customWidth="1"/>
    <col min="8" max="8" width="12.68359375" customWidth="1"/>
    <col min="9" max="9" width="11.3125" customWidth="1"/>
  </cols>
  <sheetData>
    <row r="1" spans="1:28" s="2" customFormat="1" x14ac:dyDescent="0.55000000000000004">
      <c r="D1" s="2" t="s">
        <v>272</v>
      </c>
      <c r="E1" s="2" t="s">
        <v>227</v>
      </c>
      <c r="F1" s="2" t="s">
        <v>206</v>
      </c>
      <c r="G1" s="2" t="s">
        <v>222</v>
      </c>
      <c r="H1" s="2" t="s">
        <v>224</v>
      </c>
      <c r="I1" s="2" t="s">
        <v>228</v>
      </c>
      <c r="J1" s="2" t="s">
        <v>229</v>
      </c>
      <c r="K1" s="2" t="s">
        <v>231</v>
      </c>
      <c r="L1" s="2" t="s">
        <v>235</v>
      </c>
      <c r="M1" s="2" t="s">
        <v>273</v>
      </c>
      <c r="N1" s="2" t="s">
        <v>237</v>
      </c>
      <c r="O1" s="2" t="s">
        <v>206</v>
      </c>
      <c r="P1" s="2" t="s">
        <v>240</v>
      </c>
      <c r="Q1" s="2" t="s">
        <v>241</v>
      </c>
      <c r="R1" s="2" t="s">
        <v>247</v>
      </c>
      <c r="S1" s="2" t="s">
        <v>248</v>
      </c>
      <c r="T1" s="2" t="s">
        <v>249</v>
      </c>
      <c r="U1" s="2" t="s">
        <v>250</v>
      </c>
      <c r="V1" s="2" t="s">
        <v>251</v>
      </c>
      <c r="W1" s="2" t="s">
        <v>258</v>
      </c>
      <c r="X1" s="2" t="s">
        <v>259</v>
      </c>
      <c r="Y1" s="2" t="s">
        <v>260</v>
      </c>
      <c r="Z1" s="2" t="s">
        <v>261</v>
      </c>
      <c r="AA1" s="2" t="s">
        <v>262</v>
      </c>
      <c r="AB1" s="2" t="s">
        <v>263</v>
      </c>
    </row>
    <row r="2" spans="1:28" x14ac:dyDescent="0.55000000000000004">
      <c r="A2" s="2" t="s">
        <v>197</v>
      </c>
      <c r="B2" s="2" t="s">
        <v>198</v>
      </c>
      <c r="C2" s="2" t="s">
        <v>165</v>
      </c>
      <c r="D2">
        <v>0.18034070757917769</v>
      </c>
      <c r="E2">
        <v>0.23085182339532329</v>
      </c>
      <c r="F2">
        <v>0.23096434923826462</v>
      </c>
      <c r="G2">
        <v>9.4297524246219636E-2</v>
      </c>
      <c r="H2">
        <v>0.15334797955902854</v>
      </c>
      <c r="I2">
        <v>0.22837904339567283</v>
      </c>
      <c r="J2">
        <v>0.23983528928144759</v>
      </c>
      <c r="K2">
        <v>0.1536274633350784</v>
      </c>
      <c r="L2">
        <v>0.55556584327906466</v>
      </c>
      <c r="M2">
        <v>0.2562239245577882</v>
      </c>
      <c r="N2">
        <v>0.23121075241120362</v>
      </c>
      <c r="O2">
        <v>0.23222646839077235</v>
      </c>
      <c r="P2">
        <v>0.25372593200320276</v>
      </c>
      <c r="Q2">
        <v>9.4297524246219636E-2</v>
      </c>
      <c r="R2">
        <v>0.25044892617734954</v>
      </c>
      <c r="S2">
        <v>0.19776134647031737</v>
      </c>
      <c r="T2">
        <v>0.2348380712389774</v>
      </c>
      <c r="U2">
        <v>0.13330823808235384</v>
      </c>
      <c r="V2">
        <v>0.1442525834187085</v>
      </c>
      <c r="W2">
        <v>0.16219503616843173</v>
      </c>
      <c r="X2">
        <v>0.22502839809646299</v>
      </c>
      <c r="Y2">
        <v>0.31404080079321794</v>
      </c>
      <c r="Z2">
        <v>0.69930987331896177</v>
      </c>
      <c r="AA2">
        <v>0.50684590251394024</v>
      </c>
      <c r="AB2">
        <v>0.19724320917404894</v>
      </c>
    </row>
    <row r="3" spans="1:28" x14ac:dyDescent="0.55000000000000004">
      <c r="A3" s="2" t="s">
        <v>197</v>
      </c>
      <c r="B3" s="2" t="s">
        <v>198</v>
      </c>
      <c r="C3" s="2" t="s">
        <v>166</v>
      </c>
      <c r="D3">
        <v>1.799397448530268E-4</v>
      </c>
      <c r="E3">
        <v>1.9095109514794906E-4</v>
      </c>
      <c r="F3">
        <v>5.6453483875957004E-4</v>
      </c>
      <c r="G3">
        <v>0</v>
      </c>
      <c r="H3">
        <v>0</v>
      </c>
      <c r="I3">
        <v>4.6694614784893799E-4</v>
      </c>
      <c r="J3">
        <v>6.0680365835546926E-4</v>
      </c>
      <c r="K3">
        <v>0</v>
      </c>
      <c r="L3">
        <v>0</v>
      </c>
      <c r="M3">
        <v>9.5549915832624909E-4</v>
      </c>
      <c r="N3">
        <v>0</v>
      </c>
      <c r="O3">
        <v>3.6413779284263307E-4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1.5255619901221465E-4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55000000000000004">
      <c r="A4" s="2" t="s">
        <v>197</v>
      </c>
      <c r="B4" s="2" t="s">
        <v>198</v>
      </c>
      <c r="C4" s="2" t="s">
        <v>167</v>
      </c>
      <c r="D4">
        <v>1.6342958087150753E-2</v>
      </c>
      <c r="E4">
        <v>3.7217911064354688E-2</v>
      </c>
      <c r="F4">
        <v>2.9773412729100612E-2</v>
      </c>
      <c r="G4">
        <v>3.1549455642355577E-3</v>
      </c>
      <c r="H4">
        <v>1.8323672113683739E-2</v>
      </c>
      <c r="I4">
        <v>2.016052098472973E-2</v>
      </c>
      <c r="J4">
        <v>4.1236408791639229E-2</v>
      </c>
      <c r="K4">
        <v>7.1564427319089708E-3</v>
      </c>
      <c r="L4">
        <v>1.9906574170117657E-3</v>
      </c>
      <c r="M4">
        <v>3.2953708776509924E-2</v>
      </c>
      <c r="N4">
        <v>3.9066052652466425E-2</v>
      </c>
      <c r="O4">
        <v>2.7500096145160489E-2</v>
      </c>
      <c r="P4">
        <v>4.6040849357603518E-2</v>
      </c>
      <c r="Q4">
        <v>3.1549455642355577E-3</v>
      </c>
      <c r="R4">
        <v>4.2301383060073028E-2</v>
      </c>
      <c r="S4">
        <v>4.9491199546168804E-3</v>
      </c>
      <c r="T4">
        <v>1.4944084720724098E-2</v>
      </c>
      <c r="U4">
        <v>5.2079429503833728E-3</v>
      </c>
      <c r="V4">
        <v>4.2765735051651516E-3</v>
      </c>
      <c r="W4">
        <v>1.9329985604441446E-2</v>
      </c>
      <c r="X4">
        <v>2.6411148553054662E-3</v>
      </c>
      <c r="Y4">
        <v>4.8637812575616335E-2</v>
      </c>
      <c r="Z4">
        <v>6.1422079424650478E-4</v>
      </c>
      <c r="AA4">
        <v>2.4582873456900772E-3</v>
      </c>
      <c r="AB4">
        <v>2.5172571044219445E-2</v>
      </c>
    </row>
    <row r="5" spans="1:28" x14ac:dyDescent="0.55000000000000004">
      <c r="A5" s="2" t="s">
        <v>197</v>
      </c>
      <c r="B5" s="2" t="s">
        <v>198</v>
      </c>
      <c r="C5" s="2" t="s">
        <v>168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55000000000000004">
      <c r="A6" s="2" t="s">
        <v>197</v>
      </c>
      <c r="B6" s="2" t="s">
        <v>198</v>
      </c>
      <c r="C6" s="2" t="s">
        <v>169</v>
      </c>
      <c r="D6">
        <v>6.1115382389906651E-4</v>
      </c>
      <c r="E6">
        <v>1.4720748011899884E-3</v>
      </c>
      <c r="F6">
        <v>1.0285360760962029E-3</v>
      </c>
      <c r="G6">
        <v>1.1292519158511475E-3</v>
      </c>
      <c r="H6">
        <v>2.3001730674488885E-4</v>
      </c>
      <c r="I6">
        <v>1.0461718397671515E-3</v>
      </c>
      <c r="J6">
        <v>9.3346149298944366E-4</v>
      </c>
      <c r="K6">
        <v>2.2552562632128427E-4</v>
      </c>
      <c r="L6">
        <v>0</v>
      </c>
      <c r="M6">
        <v>2.246939572288022E-3</v>
      </c>
      <c r="N6">
        <v>1.6196511699802486E-3</v>
      </c>
      <c r="O6">
        <v>1.0150290539760872E-3</v>
      </c>
      <c r="P6">
        <v>1.9788215701751813E-3</v>
      </c>
      <c r="Q6">
        <v>1.1292519158511475E-3</v>
      </c>
      <c r="R6">
        <v>8.1055154155787186E-4</v>
      </c>
      <c r="S6">
        <v>0</v>
      </c>
      <c r="T6">
        <v>1.1268923361078011E-3</v>
      </c>
      <c r="U6">
        <v>0</v>
      </c>
      <c r="V6">
        <v>0</v>
      </c>
      <c r="W6">
        <v>1.3105797845265432E-3</v>
      </c>
      <c r="X6">
        <v>0</v>
      </c>
      <c r="Y6">
        <v>3.9873208626871864E-3</v>
      </c>
      <c r="Z6">
        <v>0</v>
      </c>
      <c r="AA6">
        <v>0</v>
      </c>
      <c r="AB6">
        <v>1.7957413420908108E-3</v>
      </c>
    </row>
    <row r="7" spans="1:28" x14ac:dyDescent="0.55000000000000004">
      <c r="A7" s="2" t="s">
        <v>197</v>
      </c>
      <c r="B7" s="2" t="s">
        <v>198</v>
      </c>
      <c r="C7" s="80" t="s">
        <v>276</v>
      </c>
      <c r="D7">
        <v>8.2293606477359019E-8</v>
      </c>
      <c r="E7">
        <v>1.2961595733324811E-7</v>
      </c>
      <c r="F7">
        <v>0</v>
      </c>
      <c r="G7">
        <v>0</v>
      </c>
      <c r="H7">
        <v>0</v>
      </c>
      <c r="I7">
        <v>5.7728724472695127E-7</v>
      </c>
      <c r="J7">
        <v>6.0188867713707462E-7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55000000000000004">
      <c r="A8" s="2" t="s">
        <v>197</v>
      </c>
      <c r="B8" s="2" t="s">
        <v>198</v>
      </c>
      <c r="C8" s="2" t="s">
        <v>280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55000000000000004">
      <c r="A9" s="2" t="s">
        <v>197</v>
      </c>
      <c r="B9" s="2" t="s">
        <v>198</v>
      </c>
      <c r="C9" s="2" t="s">
        <v>281</v>
      </c>
      <c r="D9">
        <v>7.4264375653398081E-3</v>
      </c>
      <c r="E9">
        <v>1.7313650013573559E-2</v>
      </c>
      <c r="F9">
        <v>1.4994973319928854E-2</v>
      </c>
      <c r="G9">
        <v>7.779317829621923E-4</v>
      </c>
      <c r="H9">
        <v>8.6114917037748429E-3</v>
      </c>
      <c r="I9">
        <v>8.6935681920315908E-3</v>
      </c>
      <c r="J9">
        <v>2.3397916533737951E-2</v>
      </c>
      <c r="K9">
        <v>2.6988956108968082E-3</v>
      </c>
      <c r="L9">
        <v>3.0236325050955973E-3</v>
      </c>
      <c r="M9">
        <v>1.3870827241918756E-2</v>
      </c>
      <c r="N9">
        <v>1.7781978032554262E-2</v>
      </c>
      <c r="O9">
        <v>1.3940369503466372E-2</v>
      </c>
      <c r="P9">
        <v>1.4159456702725202E-2</v>
      </c>
      <c r="Q9">
        <v>7.779317829621923E-4</v>
      </c>
      <c r="R9">
        <v>2.618778656161384E-2</v>
      </c>
      <c r="S9">
        <v>2.1134826788021355E-3</v>
      </c>
      <c r="T9">
        <v>6.0269758697860014E-3</v>
      </c>
      <c r="U9">
        <v>1.866196359100322E-3</v>
      </c>
      <c r="V9">
        <v>1.8388704367992496E-3</v>
      </c>
      <c r="W9">
        <v>4.5814686358465403E-3</v>
      </c>
      <c r="X9">
        <v>5.8490855305466237E-4</v>
      </c>
      <c r="Y9">
        <v>1.7964564769668619E-2</v>
      </c>
      <c r="Z9">
        <v>1.4415567571435981E-3</v>
      </c>
      <c r="AA9">
        <v>3.5613642726541736E-3</v>
      </c>
      <c r="AB9">
        <v>1.2420112931023632E-2</v>
      </c>
    </row>
    <row r="10" spans="1:28" x14ac:dyDescent="0.55000000000000004">
      <c r="A10" s="2" t="s">
        <v>197</v>
      </c>
      <c r="B10" s="2" t="s">
        <v>198</v>
      </c>
      <c r="C10" s="2" t="s">
        <v>170</v>
      </c>
      <c r="D10">
        <v>1.8600160315542625E-4</v>
      </c>
      <c r="E10">
        <v>2.6194559279009991E-4</v>
      </c>
      <c r="F10">
        <v>5.3360142293712789E-4</v>
      </c>
      <c r="G10">
        <v>0</v>
      </c>
      <c r="H10">
        <v>6.1059809080275974E-5</v>
      </c>
      <c r="I10">
        <v>1.1666607464185714E-3</v>
      </c>
      <c r="J10">
        <v>1.2163786741239309E-3</v>
      </c>
      <c r="K10">
        <v>0</v>
      </c>
      <c r="L10">
        <v>7.15364120666938E-7</v>
      </c>
      <c r="M10">
        <v>6.6146395755774086E-5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55000000000000004">
      <c r="A11" s="2" t="s">
        <v>197</v>
      </c>
      <c r="B11" s="2" t="s">
        <v>198</v>
      </c>
      <c r="C11" s="80" t="s">
        <v>279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55000000000000004">
      <c r="A12" s="2" t="s">
        <v>197</v>
      </c>
      <c r="B12" s="2" t="s">
        <v>198</v>
      </c>
      <c r="C12" s="2" t="s">
        <v>171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55000000000000004">
      <c r="A13" s="2" t="s">
        <v>197</v>
      </c>
      <c r="B13" s="2" t="s">
        <v>198</v>
      </c>
      <c r="C13" s="2" t="s">
        <v>278</v>
      </c>
      <c r="D13">
        <v>2.2203388940410636E-2</v>
      </c>
      <c r="E13">
        <v>3.736012226052117E-2</v>
      </c>
      <c r="F13">
        <v>3.1490217307246153E-2</v>
      </c>
      <c r="G13">
        <v>7.6105419576708304E-4</v>
      </c>
      <c r="H13">
        <v>2.1523968327843677E-2</v>
      </c>
      <c r="I13">
        <v>3.3183092230086177E-2</v>
      </c>
      <c r="J13">
        <v>3.941374702176427E-2</v>
      </c>
      <c r="K13">
        <v>1.5237493265825089E-2</v>
      </c>
      <c r="L13">
        <v>5.025020202364712E-2</v>
      </c>
      <c r="M13">
        <v>3.7466732486597251E-2</v>
      </c>
      <c r="N13">
        <v>3.9576535354397042E-2</v>
      </c>
      <c r="O13">
        <v>3.2077412906640471E-2</v>
      </c>
      <c r="P13">
        <v>2.6956187321125997E-2</v>
      </c>
      <c r="Q13">
        <v>7.6105419576708304E-4</v>
      </c>
      <c r="R13">
        <v>4.7161012295161911E-2</v>
      </c>
      <c r="S13">
        <v>2.8919996239657769E-2</v>
      </c>
      <c r="T13">
        <v>3.5375922838332442E-2</v>
      </c>
      <c r="U13">
        <v>1.0198776067646666E-2</v>
      </c>
      <c r="V13">
        <v>1.9461065033754166E-2</v>
      </c>
      <c r="W13">
        <v>2.2549971399335872E-2</v>
      </c>
      <c r="X13">
        <v>1.174163344051447E-2</v>
      </c>
      <c r="Y13">
        <v>5.2415302890078591E-2</v>
      </c>
      <c r="Z13">
        <v>6.7035780279986343E-2</v>
      </c>
      <c r="AA13">
        <v>4.4571601203920418E-2</v>
      </c>
      <c r="AB13">
        <v>3.503571209941491E-2</v>
      </c>
    </row>
    <row r="14" spans="1:28" x14ac:dyDescent="0.55000000000000004">
      <c r="A14" s="2" t="s">
        <v>197</v>
      </c>
      <c r="B14" s="2" t="s">
        <v>198</v>
      </c>
      <c r="C14" s="2" t="s">
        <v>172</v>
      </c>
      <c r="D14">
        <v>1.4306479337653677E-3</v>
      </c>
      <c r="E14">
        <v>1.2680806755341867E-3</v>
      </c>
      <c r="F14">
        <v>4.918413115768309E-3</v>
      </c>
      <c r="G14">
        <v>0</v>
      </c>
      <c r="H14">
        <v>1.8404798121617718E-3</v>
      </c>
      <c r="I14">
        <v>9.9056352567997814E-4</v>
      </c>
      <c r="J14">
        <v>2.1171057163590803E-3</v>
      </c>
      <c r="K14">
        <v>5.519516996113199E-4</v>
      </c>
      <c r="L14">
        <v>0</v>
      </c>
      <c r="M14">
        <v>2.3273623315431574E-3</v>
      </c>
      <c r="N14">
        <v>0</v>
      </c>
      <c r="O14">
        <v>4.9063706956785965E-3</v>
      </c>
      <c r="P14">
        <v>6.4873714986719922E-3</v>
      </c>
      <c r="Q14">
        <v>0</v>
      </c>
      <c r="R14">
        <v>0</v>
      </c>
      <c r="S14">
        <v>5.4676541592888856E-3</v>
      </c>
      <c r="T14">
        <v>0</v>
      </c>
      <c r="U14">
        <v>6.9005226556568091E-4</v>
      </c>
      <c r="V14">
        <v>1.4000353035937938E-3</v>
      </c>
      <c r="W14">
        <v>1.415184345108463E-3</v>
      </c>
      <c r="X14">
        <v>1.6935048231511254E-3</v>
      </c>
      <c r="Y14">
        <v>0</v>
      </c>
      <c r="Z14">
        <v>0</v>
      </c>
      <c r="AA14">
        <v>0</v>
      </c>
      <c r="AB14">
        <v>1.5365153042314948E-3</v>
      </c>
    </row>
    <row r="15" spans="1:28" x14ac:dyDescent="0.55000000000000004">
      <c r="A15" s="2" t="s">
        <v>197</v>
      </c>
      <c r="B15" s="2" t="s">
        <v>198</v>
      </c>
      <c r="C15" s="2" t="s">
        <v>173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55000000000000004">
      <c r="A16" s="2" t="s">
        <v>197</v>
      </c>
      <c r="B16" s="2" t="s">
        <v>198</v>
      </c>
      <c r="C16" s="2" t="s">
        <v>174</v>
      </c>
      <c r="D16">
        <v>2.0766475844942942E-3</v>
      </c>
      <c r="E16">
        <v>1.8563763781471688E-3</v>
      </c>
      <c r="F16">
        <v>7.5245533988090637E-3</v>
      </c>
      <c r="G16">
        <v>0</v>
      </c>
      <c r="H16">
        <v>2.0931785588347899E-3</v>
      </c>
      <c r="I16">
        <v>6.997555681272522E-4</v>
      </c>
      <c r="J16">
        <v>2.5860980673208375E-3</v>
      </c>
      <c r="K16">
        <v>7.5696233089552454E-4</v>
      </c>
      <c r="L16">
        <v>1.8232311970375437E-2</v>
      </c>
      <c r="M16">
        <v>2.8891967372606238E-3</v>
      </c>
      <c r="N16">
        <v>0</v>
      </c>
      <c r="O16">
        <v>7.8501931130857683E-3</v>
      </c>
      <c r="P16">
        <v>5.1898971989375936E-3</v>
      </c>
      <c r="Q16">
        <v>0</v>
      </c>
      <c r="R16">
        <v>0</v>
      </c>
      <c r="S16">
        <v>7.4984971327390435E-3</v>
      </c>
      <c r="T16">
        <v>0</v>
      </c>
      <c r="U16">
        <v>9.4635739277579105E-4</v>
      </c>
      <c r="V16">
        <v>1.9200484163572032E-3</v>
      </c>
      <c r="W16">
        <v>2.1059526478257409E-3</v>
      </c>
      <c r="X16">
        <v>2.3225209003215437E-3</v>
      </c>
      <c r="Y16">
        <v>0</v>
      </c>
      <c r="Z16">
        <v>0</v>
      </c>
      <c r="AA16">
        <v>2.4423915472904106E-2</v>
      </c>
      <c r="AB16">
        <v>0</v>
      </c>
    </row>
    <row r="17" spans="1:28" x14ac:dyDescent="0.55000000000000004">
      <c r="A17" s="2" t="s">
        <v>197</v>
      </c>
      <c r="B17" s="2" t="s">
        <v>198</v>
      </c>
      <c r="C17" s="80" t="s">
        <v>277</v>
      </c>
      <c r="D17">
        <v>1.2772751800409323E-2</v>
      </c>
      <c r="E17">
        <v>4.782858196106482E-2</v>
      </c>
      <c r="F17">
        <v>3.4119557652153736E-2</v>
      </c>
      <c r="G17">
        <v>0</v>
      </c>
      <c r="H17">
        <v>6.8914782390687105E-3</v>
      </c>
      <c r="I17">
        <v>4.0454191921698605E-3</v>
      </c>
      <c r="J17">
        <v>4.4299264050682671E-2</v>
      </c>
      <c r="K17">
        <v>3.8252943890101487E-3</v>
      </c>
      <c r="L17">
        <v>1.1000125903358401E-2</v>
      </c>
      <c r="M17">
        <v>4.2488686276315163E-2</v>
      </c>
      <c r="N17">
        <v>5.2631886366686378E-2</v>
      </c>
      <c r="O17">
        <v>3.4324715040336184E-2</v>
      </c>
      <c r="P17">
        <v>1.3957450421943362E-2</v>
      </c>
      <c r="Q17">
        <v>0</v>
      </c>
      <c r="R17">
        <v>5.2458007886277289E-2</v>
      </c>
      <c r="S17">
        <v>1.5655427250386188E-3</v>
      </c>
      <c r="T17">
        <v>1.4873856085728637E-3</v>
      </c>
      <c r="U17">
        <v>4.4102486992431203E-3</v>
      </c>
      <c r="V17">
        <v>5.7410955670270042E-3</v>
      </c>
      <c r="W17">
        <v>2.1681686070969534E-2</v>
      </c>
      <c r="X17">
        <v>4.6034469453376204E-3</v>
      </c>
      <c r="Y17">
        <v>6.541123015751836E-2</v>
      </c>
      <c r="Z17">
        <v>1.5756327179583255E-2</v>
      </c>
      <c r="AA17">
        <v>9.3900435507799345E-3</v>
      </c>
      <c r="AB17">
        <v>4.4443292805147569E-2</v>
      </c>
    </row>
    <row r="18" spans="1:28" x14ac:dyDescent="0.55000000000000004">
      <c r="A18" s="2" t="s">
        <v>197</v>
      </c>
      <c r="B18" s="2" t="s">
        <v>198</v>
      </c>
      <c r="C18" s="2" t="s">
        <v>282</v>
      </c>
      <c r="D18">
        <v>3.7866392464849402E-3</v>
      </c>
      <c r="E18">
        <v>2.5488789293323603E-3</v>
      </c>
      <c r="F18">
        <v>3.6269430051813472E-3</v>
      </c>
      <c r="G18">
        <v>1.3521195275295252E-3</v>
      </c>
      <c r="H18">
        <v>2.8285055219521064E-3</v>
      </c>
      <c r="I18">
        <v>3.1860321495957864E-3</v>
      </c>
      <c r="J18">
        <v>7.6474507955553769E-3</v>
      </c>
      <c r="K18">
        <v>5.0399083861621388E-3</v>
      </c>
      <c r="L18">
        <v>0</v>
      </c>
      <c r="M18">
        <v>1.6852994410017968E-3</v>
      </c>
      <c r="N18">
        <v>2.1990788715274372E-3</v>
      </c>
      <c r="O18">
        <v>3.6997276333360033E-3</v>
      </c>
      <c r="P18">
        <v>3.4543993079183132E-3</v>
      </c>
      <c r="Q18">
        <v>1.3521195275295252E-3</v>
      </c>
      <c r="R18">
        <v>1.0847789062646862E-2</v>
      </c>
      <c r="S18">
        <v>3.5916976054135991E-3</v>
      </c>
      <c r="T18">
        <v>3.2776039826908584E-3</v>
      </c>
      <c r="U18">
        <v>5.4808441341173009E-3</v>
      </c>
      <c r="V18">
        <v>3.1276412693002566E-3</v>
      </c>
      <c r="W18">
        <v>2.2081936758043966E-3</v>
      </c>
      <c r="X18">
        <v>3.0249159614147912E-4</v>
      </c>
      <c r="Y18">
        <v>0</v>
      </c>
      <c r="Z18">
        <v>0</v>
      </c>
      <c r="AA18">
        <v>0</v>
      </c>
      <c r="AB18">
        <v>2.1334604521364409E-3</v>
      </c>
    </row>
    <row r="19" spans="1:28" x14ac:dyDescent="0.55000000000000004">
      <c r="A19" s="2" t="s">
        <v>197</v>
      </c>
      <c r="B19" s="2" t="s">
        <v>198</v>
      </c>
      <c r="C19" s="2" t="s">
        <v>175</v>
      </c>
      <c r="D19">
        <v>1.1997420596297862E-4</v>
      </c>
      <c r="E19">
        <v>0</v>
      </c>
      <c r="F19">
        <v>0</v>
      </c>
      <c r="G19">
        <v>0</v>
      </c>
      <c r="H19">
        <v>3.6420887863068587E-4</v>
      </c>
      <c r="I19">
        <v>0</v>
      </c>
      <c r="J19">
        <v>0</v>
      </c>
      <c r="K19">
        <v>0</v>
      </c>
      <c r="L19">
        <v>2.8182103104438519E-3</v>
      </c>
      <c r="M19">
        <v>0</v>
      </c>
      <c r="N19">
        <v>0</v>
      </c>
      <c r="O19">
        <v>0</v>
      </c>
      <c r="P19">
        <v>3.1332615588054295E-3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6.3297701380152002E-3</v>
      </c>
      <c r="AA19">
        <v>1.6277507618398881E-3</v>
      </c>
      <c r="AB19">
        <v>0</v>
      </c>
    </row>
    <row r="20" spans="1:28" x14ac:dyDescent="0.55000000000000004">
      <c r="A20" s="2" t="s">
        <v>197</v>
      </c>
      <c r="B20" s="2" t="s">
        <v>198</v>
      </c>
      <c r="C20" s="2" t="s">
        <v>283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55000000000000004">
      <c r="A21" s="2" t="s">
        <v>197</v>
      </c>
      <c r="B21" s="2" t="s">
        <v>198</v>
      </c>
      <c r="C21" s="2" t="s">
        <v>176</v>
      </c>
      <c r="D21">
        <v>1.3159438502278519E-3</v>
      </c>
      <c r="E21">
        <v>4.0012739289674373E-3</v>
      </c>
      <c r="F21">
        <v>2.737607300286134E-3</v>
      </c>
      <c r="G21">
        <v>6.5781416460084093E-4</v>
      </c>
      <c r="H21">
        <v>1.3859811732892771E-3</v>
      </c>
      <c r="I21">
        <v>9.4950871595976766E-4</v>
      </c>
      <c r="J21">
        <v>2.9438825566760825E-3</v>
      </c>
      <c r="K21">
        <v>6.7289646578981837E-4</v>
      </c>
      <c r="L21">
        <v>0</v>
      </c>
      <c r="M21">
        <v>2.1673831961688244E-3</v>
      </c>
      <c r="N21">
        <v>4.4702146012492918E-3</v>
      </c>
      <c r="O21">
        <v>2.8417542997338156E-3</v>
      </c>
      <c r="P21">
        <v>3.2999448351037465E-3</v>
      </c>
      <c r="Q21">
        <v>6.5781416460084093E-4</v>
      </c>
      <c r="R21">
        <v>3.4268213001088883E-3</v>
      </c>
      <c r="S21">
        <v>2.7070313721468059E-3</v>
      </c>
      <c r="T21">
        <v>8.1277902107806759E-4</v>
      </c>
      <c r="U21">
        <v>6.3789728005299697E-4</v>
      </c>
      <c r="V21">
        <v>1.2748322008962621E-3</v>
      </c>
      <c r="W21">
        <v>1.5540255551380262E-3</v>
      </c>
      <c r="X21">
        <v>1.0109530546623795E-4</v>
      </c>
      <c r="Y21">
        <v>1.9160809919698777E-3</v>
      </c>
      <c r="Z21">
        <v>0</v>
      </c>
      <c r="AA21">
        <v>0</v>
      </c>
      <c r="AB21">
        <v>3.2001219514026136E-3</v>
      </c>
    </row>
    <row r="22" spans="1:28" x14ac:dyDescent="0.55000000000000004">
      <c r="A22" s="2" t="s">
        <v>197</v>
      </c>
      <c r="B22" s="2" t="s">
        <v>198</v>
      </c>
      <c r="C22" s="2" t="s">
        <v>177</v>
      </c>
      <c r="D22">
        <v>1.6298911962792949E-4</v>
      </c>
      <c r="E22">
        <v>2.1926625700952675E-4</v>
      </c>
      <c r="F22">
        <v>3.0160080426881139E-4</v>
      </c>
      <c r="G22">
        <v>2.3560935034425256E-4</v>
      </c>
      <c r="H22">
        <v>4.0678858862065051E-5</v>
      </c>
      <c r="I22">
        <v>2.7712900382264146E-4</v>
      </c>
      <c r="J22">
        <v>6.6006309617728566E-4</v>
      </c>
      <c r="K22">
        <v>1.0813847385198821E-4</v>
      </c>
      <c r="L22">
        <v>0</v>
      </c>
      <c r="M22">
        <v>3.1975384819796568E-4</v>
      </c>
      <c r="N22">
        <v>1.8550920991583384E-4</v>
      </c>
      <c r="O22">
        <v>2.9220933993544636E-4</v>
      </c>
      <c r="P22">
        <v>2.9559217784404197E-4</v>
      </c>
      <c r="Q22">
        <v>2.3560935034425256E-4</v>
      </c>
      <c r="R22">
        <v>8.8020888504121138E-4</v>
      </c>
      <c r="S22">
        <v>1.772919848513249E-5</v>
      </c>
      <c r="T22">
        <v>2.7049492342411856E-4</v>
      </c>
      <c r="U22">
        <v>6.7516228122803168E-5</v>
      </c>
      <c r="V22">
        <v>8.1437804662692793E-6</v>
      </c>
      <c r="W22">
        <v>3.2519188871841083E-4</v>
      </c>
      <c r="X22">
        <v>0</v>
      </c>
      <c r="Y22">
        <v>3.3428002150010688E-4</v>
      </c>
      <c r="Z22">
        <v>0</v>
      </c>
      <c r="AA22">
        <v>0</v>
      </c>
      <c r="AB22">
        <v>1.3366066382030787E-3</v>
      </c>
    </row>
    <row r="23" spans="1:28" x14ac:dyDescent="0.55000000000000004">
      <c r="A23" s="2" t="s">
        <v>197</v>
      </c>
      <c r="B23" s="2" t="s">
        <v>198</v>
      </c>
      <c r="C23" s="2" t="s">
        <v>178</v>
      </c>
      <c r="D23">
        <v>1.8151167251819506E-3</v>
      </c>
      <c r="E23">
        <v>2.7799360990396257E-3</v>
      </c>
      <c r="F23">
        <v>2.7917407779754081E-3</v>
      </c>
      <c r="G23">
        <v>5.1967891537704921E-4</v>
      </c>
      <c r="H23">
        <v>1.5184998859131325E-3</v>
      </c>
      <c r="I23">
        <v>1.7077266162002754E-3</v>
      </c>
      <c r="J23">
        <v>2.6910011046779579E-3</v>
      </c>
      <c r="K23">
        <v>1.500366225774908E-3</v>
      </c>
      <c r="L23">
        <v>0</v>
      </c>
      <c r="M23">
        <v>3.6850079636206027E-3</v>
      </c>
      <c r="N23">
        <v>2.7795765567974777E-3</v>
      </c>
      <c r="O23">
        <v>2.80751465554256E-3</v>
      </c>
      <c r="P23">
        <v>2.8305747678371903E-3</v>
      </c>
      <c r="Q23">
        <v>5.1967891537704921E-4</v>
      </c>
      <c r="R23">
        <v>2.6600857563750225E-3</v>
      </c>
      <c r="S23">
        <v>1.275437006824929E-3</v>
      </c>
      <c r="T23">
        <v>1.6714975018951063E-3</v>
      </c>
      <c r="U23">
        <v>1.457548482661993E-3</v>
      </c>
      <c r="V23">
        <v>1.4599577440924209E-3</v>
      </c>
      <c r="W23">
        <v>3.4130113886571248E-3</v>
      </c>
      <c r="X23">
        <v>3.3178963138263663E-4</v>
      </c>
      <c r="Y23">
        <v>3.9104035125912652E-3</v>
      </c>
      <c r="Z23">
        <v>0</v>
      </c>
      <c r="AA23">
        <v>0</v>
      </c>
      <c r="AB23">
        <v>6.3022366070595694E-3</v>
      </c>
    </row>
    <row r="24" spans="1:28" x14ac:dyDescent="0.55000000000000004">
      <c r="A24" s="2" t="s">
        <v>197</v>
      </c>
      <c r="B24" s="2" t="s">
        <v>198</v>
      </c>
      <c r="C24" s="2" t="s">
        <v>179</v>
      </c>
      <c r="D24">
        <v>3.0025558803318034E-4</v>
      </c>
      <c r="E24">
        <v>0</v>
      </c>
      <c r="F24">
        <v>0</v>
      </c>
      <c r="G24">
        <v>0</v>
      </c>
      <c r="H24">
        <v>1.1071121068675796E-4</v>
      </c>
      <c r="I24">
        <v>1.492870060493711E-3</v>
      </c>
      <c r="J24">
        <v>4.3302265768897525E-4</v>
      </c>
      <c r="K24">
        <v>3.6635385075746402E-4</v>
      </c>
      <c r="L24">
        <v>0</v>
      </c>
      <c r="M24">
        <v>1.6370346739814096E-4</v>
      </c>
      <c r="N24">
        <v>0</v>
      </c>
      <c r="O24">
        <v>0</v>
      </c>
      <c r="P24">
        <v>9.5244020924975157E-4</v>
      </c>
      <c r="Q24">
        <v>0</v>
      </c>
      <c r="R24">
        <v>7.5239768492546576E-4</v>
      </c>
      <c r="S24">
        <v>0</v>
      </c>
      <c r="T24">
        <v>1.8305739948773388E-3</v>
      </c>
      <c r="U24">
        <v>0</v>
      </c>
      <c r="V24">
        <v>0</v>
      </c>
      <c r="W24">
        <v>8.5158561999013223E-4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55000000000000004">
      <c r="A25" s="2" t="s">
        <v>197</v>
      </c>
      <c r="B25" s="2" t="s">
        <v>198</v>
      </c>
      <c r="C25" s="2" t="s">
        <v>180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55000000000000004">
      <c r="A26" s="2" t="s">
        <v>197</v>
      </c>
      <c r="B26" s="2" t="s">
        <v>198</v>
      </c>
      <c r="C26" s="2" t="s">
        <v>181</v>
      </c>
      <c r="D26">
        <v>2.5324468849391856E-5</v>
      </c>
      <c r="E26">
        <v>1.522779733038109E-6</v>
      </c>
      <c r="F26">
        <v>0</v>
      </c>
      <c r="G26">
        <v>0</v>
      </c>
      <c r="H26" s="5">
        <v>9.9743004490200282E-5</v>
      </c>
      <c r="I26" s="5">
        <v>6.7821997730685139E-6</v>
      </c>
      <c r="J26" s="5">
        <v>7.0712271694524748E-6</v>
      </c>
      <c r="K26" s="5">
        <v>0</v>
      </c>
      <c r="L26" s="5">
        <v>0</v>
      </c>
      <c r="M26">
        <v>1.2215157373322237E-5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6.3543262280074637E-5</v>
      </c>
      <c r="X26">
        <v>0</v>
      </c>
      <c r="Y26">
        <v>0</v>
      </c>
      <c r="Z26">
        <v>0</v>
      </c>
      <c r="AA26">
        <v>0</v>
      </c>
      <c r="AB26">
        <v>1.4511041148208592E-4</v>
      </c>
    </row>
    <row r="27" spans="1:28" x14ac:dyDescent="0.55000000000000004">
      <c r="A27" s="2" t="s">
        <v>197</v>
      </c>
      <c r="B27" s="2" t="s">
        <v>198</v>
      </c>
      <c r="C27" s="2" t="s">
        <v>284</v>
      </c>
      <c r="D27">
        <v>0</v>
      </c>
      <c r="E27">
        <v>0</v>
      </c>
      <c r="F27">
        <v>0</v>
      </c>
      <c r="G27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55000000000000004">
      <c r="A28" s="2" t="s">
        <v>197</v>
      </c>
      <c r="B28" s="2" t="s">
        <v>198</v>
      </c>
      <c r="C28" s="2" t="s">
        <v>285</v>
      </c>
      <c r="D28">
        <v>9.9965965533691747E-2</v>
      </c>
      <c r="E28">
        <v>4.0212826170743482E-2</v>
      </c>
      <c r="F28">
        <v>5.1001469337251568E-2</v>
      </c>
      <c r="G28">
        <v>0.16699812217717119</v>
      </c>
      <c r="H28" s="5">
        <v>9.805101172327732E-2</v>
      </c>
      <c r="I28" s="5">
        <v>0.11396082492722749</v>
      </c>
      <c r="J28" s="5">
        <v>5.3966561357072222E-2</v>
      </c>
      <c r="K28" s="5">
        <v>0.1177585515840591</v>
      </c>
      <c r="L28" s="5">
        <v>0.11560846590622555</v>
      </c>
      <c r="M28">
        <v>5.2624156787549649E-2</v>
      </c>
      <c r="N28">
        <v>3.6837911657144409E-2</v>
      </c>
      <c r="O28">
        <v>5.2124887721659324E-2</v>
      </c>
      <c r="P28">
        <v>0.12069686097241994</v>
      </c>
      <c r="Q28">
        <v>0.16699812217717119</v>
      </c>
      <c r="R28">
        <v>5.9786530258685647E-2</v>
      </c>
      <c r="S28">
        <v>0.11020815251511483</v>
      </c>
      <c r="T28">
        <v>0.1243223240195655</v>
      </c>
      <c r="U28">
        <v>0.11611626895538413</v>
      </c>
      <c r="V28">
        <v>0.10453398240660457</v>
      </c>
      <c r="W28">
        <v>9.2046675586109294E-2</v>
      </c>
      <c r="X28">
        <v>5.4971704180064307E-2</v>
      </c>
      <c r="Y28">
        <v>4.0946194016395467E-2</v>
      </c>
      <c r="Z28">
        <v>0.25964901727444911</v>
      </c>
      <c r="AA28">
        <v>6.6651730183200086E-2</v>
      </c>
      <c r="AB28">
        <v>6.6209593462021904E-2</v>
      </c>
    </row>
    <row r="29" spans="1:28" x14ac:dyDescent="0.55000000000000004">
      <c r="A29" s="2" t="s">
        <v>197</v>
      </c>
      <c r="B29" s="2" t="s">
        <v>198</v>
      </c>
      <c r="C29" s="2" t="s">
        <v>114</v>
      </c>
      <c r="D29">
        <v>5.1538408317190613E-4</v>
      </c>
      <c r="E29">
        <v>6.0994093625580672E-4</v>
      </c>
      <c r="F29">
        <v>1.0130693681849818E-3</v>
      </c>
      <c r="G29">
        <v>6.1740617695412142E-5</v>
      </c>
      <c r="H29" s="5">
        <v>7.4750479548497712E-4</v>
      </c>
      <c r="I29" s="5">
        <v>2.725686948469353E-4</v>
      </c>
      <c r="J29" s="5">
        <v>7.1001522539491349E-4</v>
      </c>
      <c r="K29" s="5">
        <v>2.9727344522301272E-4</v>
      </c>
      <c r="L29" s="5">
        <v>2.8985483537229114E-5</v>
      </c>
      <c r="M29">
        <v>8.6426848532594833E-4</v>
      </c>
      <c r="N29">
        <v>4.7566464080983032E-4</v>
      </c>
      <c r="O29">
        <v>1.0302252369518924E-3</v>
      </c>
      <c r="P29">
        <v>2.6903030607925771E-4</v>
      </c>
      <c r="Q29">
        <v>6.1740617695412142E-5</v>
      </c>
      <c r="R29">
        <v>5.401217417485935E-4</v>
      </c>
      <c r="S29">
        <v>1.3443703472269042E-3</v>
      </c>
      <c r="T29">
        <v>1.1009154392516019E-4</v>
      </c>
      <c r="U29">
        <v>3.4410712020553402E-4</v>
      </c>
      <c r="V29">
        <v>4.5720680077994646E-4</v>
      </c>
      <c r="W29">
        <v>4.8654754828998393E-4</v>
      </c>
      <c r="X29">
        <v>4.4409723472668808E-4</v>
      </c>
      <c r="Y29">
        <v>8.5712826025668434E-4</v>
      </c>
      <c r="Z29">
        <v>0</v>
      </c>
      <c r="AA29">
        <v>3.8755970519997332E-5</v>
      </c>
      <c r="AB29">
        <v>6.4945523657121526E-4</v>
      </c>
    </row>
    <row r="30" spans="1:28" x14ac:dyDescent="0.55000000000000004">
      <c r="A30" s="2" t="s">
        <v>197</v>
      </c>
      <c r="B30" s="2" t="s">
        <v>198</v>
      </c>
      <c r="C30" s="2" t="s">
        <v>113</v>
      </c>
      <c r="D30">
        <v>1.058181616157839E-3</v>
      </c>
      <c r="E30">
        <v>2.734625390235133E-4</v>
      </c>
      <c r="F30">
        <v>8.3520222720593923E-4</v>
      </c>
      <c r="G30">
        <v>0</v>
      </c>
      <c r="H30" s="5">
        <v>3.7256562987411108E-3</v>
      </c>
      <c r="I30" s="5">
        <v>6.0243368658401705E-4</v>
      </c>
      <c r="J30" s="5">
        <v>8.2063246128161898E-4</v>
      </c>
      <c r="K30" s="5">
        <v>0</v>
      </c>
      <c r="L30" s="5">
        <v>1.909453152065885E-3</v>
      </c>
      <c r="M30">
        <v>2.3201893390614641E-4</v>
      </c>
      <c r="N30">
        <v>0</v>
      </c>
      <c r="O30">
        <v>5.8441867987089273E-4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2.4484328236528221E-4</v>
      </c>
      <c r="X30">
        <v>0</v>
      </c>
      <c r="Y30">
        <v>0</v>
      </c>
      <c r="Z30">
        <v>0</v>
      </c>
      <c r="AA30">
        <v>2.557894054319824E-3</v>
      </c>
      <c r="AB30">
        <v>0</v>
      </c>
    </row>
    <row r="31" spans="1:28" x14ac:dyDescent="0.55000000000000004">
      <c r="A31" s="2" t="s">
        <v>197</v>
      </c>
      <c r="B31" s="2" t="s">
        <v>198</v>
      </c>
      <c r="C31" s="2" t="s">
        <v>182</v>
      </c>
      <c r="D31">
        <v>1.5373038673083318E-5</v>
      </c>
      <c r="E31">
        <v>4.1431487649420688E-6</v>
      </c>
      <c r="F31">
        <v>7.7333539556105493E-6</v>
      </c>
      <c r="G31">
        <v>0</v>
      </c>
      <c r="H31" s="5">
        <v>5.4398638616150958E-5</v>
      </c>
      <c r="I31" s="5">
        <v>1.8452874045885357E-5</v>
      </c>
      <c r="J31" s="5">
        <v>1.9239254028743092E-5</v>
      </c>
      <c r="K31" s="5">
        <v>0</v>
      </c>
      <c r="L31" s="5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55000000000000004">
      <c r="A32" s="2" t="s">
        <v>197</v>
      </c>
      <c r="B32" s="2" t="s">
        <v>198</v>
      </c>
      <c r="C32" s="2" t="s">
        <v>183</v>
      </c>
      <c r="D32">
        <v>2.349394375480198E-3</v>
      </c>
      <c r="E32">
        <v>5.1387737525809525E-3</v>
      </c>
      <c r="F32">
        <v>6.395483721289924E-3</v>
      </c>
      <c r="G32">
        <v>4.6618073539170489E-3</v>
      </c>
      <c r="H32" s="5">
        <v>1.2185430681163822E-3</v>
      </c>
      <c r="I32" s="5">
        <v>2.9641799841786261E-3</v>
      </c>
      <c r="J32" s="5">
        <v>4.8402843316144627E-3</v>
      </c>
      <c r="K32" s="5">
        <v>8.3831193590942689E-4</v>
      </c>
      <c r="L32" s="5">
        <v>0</v>
      </c>
      <c r="M32">
        <v>5.6432792958263991E-3</v>
      </c>
      <c r="N32">
        <v>4.7409109374248245E-3</v>
      </c>
      <c r="O32">
        <v>6.5050377442363722E-3</v>
      </c>
      <c r="P32">
        <v>4.6764595113188631E-3</v>
      </c>
      <c r="Q32">
        <v>4.6618073539170489E-3</v>
      </c>
      <c r="R32">
        <v>4.0595859130361052E-3</v>
      </c>
      <c r="S32">
        <v>1.7283113204032521E-4</v>
      </c>
      <c r="T32">
        <v>3.1904416210880087E-3</v>
      </c>
      <c r="U32">
        <v>2.497994973211131E-4</v>
      </c>
      <c r="V32">
        <v>6.2710738490527422E-4</v>
      </c>
      <c r="W32">
        <v>5.6249827330801814E-3</v>
      </c>
      <c r="X32">
        <v>9.0652413970418002E-5</v>
      </c>
      <c r="Y32">
        <v>5.7435978803467465E-3</v>
      </c>
      <c r="Z32">
        <v>0</v>
      </c>
      <c r="AA32">
        <v>0</v>
      </c>
      <c r="AB32">
        <v>9.7925051656079926E-3</v>
      </c>
    </row>
    <row r="33" spans="1:28" x14ac:dyDescent="0.55000000000000004">
      <c r="A33" s="2" t="s">
        <v>197</v>
      </c>
      <c r="B33" s="2" t="s">
        <v>198</v>
      </c>
      <c r="C33" s="2" t="s">
        <v>184</v>
      </c>
      <c r="D33">
        <v>5.502823910546416E-4</v>
      </c>
      <c r="E33">
        <v>3.4524403060272665E-4</v>
      </c>
      <c r="F33">
        <v>1.3997370659655094E-3</v>
      </c>
      <c r="G33">
        <v>1.3248916064427588E-3</v>
      </c>
      <c r="H33" s="5">
        <v>9.4457011590457439E-4</v>
      </c>
      <c r="I33" s="5">
        <v>2.0532009577554696E-4</v>
      </c>
      <c r="J33" s="5">
        <v>9.3972679396292405E-4</v>
      </c>
      <c r="K33" s="5">
        <v>8.915633010020906E-5</v>
      </c>
      <c r="L33">
        <v>0</v>
      </c>
      <c r="M33">
        <v>7.0898378641071264E-4</v>
      </c>
      <c r="N33">
        <v>0</v>
      </c>
      <c r="O33">
        <v>1.4531012382656698E-3</v>
      </c>
      <c r="P33">
        <v>4.746717718831355E-4</v>
      </c>
      <c r="Q33">
        <v>1.3248916064427588E-3</v>
      </c>
      <c r="R33">
        <v>7.8797823662561672E-4</v>
      </c>
      <c r="S33">
        <v>2.4848969002361096E-4</v>
      </c>
      <c r="T33">
        <v>2.1447545076622973E-4</v>
      </c>
      <c r="U33">
        <v>5.7800975091667562E-5</v>
      </c>
      <c r="V33">
        <v>1.6967817260114067E-4</v>
      </c>
      <c r="W33">
        <v>1.2018984829434067E-3</v>
      </c>
      <c r="X33">
        <v>2.0787229839228297E-5</v>
      </c>
      <c r="Y33">
        <v>0</v>
      </c>
      <c r="Z33">
        <v>0</v>
      </c>
      <c r="AA33">
        <v>0</v>
      </c>
      <c r="AB33">
        <v>4.9212502793869991E-3</v>
      </c>
    </row>
    <row r="34" spans="1:28" x14ac:dyDescent="0.55000000000000004">
      <c r="A34" s="2" t="s">
        <v>197</v>
      </c>
      <c r="B34" s="2" t="s">
        <v>198</v>
      </c>
      <c r="C34" s="2" t="s">
        <v>185</v>
      </c>
      <c r="D34">
        <v>5.128739748960458E-7</v>
      </c>
      <c r="E34">
        <v>8.0779849241081559E-7</v>
      </c>
      <c r="F34">
        <v>0</v>
      </c>
      <c r="G34">
        <v>0</v>
      </c>
      <c r="H34" s="5">
        <v>0</v>
      </c>
      <c r="I34" s="5">
        <v>3.5977959471414929E-6</v>
      </c>
      <c r="J34" s="5">
        <v>3.7511181184305564E-6</v>
      </c>
      <c r="K34" s="5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3.9592878016900121E-5</v>
      </c>
    </row>
    <row r="35" spans="1:28" x14ac:dyDescent="0.55000000000000004">
      <c r="A35" s="2" t="s">
        <v>197</v>
      </c>
      <c r="B35" s="2" t="s">
        <v>198</v>
      </c>
      <c r="C35" s="2" t="s">
        <v>186</v>
      </c>
      <c r="D35">
        <v>1.305118780796013E-7</v>
      </c>
      <c r="E35">
        <v>2.0556180175797547E-7</v>
      </c>
      <c r="F35">
        <v>0</v>
      </c>
      <c r="G35">
        <v>0</v>
      </c>
      <c r="H35" s="5">
        <v>0</v>
      </c>
      <c r="I35" s="5">
        <v>9.1553701102456423E-7</v>
      </c>
      <c r="J35" s="5">
        <v>9.5455315437680561E-7</v>
      </c>
      <c r="K35" s="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55000000000000004">
      <c r="A36" s="2" t="s">
        <v>197</v>
      </c>
      <c r="B36" s="2" t="s">
        <v>198</v>
      </c>
      <c r="C36" s="2" t="s">
        <v>187</v>
      </c>
      <c r="D36">
        <v>5.7562585912652675E-7</v>
      </c>
      <c r="E36">
        <v>5.3826553854600858E-7</v>
      </c>
      <c r="F36">
        <v>0</v>
      </c>
      <c r="G36">
        <v>0</v>
      </c>
      <c r="H36">
        <v>5.6633903286805854E-7</v>
      </c>
      <c r="I36" s="5">
        <v>2.3973423957343776E-6</v>
      </c>
      <c r="J36" s="5">
        <v>2.4995065392371121E-6</v>
      </c>
      <c r="K36" s="5">
        <v>0</v>
      </c>
      <c r="L36">
        <v>0</v>
      </c>
      <c r="M36">
        <v>1.2445089796858334E-6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7.2984296528197821E-7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55000000000000004">
      <c r="A37" s="2" t="s">
        <v>197</v>
      </c>
      <c r="B37" s="2" t="s">
        <v>198</v>
      </c>
      <c r="C37" s="2" t="s">
        <v>188</v>
      </c>
      <c r="D37">
        <v>5.2437192573155818E-4</v>
      </c>
      <c r="E37">
        <v>8.0295410866410271E-4</v>
      </c>
      <c r="F37">
        <v>6.4186837831567553E-4</v>
      </c>
      <c r="G37">
        <v>1.8360650696640983E-4</v>
      </c>
      <c r="H37">
        <v>5.0906557188036767E-4</v>
      </c>
      <c r="I37" s="5">
        <v>6.822982195216448E-4</v>
      </c>
      <c r="J37" s="5">
        <v>7.5105375881147449E-4</v>
      </c>
      <c r="K37" s="5">
        <v>4.6941047090215393E-4</v>
      </c>
      <c r="L37">
        <v>0</v>
      </c>
      <c r="M37">
        <v>6.9471443437708739E-4</v>
      </c>
      <c r="N37">
        <v>8.6619651965298206E-4</v>
      </c>
      <c r="O37">
        <v>6.5927378853219596E-4</v>
      </c>
      <c r="P37">
        <v>9.9454162814332429E-4</v>
      </c>
      <c r="Q37">
        <v>1.8360650696640983E-4</v>
      </c>
      <c r="R37">
        <v>9.000366809077694E-4</v>
      </c>
      <c r="S37">
        <v>8.1306195339719562E-4</v>
      </c>
      <c r="T37">
        <v>7.2493188613692648E-4</v>
      </c>
      <c r="U37">
        <v>4.0547797086232809E-4</v>
      </c>
      <c r="V37">
        <v>4.7736140895619078E-4</v>
      </c>
      <c r="W37">
        <v>2.5956187228492398E-4</v>
      </c>
      <c r="X37">
        <v>2.4670672668810289E-4</v>
      </c>
      <c r="Y37">
        <v>1.0333072436724314E-3</v>
      </c>
      <c r="Z37">
        <v>0</v>
      </c>
      <c r="AA37">
        <v>0</v>
      </c>
      <c r="AB37">
        <v>5.4301996156731682E-4</v>
      </c>
    </row>
    <row r="38" spans="1:28" x14ac:dyDescent="0.55000000000000004">
      <c r="A38" s="2" t="s">
        <v>197</v>
      </c>
      <c r="B38" s="2" t="s">
        <v>198</v>
      </c>
      <c r="C38" s="2" t="s">
        <v>189</v>
      </c>
      <c r="D38">
        <v>2.4915628749830772E-5</v>
      </c>
      <c r="E38">
        <v>0</v>
      </c>
      <c r="F38">
        <v>0</v>
      </c>
      <c r="G38">
        <v>0</v>
      </c>
      <c r="H38">
        <v>4.9246424285543584E-5</v>
      </c>
      <c r="I38" s="5">
        <v>3.7599089845863385E-5</v>
      </c>
      <c r="J38" s="5">
        <v>1.0267751117112044E-5</v>
      </c>
      <c r="K38" s="5">
        <v>2.4252404469605982E-5</v>
      </c>
      <c r="L38">
        <v>4.8645394304825437E-5</v>
      </c>
      <c r="M38">
        <v>0</v>
      </c>
      <c r="N38">
        <v>0</v>
      </c>
      <c r="O38">
        <v>0</v>
      </c>
      <c r="P38">
        <v>0</v>
      </c>
      <c r="Q38">
        <v>0</v>
      </c>
      <c r="R38">
        <v>1.7840711179263211E-5</v>
      </c>
      <c r="S38">
        <v>1.9932250668611293E-5</v>
      </c>
      <c r="T38">
        <v>4.3823590848636703E-5</v>
      </c>
      <c r="U38">
        <v>1.9355613831501616E-5</v>
      </c>
      <c r="V38">
        <v>6.3464028160087978E-5</v>
      </c>
      <c r="W38">
        <v>0</v>
      </c>
      <c r="X38">
        <v>4.0321543408360131E-6</v>
      </c>
      <c r="Y38">
        <v>0</v>
      </c>
      <c r="Z38">
        <v>0</v>
      </c>
      <c r="AA38">
        <v>6.5165131036460752E-5</v>
      </c>
      <c r="AB38">
        <v>4.7886435789088425E-5</v>
      </c>
    </row>
    <row r="39" spans="1:28" x14ac:dyDescent="0.55000000000000004">
      <c r="A39" s="2" t="s">
        <v>197</v>
      </c>
      <c r="B39" s="2" t="s">
        <v>198</v>
      </c>
      <c r="C39" s="2" t="s">
        <v>190</v>
      </c>
      <c r="D39">
        <v>9.0361416162918767E-5</v>
      </c>
      <c r="E39">
        <v>1.0170709193762438E-4</v>
      </c>
      <c r="F39">
        <v>1.0826695537854767E-4</v>
      </c>
      <c r="G39">
        <v>1.331048928830791E-4</v>
      </c>
      <c r="H39">
        <v>8.4505828358546461E-5</v>
      </c>
      <c r="I39" s="5">
        <v>1.4677611850358834E-4</v>
      </c>
      <c r="J39" s="5">
        <v>1.3248915870600817E-4</v>
      </c>
      <c r="K39" s="5">
        <v>6.8000116741446547E-5</v>
      </c>
      <c r="L39">
        <v>1.0789607431030568E-4</v>
      </c>
      <c r="M39">
        <v>1.0635513399688568E-4</v>
      </c>
      <c r="N39">
        <v>9.4554586696447165E-5</v>
      </c>
      <c r="O39">
        <v>9.9699789400210301E-5</v>
      </c>
      <c r="P39">
        <v>1.222698627594407E-4</v>
      </c>
      <c r="Q39">
        <v>1.331048928830791E-4</v>
      </c>
      <c r="R39">
        <v>1.0962947319594791E-4</v>
      </c>
      <c r="S39">
        <v>1.3309614167147222E-4</v>
      </c>
      <c r="T39">
        <v>1.2176158331733439E-4</v>
      </c>
      <c r="U39">
        <v>5.4548778579257625E-5</v>
      </c>
      <c r="V39">
        <v>7.0102210888493545E-5</v>
      </c>
      <c r="W39">
        <v>6.922252893702643E-5</v>
      </c>
      <c r="X39">
        <v>7.0824437299035374E-5</v>
      </c>
      <c r="Y39">
        <v>1.3419799481592413E-4</v>
      </c>
      <c r="Z39">
        <v>3.1394198068865684E-4</v>
      </c>
      <c r="AA39">
        <v>3.7995168156771396E-5</v>
      </c>
      <c r="AB39">
        <v>1.0232333953951211E-4</v>
      </c>
    </row>
    <row r="40" spans="1:28" x14ac:dyDescent="0.55000000000000004">
      <c r="A40" s="2" t="s">
        <v>197</v>
      </c>
      <c r="B40" s="2" t="s">
        <v>198</v>
      </c>
      <c r="C40" s="2" t="s">
        <v>191</v>
      </c>
      <c r="D40">
        <v>2.1306548348705743E-4</v>
      </c>
      <c r="E40">
        <v>2.5562014091657281E-4</v>
      </c>
      <c r="F40">
        <v>1.9333384889026371E-4</v>
      </c>
      <c r="G40">
        <v>2.0447359793189488E-4</v>
      </c>
      <c r="H40">
        <v>4.9852194889094654E-4</v>
      </c>
      <c r="I40" s="5">
        <v>6.3837806207393466E-5</v>
      </c>
      <c r="J40" s="5">
        <v>1.7146503444831875E-4</v>
      </c>
      <c r="K40" s="5">
        <v>6.7312884547828195E-5</v>
      </c>
      <c r="L40">
        <v>1.0182699203105394E-3</v>
      </c>
      <c r="M40">
        <v>1.5424954857723428E-4</v>
      </c>
      <c r="N40">
        <v>2.710358032170856E-4</v>
      </c>
      <c r="O40">
        <v>1.7643961827139886E-4</v>
      </c>
      <c r="P40">
        <v>4.7747291980067551E-4</v>
      </c>
      <c r="Q40">
        <v>2.0447359793189488E-4</v>
      </c>
      <c r="R40">
        <v>9.6065367888340379E-5</v>
      </c>
      <c r="S40">
        <v>8.7422152055312681E-5</v>
      </c>
      <c r="T40">
        <v>0</v>
      </c>
      <c r="U40">
        <v>8.4154842745659208E-5</v>
      </c>
      <c r="V40">
        <v>2.0995618338675787E-4</v>
      </c>
      <c r="W40">
        <v>1.8639356935488561E-4</v>
      </c>
      <c r="X40">
        <v>4.6263665594855301E-5</v>
      </c>
      <c r="Y40">
        <v>0</v>
      </c>
      <c r="Z40">
        <v>2.7812793451329107E-3</v>
      </c>
      <c r="AA40">
        <v>4.1996093893956465E-4</v>
      </c>
      <c r="AB40">
        <v>1.7026288280564723E-4</v>
      </c>
    </row>
    <row r="41" spans="1:28" x14ac:dyDescent="0.55000000000000004">
      <c r="A41" s="2" t="s">
        <v>197</v>
      </c>
      <c r="B41" s="2" t="s">
        <v>198</v>
      </c>
      <c r="C41" s="2" t="s">
        <v>286</v>
      </c>
      <c r="D41">
        <v>7.9729863809345805E-6</v>
      </c>
      <c r="E41">
        <v>0</v>
      </c>
      <c r="F41">
        <v>0</v>
      </c>
      <c r="G41">
        <v>0</v>
      </c>
      <c r="H41">
        <v>0</v>
      </c>
      <c r="I41" s="5">
        <v>0</v>
      </c>
      <c r="J41" s="5">
        <v>0</v>
      </c>
      <c r="K41" s="5">
        <v>1.923225272795091E-5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2.404424078447406E-5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55000000000000004">
      <c r="A42" s="2" t="s">
        <v>197</v>
      </c>
      <c r="B42" s="2" t="s">
        <v>198</v>
      </c>
      <c r="C42" s="2" t="s">
        <v>287</v>
      </c>
      <c r="D42">
        <v>2.616164090632879E-7</v>
      </c>
      <c r="E42">
        <v>4.1205705724118746E-7</v>
      </c>
      <c r="F42">
        <v>0</v>
      </c>
      <c r="G42">
        <v>0</v>
      </c>
      <c r="H42">
        <v>0</v>
      </c>
      <c r="I42" s="5">
        <v>1.8352314648533078E-6</v>
      </c>
      <c r="J42" s="5">
        <v>1.9134409234060863E-6</v>
      </c>
      <c r="K42" s="5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55000000000000004">
      <c r="A43" s="2" t="s">
        <v>197</v>
      </c>
      <c r="B43" s="2" t="s">
        <v>198</v>
      </c>
      <c r="C43" s="2" t="s">
        <v>192</v>
      </c>
      <c r="D43">
        <v>2.3146491766564355E-2</v>
      </c>
      <c r="E43">
        <v>2.3891526404316472E-2</v>
      </c>
      <c r="F43">
        <v>2.4684865826308869E-2</v>
      </c>
      <c r="G43">
        <v>1.5830280537962756E-2</v>
      </c>
      <c r="H43">
        <v>2.0896868195104477E-2</v>
      </c>
      <c r="I43" s="5">
        <v>2.2716613609984407E-2</v>
      </c>
      <c r="J43" s="5">
        <v>2.7035369977864848E-2</v>
      </c>
      <c r="K43" s="5">
        <v>2.2945829129117766E-2</v>
      </c>
      <c r="L43">
        <v>5.3686447624932389E-2</v>
      </c>
      <c r="M43">
        <v>2.7250259041754033E-2</v>
      </c>
      <c r="N43">
        <v>2.3641807616367205E-2</v>
      </c>
      <c r="O43">
        <v>2.4768006718759623E-2</v>
      </c>
      <c r="P43">
        <v>2.7438673495800946E-2</v>
      </c>
      <c r="Q43">
        <v>1.5830280537962756E-2</v>
      </c>
      <c r="R43">
        <v>2.9027579247704889E-2</v>
      </c>
      <c r="S43">
        <v>3.4413698122170634E-2</v>
      </c>
      <c r="T43">
        <v>2.1365358998374179E-2</v>
      </c>
      <c r="U43">
        <v>2.3341269200564802E-2</v>
      </c>
      <c r="V43">
        <v>2.0674822892817191E-2</v>
      </c>
      <c r="W43">
        <v>1.645510990779462E-2</v>
      </c>
      <c r="X43">
        <v>2.6081337867809928E-2</v>
      </c>
      <c r="Y43">
        <v>3.1481342891049119E-2</v>
      </c>
      <c r="Z43">
        <v>5.6545144161336686E-2</v>
      </c>
      <c r="AA43">
        <v>5.2715017738895406E-2</v>
      </c>
      <c r="AB43">
        <v>1.7086263157292024E-2</v>
      </c>
    </row>
    <row r="44" spans="1:28" x14ac:dyDescent="0.55000000000000004">
      <c r="A44" s="2" t="s">
        <v>197</v>
      </c>
      <c r="B44" s="2" t="s">
        <v>198</v>
      </c>
      <c r="C44" s="2" t="s">
        <v>288</v>
      </c>
      <c r="D44">
        <v>0</v>
      </c>
      <c r="E44">
        <v>0</v>
      </c>
      <c r="F44">
        <v>0</v>
      </c>
      <c r="G44">
        <v>0</v>
      </c>
      <c r="H44">
        <v>0</v>
      </c>
      <c r="I44" s="5">
        <v>0</v>
      </c>
      <c r="J44" s="5">
        <v>0</v>
      </c>
      <c r="K44" s="5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55000000000000004">
      <c r="A45" s="2" t="s">
        <v>197</v>
      </c>
      <c r="B45" s="2" t="s">
        <v>198</v>
      </c>
      <c r="C45" s="2" t="s">
        <v>193</v>
      </c>
      <c r="D45">
        <v>6.0521461140225822E-4</v>
      </c>
      <c r="E45">
        <v>9.2891695570546107E-4</v>
      </c>
      <c r="F45">
        <v>1.0594694919186451E-3</v>
      </c>
      <c r="G45">
        <v>1.101425448871717E-4</v>
      </c>
      <c r="H45">
        <v>8.9352859057554332E-4</v>
      </c>
      <c r="I45" s="5">
        <v>6.7970901996643727E-4</v>
      </c>
      <c r="J45" s="5">
        <v>4.4501122924013521E-4</v>
      </c>
      <c r="K45" s="5">
        <v>4.0187535769943843E-4</v>
      </c>
      <c r="L45">
        <v>5.0756659052997485E-5</v>
      </c>
      <c r="M45">
        <v>6.0874173744069531E-4</v>
      </c>
      <c r="N45">
        <v>8.9818089283286216E-4</v>
      </c>
      <c r="O45">
        <v>1.105897805093524E-3</v>
      </c>
      <c r="P45">
        <v>7.6312663854005962E-4</v>
      </c>
      <c r="Q45">
        <v>1.101425448871717E-4</v>
      </c>
      <c r="R45">
        <v>1.4020979892823002E-4</v>
      </c>
      <c r="S45">
        <v>1.6738529189076652E-3</v>
      </c>
      <c r="T45">
        <v>6.4192892229364559E-4</v>
      </c>
      <c r="U45">
        <v>3.4181297696364582E-4</v>
      </c>
      <c r="V45">
        <v>1.0119987303606266E-3</v>
      </c>
      <c r="W45">
        <v>9.1395767207788712E-4</v>
      </c>
      <c r="X45">
        <v>2.4936752072025724E-4</v>
      </c>
      <c r="Y45">
        <v>1.4264474137868803E-4</v>
      </c>
      <c r="Z45">
        <v>0</v>
      </c>
      <c r="AA45">
        <v>6.7939257673456209E-5</v>
      </c>
      <c r="AB45">
        <v>1.0992610276548811E-4</v>
      </c>
    </row>
    <row r="46" spans="1:28" x14ac:dyDescent="0.55000000000000004">
      <c r="A46" s="2" t="s">
        <v>197</v>
      </c>
      <c r="B46" s="2" t="s">
        <v>198</v>
      </c>
      <c r="C46" s="2" t="s">
        <v>194</v>
      </c>
      <c r="D46">
        <v>6.8485612584203128E-6</v>
      </c>
      <c r="E46">
        <v>1.2206824500921604E-5</v>
      </c>
      <c r="F46">
        <v>4.6400123733663285E-5</v>
      </c>
      <c r="G46">
        <v>0</v>
      </c>
      <c r="H46">
        <v>1.98220017163925E-6</v>
      </c>
      <c r="I46" s="5">
        <v>0</v>
      </c>
      <c r="J46" s="5">
        <v>1.7005196587055148E-5</v>
      </c>
      <c r="K46" s="5">
        <v>0</v>
      </c>
      <c r="L46">
        <v>0</v>
      </c>
      <c r="M46">
        <v>1.633621653752342E-5</v>
      </c>
      <c r="N46">
        <v>0</v>
      </c>
      <c r="O46">
        <v>5.1619882022752377E-5</v>
      </c>
      <c r="P46">
        <v>1.7052718821697307E-5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55000000000000004">
      <c r="A47" s="2" t="s">
        <v>197</v>
      </c>
      <c r="B47" s="2" t="s">
        <v>198</v>
      </c>
      <c r="C47" s="2" t="s">
        <v>195</v>
      </c>
      <c r="D47">
        <v>5.2409572796312767E-5</v>
      </c>
      <c r="E47">
        <v>1.0714780680083134E-4</v>
      </c>
      <c r="F47">
        <v>1.8560049493465314E-4</v>
      </c>
      <c r="G47">
        <v>0</v>
      </c>
      <c r="H47">
        <v>2.2986334272514555E-5</v>
      </c>
      <c r="I47" s="5">
        <v>0</v>
      </c>
      <c r="J47" s="5">
        <v>6.3425917622845165E-5</v>
      </c>
      <c r="K47" s="5">
        <v>0</v>
      </c>
      <c r="L47">
        <v>0</v>
      </c>
      <c r="M47">
        <v>3.2394726891669609E-4</v>
      </c>
      <c r="N47">
        <v>8.2926139902988742E-5</v>
      </c>
      <c r="O47">
        <v>1.9253163984992493E-4</v>
      </c>
      <c r="P47">
        <v>1.8093634538270397E-4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2.985412977006084E-4</v>
      </c>
      <c r="X47">
        <v>0</v>
      </c>
      <c r="Y47">
        <v>4.8985103285826702E-4</v>
      </c>
      <c r="Z47">
        <v>0</v>
      </c>
      <c r="AA47">
        <v>0</v>
      </c>
      <c r="AB47">
        <v>1.2258927562006601E-4</v>
      </c>
    </row>
    <row r="48" spans="1:28" x14ac:dyDescent="0.55000000000000004">
      <c r="I48" s="5"/>
      <c r="J48" s="5"/>
      <c r="K48" s="5"/>
    </row>
    <row r="49" spans="4:11" x14ac:dyDescent="0.55000000000000004">
      <c r="I49" s="5"/>
      <c r="J49" s="5"/>
      <c r="K49" s="5"/>
    </row>
    <row r="50" spans="4:11" x14ac:dyDescent="0.55000000000000004">
      <c r="I50" s="5"/>
      <c r="J50" s="5"/>
      <c r="K50" s="5"/>
    </row>
    <row r="51" spans="4:11" x14ac:dyDescent="0.55000000000000004">
      <c r="D51" s="5"/>
      <c r="F51" s="5"/>
      <c r="I51" s="5"/>
      <c r="J51" s="5"/>
      <c r="K51" s="5"/>
    </row>
    <row r="52" spans="4:11" x14ac:dyDescent="0.55000000000000004">
      <c r="D52" s="5"/>
      <c r="F52" s="5"/>
      <c r="I52" s="5"/>
      <c r="J52" s="5"/>
      <c r="K52" s="5"/>
    </row>
    <row r="53" spans="4:11" x14ac:dyDescent="0.55000000000000004">
      <c r="D53" s="5"/>
      <c r="F53" s="5"/>
      <c r="I53" s="5"/>
      <c r="J53" s="5"/>
      <c r="K53" s="5"/>
    </row>
    <row r="54" spans="4:11" x14ac:dyDescent="0.55000000000000004">
      <c r="D54" s="5"/>
      <c r="F54" s="5"/>
      <c r="I54" s="5"/>
      <c r="J54" s="5"/>
      <c r="K54" s="5"/>
    </row>
    <row r="55" spans="4:11" x14ac:dyDescent="0.55000000000000004">
      <c r="D55" s="5"/>
      <c r="F55" s="5"/>
      <c r="I55" s="5"/>
      <c r="J55" s="5"/>
      <c r="K55" s="5"/>
    </row>
    <row r="56" spans="4:11" x14ac:dyDescent="0.55000000000000004">
      <c r="D56" s="5"/>
      <c r="F56" s="5"/>
      <c r="I56" s="5"/>
      <c r="J56" s="5"/>
      <c r="K56" s="5"/>
    </row>
    <row r="57" spans="4:11" x14ac:dyDescent="0.55000000000000004">
      <c r="D57" s="5"/>
      <c r="F57" s="5"/>
      <c r="I57" s="5"/>
      <c r="J57" s="5"/>
      <c r="K57" s="5"/>
    </row>
    <row r="58" spans="4:11" x14ac:dyDescent="0.55000000000000004">
      <c r="D58" s="5"/>
      <c r="F58" s="5"/>
      <c r="I58" s="5"/>
      <c r="J58" s="5"/>
      <c r="K58" s="5"/>
    </row>
    <row r="59" spans="4:11" x14ac:dyDescent="0.55000000000000004">
      <c r="D59" s="5"/>
      <c r="F59" s="5"/>
      <c r="I59" s="5"/>
      <c r="J59" s="5"/>
      <c r="K59" s="5"/>
    </row>
    <row r="60" spans="4:11" x14ac:dyDescent="0.55000000000000004">
      <c r="D60" s="5"/>
      <c r="F60" s="5"/>
      <c r="I60" s="5"/>
      <c r="J60" s="5"/>
      <c r="K60" s="5"/>
    </row>
    <row r="61" spans="4:11" x14ac:dyDescent="0.55000000000000004">
      <c r="D61" s="5"/>
      <c r="F61" s="5"/>
      <c r="I61" s="5"/>
      <c r="J61" s="5"/>
      <c r="K61" s="5"/>
    </row>
    <row r="62" spans="4:11" x14ac:dyDescent="0.55000000000000004">
      <c r="D62" s="5"/>
      <c r="F62" s="5"/>
      <c r="I62" s="5"/>
      <c r="J62" s="5"/>
      <c r="K62" s="5"/>
    </row>
    <row r="63" spans="4:11" x14ac:dyDescent="0.55000000000000004">
      <c r="D63" s="5"/>
      <c r="F63" s="5"/>
      <c r="I63" s="5"/>
      <c r="J63" s="5"/>
      <c r="K63" s="5"/>
    </row>
    <row r="64" spans="4:11" x14ac:dyDescent="0.55000000000000004">
      <c r="D64" s="5"/>
      <c r="F64" s="5"/>
      <c r="I64" s="5"/>
      <c r="J64" s="5"/>
      <c r="K64" s="5"/>
    </row>
    <row r="65" spans="4:5" x14ac:dyDescent="0.55000000000000004">
      <c r="D65" s="5"/>
      <c r="E65" s="5"/>
    </row>
    <row r="66" spans="4:5" x14ac:dyDescent="0.55000000000000004">
      <c r="D66" s="5"/>
      <c r="E66" s="5"/>
    </row>
    <row r="67" spans="4:5" x14ac:dyDescent="0.55000000000000004">
      <c r="D67" s="5"/>
      <c r="E67" s="5"/>
    </row>
    <row r="68" spans="4:5" x14ac:dyDescent="0.55000000000000004">
      <c r="D68" s="5"/>
      <c r="E68" s="5"/>
    </row>
    <row r="69" spans="4:5" x14ac:dyDescent="0.55000000000000004">
      <c r="D69" s="5"/>
      <c r="E69" s="5"/>
    </row>
    <row r="70" spans="4:5" x14ac:dyDescent="0.55000000000000004">
      <c r="D70" s="5"/>
      <c r="E70" s="5"/>
    </row>
    <row r="71" spans="4:5" x14ac:dyDescent="0.55000000000000004">
      <c r="D71" s="5"/>
      <c r="E71" s="5"/>
    </row>
    <row r="72" spans="4:5" x14ac:dyDescent="0.55000000000000004">
      <c r="D72" s="5"/>
      <c r="E72" s="5"/>
    </row>
    <row r="73" spans="4:5" x14ac:dyDescent="0.55000000000000004">
      <c r="D73" s="5"/>
      <c r="E73" s="5"/>
    </row>
    <row r="74" spans="4:5" x14ac:dyDescent="0.55000000000000004">
      <c r="D74" s="5"/>
      <c r="E74" s="5"/>
    </row>
    <row r="75" spans="4:5" x14ac:dyDescent="0.55000000000000004">
      <c r="D75" s="5"/>
      <c r="E75" s="5"/>
    </row>
    <row r="76" spans="4:5" x14ac:dyDescent="0.55000000000000004">
      <c r="D76" s="5"/>
      <c r="E76" s="5"/>
    </row>
    <row r="77" spans="4:5" x14ac:dyDescent="0.55000000000000004">
      <c r="D77" s="5"/>
      <c r="E77" s="5"/>
    </row>
    <row r="78" spans="4:5" x14ac:dyDescent="0.55000000000000004">
      <c r="D78" s="5"/>
      <c r="E78" s="5"/>
    </row>
    <row r="79" spans="4:5" x14ac:dyDescent="0.55000000000000004">
      <c r="D79" s="5"/>
      <c r="E79" s="5"/>
    </row>
    <row r="80" spans="4:5" x14ac:dyDescent="0.55000000000000004">
      <c r="D80" s="5"/>
      <c r="E80" s="5"/>
    </row>
    <row r="81" spans="4:5" x14ac:dyDescent="0.55000000000000004">
      <c r="D81" s="5"/>
      <c r="E81" s="5"/>
    </row>
    <row r="82" spans="4:5" x14ac:dyDescent="0.55000000000000004">
      <c r="D82" s="5"/>
      <c r="E82" s="5"/>
    </row>
    <row r="83" spans="4:5" x14ac:dyDescent="0.55000000000000004">
      <c r="D83" s="5"/>
      <c r="E83" s="5"/>
    </row>
    <row r="84" spans="4:5" x14ac:dyDescent="0.55000000000000004">
      <c r="D84" s="5"/>
      <c r="E84" s="5"/>
    </row>
    <row r="85" spans="4:5" x14ac:dyDescent="0.55000000000000004">
      <c r="D85" s="5"/>
      <c r="E85" s="5"/>
    </row>
    <row r="86" spans="4:5" x14ac:dyDescent="0.55000000000000004">
      <c r="D86" s="5"/>
      <c r="E86" s="5"/>
    </row>
    <row r="87" spans="4:5" x14ac:dyDescent="0.55000000000000004">
      <c r="D87" s="5"/>
      <c r="E87" s="5"/>
    </row>
    <row r="88" spans="4:5" x14ac:dyDescent="0.55000000000000004">
      <c r="D88" s="5"/>
      <c r="E88" s="5"/>
    </row>
    <row r="89" spans="4:5" x14ac:dyDescent="0.55000000000000004">
      <c r="D89" s="5"/>
      <c r="E89" s="5"/>
    </row>
    <row r="90" spans="4:5" x14ac:dyDescent="0.55000000000000004">
      <c r="D90" s="5"/>
      <c r="E90" s="5"/>
    </row>
    <row r="91" spans="4:5" x14ac:dyDescent="0.55000000000000004">
      <c r="D91" s="5"/>
      <c r="E91" s="5"/>
    </row>
    <row r="92" spans="4:5" x14ac:dyDescent="0.55000000000000004">
      <c r="D92" s="5"/>
      <c r="E92" s="5"/>
    </row>
    <row r="93" spans="4:5" x14ac:dyDescent="0.55000000000000004">
      <c r="D93" s="5"/>
      <c r="E93" s="5"/>
    </row>
    <row r="94" spans="4:5" x14ac:dyDescent="0.55000000000000004">
      <c r="D94" s="5"/>
      <c r="E94" s="5"/>
    </row>
    <row r="95" spans="4:5" x14ac:dyDescent="0.55000000000000004">
      <c r="D95" s="5"/>
      <c r="E95" s="5"/>
    </row>
    <row r="96" spans="4:5" x14ac:dyDescent="0.55000000000000004">
      <c r="D96" s="5"/>
      <c r="E96" s="5"/>
    </row>
    <row r="97" spans="4:5" x14ac:dyDescent="0.55000000000000004">
      <c r="D97" s="5"/>
      <c r="E97" s="5"/>
    </row>
    <row r="98" spans="4:5" x14ac:dyDescent="0.55000000000000004">
      <c r="D98" s="5"/>
      <c r="E98" s="5"/>
    </row>
    <row r="99" spans="4:5" x14ac:dyDescent="0.55000000000000004">
      <c r="D99" s="5"/>
      <c r="E99" s="5"/>
    </row>
    <row r="100" spans="4:5" x14ac:dyDescent="0.55000000000000004">
      <c r="D100" s="5"/>
      <c r="E100" s="5"/>
    </row>
    <row r="101" spans="4:5" x14ac:dyDescent="0.55000000000000004">
      <c r="D101" s="5"/>
      <c r="E101" s="5"/>
    </row>
    <row r="102" spans="4:5" x14ac:dyDescent="0.55000000000000004">
      <c r="D102" s="5"/>
      <c r="E102" s="5"/>
    </row>
    <row r="103" spans="4:5" x14ac:dyDescent="0.55000000000000004">
      <c r="D103" s="5"/>
      <c r="E103" s="5"/>
    </row>
    <row r="104" spans="4:5" x14ac:dyDescent="0.55000000000000004">
      <c r="D104" s="5"/>
      <c r="E104" s="5"/>
    </row>
    <row r="105" spans="4:5" x14ac:dyDescent="0.55000000000000004">
      <c r="D105" s="5"/>
      <c r="E105" s="5"/>
    </row>
    <row r="106" spans="4:5" x14ac:dyDescent="0.55000000000000004">
      <c r="D106" s="5"/>
      <c r="E106" s="5"/>
    </row>
    <row r="107" spans="4:5" x14ac:dyDescent="0.55000000000000004">
      <c r="D107" s="5"/>
      <c r="E107" s="5"/>
    </row>
    <row r="108" spans="4:5" x14ac:dyDescent="0.55000000000000004">
      <c r="D108" s="5"/>
      <c r="E108" s="5"/>
    </row>
    <row r="109" spans="4:5" x14ac:dyDescent="0.55000000000000004">
      <c r="D109" s="5"/>
      <c r="E109" s="5"/>
    </row>
    <row r="110" spans="4:5" x14ac:dyDescent="0.55000000000000004">
      <c r="D110" s="5"/>
      <c r="E110" s="5"/>
    </row>
    <row r="111" spans="4:5" x14ac:dyDescent="0.55000000000000004">
      <c r="D111" s="5"/>
      <c r="E111" s="5"/>
    </row>
    <row r="112" spans="4:5" x14ac:dyDescent="0.55000000000000004">
      <c r="D112" s="5"/>
      <c r="E112" s="5"/>
    </row>
    <row r="113" spans="4:5" x14ac:dyDescent="0.55000000000000004">
      <c r="D113" s="5"/>
      <c r="E113" s="5"/>
    </row>
    <row r="114" spans="4:5" x14ac:dyDescent="0.55000000000000004">
      <c r="D114" s="5"/>
      <c r="E114" s="5"/>
    </row>
    <row r="115" spans="4:5" x14ac:dyDescent="0.55000000000000004">
      <c r="D115" s="5"/>
      <c r="E115" s="5"/>
    </row>
    <row r="116" spans="4:5" x14ac:dyDescent="0.55000000000000004">
      <c r="D116" s="5"/>
      <c r="E116" s="5"/>
    </row>
    <row r="117" spans="4:5" x14ac:dyDescent="0.55000000000000004">
      <c r="D117" s="5"/>
      <c r="E117" s="5"/>
    </row>
    <row r="118" spans="4:5" x14ac:dyDescent="0.55000000000000004">
      <c r="D118" s="5"/>
      <c r="E118" s="5"/>
    </row>
    <row r="119" spans="4:5" x14ac:dyDescent="0.55000000000000004">
      <c r="D119" s="5"/>
      <c r="E119" s="5"/>
    </row>
    <row r="120" spans="4:5" x14ac:dyDescent="0.55000000000000004">
      <c r="D120" s="5"/>
      <c r="E120" s="5"/>
    </row>
    <row r="121" spans="4:5" x14ac:dyDescent="0.55000000000000004">
      <c r="D121" s="5"/>
      <c r="E121" s="5"/>
    </row>
    <row r="122" spans="4:5" x14ac:dyDescent="0.55000000000000004">
      <c r="D122" s="5"/>
      <c r="E122" s="5"/>
    </row>
    <row r="123" spans="4:5" x14ac:dyDescent="0.55000000000000004">
      <c r="D123" s="5"/>
      <c r="E123" s="5"/>
    </row>
    <row r="124" spans="4:5" x14ac:dyDescent="0.55000000000000004">
      <c r="D124" s="5"/>
      <c r="E124" s="5"/>
    </row>
    <row r="125" spans="4:5" x14ac:dyDescent="0.55000000000000004">
      <c r="D125" s="5"/>
      <c r="E125" s="5"/>
    </row>
    <row r="126" spans="4:5" x14ac:dyDescent="0.55000000000000004">
      <c r="D126" s="5"/>
      <c r="E126" s="5"/>
    </row>
    <row r="127" spans="4:5" x14ac:dyDescent="0.55000000000000004">
      <c r="D127" s="5"/>
      <c r="E127" s="5"/>
    </row>
    <row r="128" spans="4:5" x14ac:dyDescent="0.55000000000000004">
      <c r="D128" s="5"/>
      <c r="E128" s="5"/>
    </row>
    <row r="129" spans="4:5" x14ac:dyDescent="0.55000000000000004">
      <c r="D129" s="5"/>
      <c r="E129" s="5"/>
    </row>
    <row r="130" spans="4:5" x14ac:dyDescent="0.55000000000000004">
      <c r="D130" s="5"/>
      <c r="E130" s="5"/>
    </row>
    <row r="131" spans="4:5" x14ac:dyDescent="0.55000000000000004">
      <c r="D131" s="5"/>
      <c r="E131" s="5"/>
    </row>
    <row r="132" spans="4:5" x14ac:dyDescent="0.55000000000000004">
      <c r="D132" s="5"/>
      <c r="E132" s="5"/>
    </row>
    <row r="133" spans="4:5" x14ac:dyDescent="0.55000000000000004">
      <c r="D133" s="5"/>
      <c r="E133" s="5"/>
    </row>
    <row r="134" spans="4:5" x14ac:dyDescent="0.55000000000000004">
      <c r="D134" s="5"/>
      <c r="E134" s="5"/>
    </row>
    <row r="135" spans="4:5" x14ac:dyDescent="0.55000000000000004">
      <c r="D135" s="5"/>
      <c r="E135" s="5"/>
    </row>
    <row r="136" spans="4:5" x14ac:dyDescent="0.55000000000000004">
      <c r="D136" s="5"/>
      <c r="E136" s="5"/>
    </row>
    <row r="137" spans="4:5" x14ac:dyDescent="0.55000000000000004">
      <c r="D137" s="5"/>
      <c r="E137" s="5"/>
    </row>
    <row r="138" spans="4:5" x14ac:dyDescent="0.55000000000000004">
      <c r="D138" s="5"/>
      <c r="E138" s="5"/>
    </row>
    <row r="139" spans="4:5" x14ac:dyDescent="0.55000000000000004">
      <c r="D139" s="5"/>
      <c r="E139" s="5"/>
    </row>
    <row r="140" spans="4:5" x14ac:dyDescent="0.55000000000000004">
      <c r="D140" s="5"/>
      <c r="E140" s="5"/>
    </row>
    <row r="141" spans="4:5" x14ac:dyDescent="0.55000000000000004">
      <c r="D141" s="5"/>
      <c r="E141" s="5"/>
    </row>
    <row r="142" spans="4:5" x14ac:dyDescent="0.55000000000000004">
      <c r="D142" s="5"/>
      <c r="E142" s="5"/>
    </row>
    <row r="143" spans="4:5" x14ac:dyDescent="0.55000000000000004">
      <c r="D143" s="5"/>
      <c r="E143" s="5"/>
    </row>
    <row r="144" spans="4:5" x14ac:dyDescent="0.55000000000000004">
      <c r="D144" s="5"/>
      <c r="E144" s="5"/>
    </row>
    <row r="145" spans="4:5" x14ac:dyDescent="0.55000000000000004">
      <c r="D145" s="5"/>
      <c r="E145" s="5"/>
    </row>
    <row r="146" spans="4:5" x14ac:dyDescent="0.55000000000000004">
      <c r="D146" s="5"/>
      <c r="E146" s="5"/>
    </row>
    <row r="147" spans="4:5" x14ac:dyDescent="0.55000000000000004">
      <c r="D147" s="5"/>
      <c r="E147" s="5"/>
    </row>
    <row r="148" spans="4:5" x14ac:dyDescent="0.55000000000000004">
      <c r="D148" s="5"/>
      <c r="E148" s="5"/>
    </row>
    <row r="149" spans="4:5" x14ac:dyDescent="0.55000000000000004">
      <c r="D149" s="5"/>
      <c r="E149" s="5"/>
    </row>
    <row r="150" spans="4:5" x14ac:dyDescent="0.55000000000000004">
      <c r="D150" s="5"/>
      <c r="E150" s="5"/>
    </row>
    <row r="151" spans="4:5" x14ac:dyDescent="0.55000000000000004">
      <c r="D151" s="5"/>
      <c r="E151" s="5"/>
    </row>
    <row r="152" spans="4:5" x14ac:dyDescent="0.55000000000000004">
      <c r="D152" s="5"/>
      <c r="E152" s="5"/>
    </row>
    <row r="153" spans="4:5" x14ac:dyDescent="0.55000000000000004">
      <c r="D153" s="5"/>
      <c r="E153" s="5"/>
    </row>
    <row r="154" spans="4:5" x14ac:dyDescent="0.55000000000000004">
      <c r="D154" s="5"/>
      <c r="E154" s="5"/>
    </row>
    <row r="155" spans="4:5" x14ac:dyDescent="0.55000000000000004">
      <c r="D155" s="5"/>
      <c r="E155" s="5"/>
    </row>
    <row r="156" spans="4:5" x14ac:dyDescent="0.55000000000000004">
      <c r="D156" s="5"/>
      <c r="E156" s="5"/>
    </row>
    <row r="157" spans="4:5" x14ac:dyDescent="0.55000000000000004">
      <c r="D157" s="5"/>
      <c r="E157" s="5"/>
    </row>
    <row r="158" spans="4:5" x14ac:dyDescent="0.55000000000000004">
      <c r="D158" s="5"/>
      <c r="E158" s="5"/>
    </row>
    <row r="159" spans="4:5" x14ac:dyDescent="0.55000000000000004">
      <c r="D159" s="5"/>
      <c r="E159" s="5"/>
    </row>
    <row r="160" spans="4:5" x14ac:dyDescent="0.55000000000000004">
      <c r="D160" s="5"/>
      <c r="E160" s="5"/>
    </row>
    <row r="161" spans="4:5" x14ac:dyDescent="0.55000000000000004">
      <c r="D161" s="5"/>
      <c r="E161" s="5"/>
    </row>
    <row r="162" spans="4:5" x14ac:dyDescent="0.55000000000000004">
      <c r="D162" s="5"/>
      <c r="E162" s="5"/>
    </row>
    <row r="163" spans="4:5" x14ac:dyDescent="0.55000000000000004">
      <c r="D163" s="5"/>
      <c r="E163" s="5"/>
    </row>
    <row r="164" spans="4:5" x14ac:dyDescent="0.55000000000000004">
      <c r="D164" s="5"/>
      <c r="E164" s="5"/>
    </row>
    <row r="165" spans="4:5" x14ac:dyDescent="0.55000000000000004">
      <c r="D165" s="5"/>
      <c r="E165" s="5"/>
    </row>
    <row r="166" spans="4:5" x14ac:dyDescent="0.55000000000000004">
      <c r="D166" s="5"/>
      <c r="E166" s="5"/>
    </row>
    <row r="167" spans="4:5" x14ac:dyDescent="0.55000000000000004">
      <c r="D167" s="5"/>
      <c r="E167" s="5"/>
    </row>
    <row r="168" spans="4:5" x14ac:dyDescent="0.55000000000000004">
      <c r="D168" s="5"/>
      <c r="E168" s="5"/>
    </row>
    <row r="169" spans="4:5" x14ac:dyDescent="0.55000000000000004">
      <c r="D169" s="5"/>
      <c r="E169" s="5"/>
    </row>
    <row r="170" spans="4:5" x14ac:dyDescent="0.55000000000000004">
      <c r="D170" s="5"/>
      <c r="E170" s="5"/>
    </row>
    <row r="171" spans="4:5" x14ac:dyDescent="0.55000000000000004">
      <c r="D171" s="5"/>
      <c r="E171" s="5"/>
    </row>
    <row r="172" spans="4:5" x14ac:dyDescent="0.55000000000000004">
      <c r="D172" s="5"/>
      <c r="E172" s="5"/>
    </row>
    <row r="173" spans="4:5" x14ac:dyDescent="0.55000000000000004">
      <c r="D173" s="5"/>
      <c r="E173" s="5"/>
    </row>
    <row r="174" spans="4:5" x14ac:dyDescent="0.55000000000000004">
      <c r="D174" s="5"/>
      <c r="E174" s="5"/>
    </row>
    <row r="175" spans="4:5" x14ac:dyDescent="0.55000000000000004">
      <c r="D175" s="5"/>
      <c r="E175" s="5"/>
    </row>
    <row r="176" spans="4:5" x14ac:dyDescent="0.55000000000000004">
      <c r="D176" s="5"/>
      <c r="E176" s="5"/>
    </row>
    <row r="177" spans="4:5" x14ac:dyDescent="0.55000000000000004">
      <c r="D177" s="5"/>
      <c r="E177" s="5"/>
    </row>
    <row r="178" spans="4:5" x14ac:dyDescent="0.55000000000000004">
      <c r="D178" s="5"/>
      <c r="E178" s="5"/>
    </row>
    <row r="179" spans="4:5" x14ac:dyDescent="0.55000000000000004">
      <c r="D179" s="5"/>
      <c r="E179" s="5"/>
    </row>
    <row r="180" spans="4:5" x14ac:dyDescent="0.55000000000000004">
      <c r="D180" s="5"/>
      <c r="E180" s="5"/>
    </row>
    <row r="181" spans="4:5" x14ac:dyDescent="0.55000000000000004">
      <c r="D181" s="5"/>
      <c r="E181" s="5"/>
    </row>
    <row r="182" spans="4:5" x14ac:dyDescent="0.55000000000000004">
      <c r="D182" s="5"/>
      <c r="E182" s="5"/>
    </row>
    <row r="183" spans="4:5" x14ac:dyDescent="0.55000000000000004">
      <c r="D183" s="5"/>
      <c r="E183" s="5"/>
    </row>
    <row r="184" spans="4:5" x14ac:dyDescent="0.55000000000000004">
      <c r="D184" s="5"/>
      <c r="E184" s="5"/>
    </row>
    <row r="185" spans="4:5" x14ac:dyDescent="0.55000000000000004">
      <c r="D185" s="5"/>
      <c r="E185" s="5"/>
    </row>
    <row r="186" spans="4:5" x14ac:dyDescent="0.55000000000000004">
      <c r="D186" s="5"/>
      <c r="E186" s="5"/>
    </row>
    <row r="187" spans="4:5" x14ac:dyDescent="0.55000000000000004">
      <c r="D187" s="5"/>
      <c r="E187" s="5"/>
    </row>
    <row r="188" spans="4:5" x14ac:dyDescent="0.55000000000000004">
      <c r="D188" s="5"/>
      <c r="E188" s="5"/>
    </row>
    <row r="189" spans="4:5" x14ac:dyDescent="0.55000000000000004">
      <c r="D189" s="5"/>
      <c r="E189" s="5"/>
    </row>
    <row r="190" spans="4:5" x14ac:dyDescent="0.55000000000000004">
      <c r="D190" s="5"/>
      <c r="E190" s="5"/>
    </row>
    <row r="191" spans="4:5" x14ac:dyDescent="0.55000000000000004">
      <c r="D191" s="5"/>
      <c r="E191" s="5"/>
    </row>
    <row r="192" spans="4:5" x14ac:dyDescent="0.55000000000000004">
      <c r="D192" s="5"/>
      <c r="E192" s="5"/>
    </row>
    <row r="193" spans="4:5" x14ac:dyDescent="0.55000000000000004">
      <c r="D193" s="5"/>
      <c r="E193" s="5"/>
    </row>
    <row r="194" spans="4:5" x14ac:dyDescent="0.55000000000000004">
      <c r="D194" s="5"/>
      <c r="E194" s="5"/>
    </row>
    <row r="195" spans="4:5" x14ac:dyDescent="0.55000000000000004">
      <c r="D195" s="5"/>
      <c r="E195" s="5"/>
    </row>
    <row r="196" spans="4:5" x14ac:dyDescent="0.55000000000000004">
      <c r="D196" s="5"/>
      <c r="E196" s="5"/>
    </row>
    <row r="197" spans="4:5" x14ac:dyDescent="0.55000000000000004">
      <c r="D197" s="5"/>
      <c r="E197" s="5"/>
    </row>
    <row r="198" spans="4:5" x14ac:dyDescent="0.55000000000000004">
      <c r="D198" s="5"/>
      <c r="E198" s="5"/>
    </row>
    <row r="199" spans="4:5" x14ac:dyDescent="0.55000000000000004">
      <c r="D199" s="5"/>
      <c r="E199" s="5"/>
    </row>
    <row r="200" spans="4:5" x14ac:dyDescent="0.55000000000000004">
      <c r="D200" s="5"/>
      <c r="E200" s="5"/>
    </row>
    <row r="201" spans="4:5" x14ac:dyDescent="0.55000000000000004">
      <c r="D201" s="5"/>
      <c r="E201" s="5"/>
    </row>
    <row r="202" spans="4:5" x14ac:dyDescent="0.55000000000000004">
      <c r="D202" s="5"/>
      <c r="E202" s="5"/>
    </row>
    <row r="203" spans="4:5" x14ac:dyDescent="0.55000000000000004">
      <c r="D203" s="5"/>
      <c r="E203" s="5"/>
    </row>
    <row r="204" spans="4:5" x14ac:dyDescent="0.55000000000000004">
      <c r="D204" s="5"/>
      <c r="E204" s="5"/>
    </row>
    <row r="205" spans="4:5" x14ac:dyDescent="0.55000000000000004">
      <c r="D205" s="5"/>
      <c r="E205" s="5"/>
    </row>
    <row r="206" spans="4:5" x14ac:dyDescent="0.55000000000000004">
      <c r="D206" s="5"/>
      <c r="E206" s="5"/>
    </row>
    <row r="207" spans="4:5" x14ac:dyDescent="0.55000000000000004">
      <c r="D207" s="5"/>
      <c r="E207" s="5"/>
    </row>
    <row r="208" spans="4:5" x14ac:dyDescent="0.55000000000000004">
      <c r="D208" s="5"/>
      <c r="E208" s="5"/>
    </row>
    <row r="209" spans="4:5" x14ac:dyDescent="0.55000000000000004">
      <c r="D209" s="5"/>
      <c r="E209" s="5"/>
    </row>
    <row r="210" spans="4:5" x14ac:dyDescent="0.55000000000000004">
      <c r="D210" s="5"/>
      <c r="E210" s="5"/>
    </row>
    <row r="211" spans="4:5" x14ac:dyDescent="0.55000000000000004">
      <c r="D211" s="5"/>
      <c r="E211" s="5"/>
    </row>
    <row r="212" spans="4:5" x14ac:dyDescent="0.55000000000000004">
      <c r="D212" s="5"/>
      <c r="E212" s="5"/>
    </row>
    <row r="213" spans="4:5" x14ac:dyDescent="0.55000000000000004">
      <c r="D213" s="5"/>
      <c r="E213" s="5"/>
    </row>
    <row r="214" spans="4:5" x14ac:dyDescent="0.55000000000000004">
      <c r="D214" s="5"/>
      <c r="E214" s="5"/>
    </row>
    <row r="215" spans="4:5" x14ac:dyDescent="0.55000000000000004">
      <c r="D215" s="5"/>
      <c r="E215" s="5"/>
    </row>
    <row r="216" spans="4:5" x14ac:dyDescent="0.55000000000000004">
      <c r="D216" s="5"/>
      <c r="E216" s="5"/>
    </row>
    <row r="217" spans="4:5" x14ac:dyDescent="0.55000000000000004">
      <c r="D217" s="5"/>
      <c r="E217" s="5"/>
    </row>
    <row r="218" spans="4:5" x14ac:dyDescent="0.55000000000000004">
      <c r="D218" s="5"/>
      <c r="E218" s="5"/>
    </row>
    <row r="219" spans="4:5" x14ac:dyDescent="0.55000000000000004">
      <c r="D219" s="5"/>
      <c r="E219" s="5"/>
    </row>
    <row r="220" spans="4:5" x14ac:dyDescent="0.55000000000000004">
      <c r="D220" s="5"/>
      <c r="E220" s="5"/>
    </row>
    <row r="221" spans="4:5" x14ac:dyDescent="0.55000000000000004">
      <c r="D221" s="5"/>
      <c r="E221" s="5"/>
    </row>
    <row r="222" spans="4:5" x14ac:dyDescent="0.55000000000000004">
      <c r="D222" s="5"/>
      <c r="E222" s="5"/>
    </row>
    <row r="223" spans="4:5" x14ac:dyDescent="0.55000000000000004">
      <c r="D223" s="5"/>
      <c r="E223" s="5"/>
    </row>
    <row r="224" spans="4:5" x14ac:dyDescent="0.55000000000000004">
      <c r="D224" s="5"/>
      <c r="E224" s="5"/>
    </row>
    <row r="225" spans="4:5" x14ac:dyDescent="0.55000000000000004">
      <c r="D225" s="5"/>
      <c r="E225" s="5"/>
    </row>
    <row r="226" spans="4:5" x14ac:dyDescent="0.55000000000000004">
      <c r="D226" s="5"/>
      <c r="E226" s="5"/>
    </row>
    <row r="227" spans="4:5" x14ac:dyDescent="0.55000000000000004">
      <c r="D227" s="5"/>
      <c r="E227" s="5"/>
    </row>
    <row r="228" spans="4:5" x14ac:dyDescent="0.55000000000000004">
      <c r="D228" s="5"/>
      <c r="E228" s="5"/>
    </row>
    <row r="229" spans="4:5" x14ac:dyDescent="0.55000000000000004">
      <c r="D229" s="5"/>
      <c r="E229" s="5"/>
    </row>
    <row r="230" spans="4:5" x14ac:dyDescent="0.55000000000000004">
      <c r="D230" s="5"/>
      <c r="E230" s="5"/>
    </row>
    <row r="231" spans="4:5" x14ac:dyDescent="0.55000000000000004">
      <c r="D231" s="5"/>
      <c r="E231" s="5"/>
    </row>
    <row r="232" spans="4:5" x14ac:dyDescent="0.55000000000000004">
      <c r="D232" s="5"/>
      <c r="E232" s="5"/>
    </row>
    <row r="233" spans="4:5" x14ac:dyDescent="0.55000000000000004">
      <c r="D233" s="5"/>
      <c r="E233" s="5"/>
    </row>
    <row r="234" spans="4:5" x14ac:dyDescent="0.55000000000000004">
      <c r="D234" s="5"/>
      <c r="E234" s="5"/>
    </row>
    <row r="235" spans="4:5" x14ac:dyDescent="0.55000000000000004">
      <c r="D235" s="5"/>
      <c r="E235" s="5"/>
    </row>
    <row r="236" spans="4:5" x14ac:dyDescent="0.55000000000000004">
      <c r="D236" s="5"/>
      <c r="E236" s="5"/>
    </row>
    <row r="237" spans="4:5" x14ac:dyDescent="0.55000000000000004">
      <c r="D237" s="5"/>
      <c r="E237" s="5"/>
    </row>
    <row r="238" spans="4:5" x14ac:dyDescent="0.55000000000000004">
      <c r="D238" s="5"/>
      <c r="E238" s="5"/>
    </row>
    <row r="239" spans="4:5" x14ac:dyDescent="0.55000000000000004">
      <c r="D239" s="5"/>
      <c r="E239" s="5"/>
    </row>
    <row r="240" spans="4:5" x14ac:dyDescent="0.55000000000000004">
      <c r="D240" s="5"/>
      <c r="E240" s="5"/>
    </row>
    <row r="241" spans="4:5" x14ac:dyDescent="0.55000000000000004">
      <c r="D241" s="5"/>
      <c r="E241" s="5"/>
    </row>
    <row r="242" spans="4:5" x14ac:dyDescent="0.55000000000000004">
      <c r="D242" s="5"/>
      <c r="E242" s="5"/>
    </row>
    <row r="243" spans="4:5" x14ac:dyDescent="0.55000000000000004">
      <c r="D243" s="5"/>
      <c r="E243" s="5"/>
    </row>
    <row r="244" spans="4:5" x14ac:dyDescent="0.55000000000000004">
      <c r="D244" s="5"/>
      <c r="E244" s="5"/>
    </row>
    <row r="245" spans="4:5" x14ac:dyDescent="0.55000000000000004">
      <c r="D245" s="5"/>
      <c r="E245" s="5"/>
    </row>
    <row r="246" spans="4:5" x14ac:dyDescent="0.55000000000000004">
      <c r="D246" s="5"/>
      <c r="E246" s="5"/>
    </row>
    <row r="247" spans="4:5" x14ac:dyDescent="0.55000000000000004">
      <c r="D247" s="5"/>
      <c r="E247" s="5"/>
    </row>
    <row r="248" spans="4:5" x14ac:dyDescent="0.55000000000000004">
      <c r="D248" s="5"/>
      <c r="E248" s="5"/>
    </row>
    <row r="249" spans="4:5" x14ac:dyDescent="0.55000000000000004">
      <c r="D249" s="5"/>
      <c r="E249" s="5"/>
    </row>
    <row r="250" spans="4:5" x14ac:dyDescent="0.55000000000000004">
      <c r="D250" s="5"/>
      <c r="E250" s="5"/>
    </row>
    <row r="251" spans="4:5" x14ac:dyDescent="0.55000000000000004">
      <c r="D251" s="5"/>
      <c r="E251" s="5"/>
    </row>
    <row r="252" spans="4:5" x14ac:dyDescent="0.55000000000000004">
      <c r="D252" s="5"/>
      <c r="E252" s="5"/>
    </row>
    <row r="253" spans="4:5" x14ac:dyDescent="0.55000000000000004">
      <c r="D253" s="5"/>
      <c r="E253" s="5"/>
    </row>
    <row r="254" spans="4:5" x14ac:dyDescent="0.55000000000000004">
      <c r="D254" s="5"/>
      <c r="E254" s="5"/>
    </row>
    <row r="255" spans="4:5" x14ac:dyDescent="0.55000000000000004">
      <c r="D255" s="5"/>
      <c r="E255" s="5"/>
    </row>
    <row r="256" spans="4:5" x14ac:dyDescent="0.55000000000000004">
      <c r="D256" s="5"/>
      <c r="E256" s="5"/>
    </row>
    <row r="257" spans="4:5" x14ac:dyDescent="0.55000000000000004">
      <c r="D257" s="5"/>
      <c r="E257" s="5"/>
    </row>
    <row r="258" spans="4:5" x14ac:dyDescent="0.55000000000000004">
      <c r="D258" s="5"/>
      <c r="E258" s="5"/>
    </row>
    <row r="259" spans="4:5" x14ac:dyDescent="0.55000000000000004">
      <c r="D259" s="5"/>
      <c r="E259" s="5"/>
    </row>
    <row r="260" spans="4:5" x14ac:dyDescent="0.55000000000000004">
      <c r="D260" s="5"/>
      <c r="E260" s="5"/>
    </row>
    <row r="261" spans="4:5" x14ac:dyDescent="0.55000000000000004">
      <c r="D261" s="5"/>
      <c r="E261" s="5"/>
    </row>
    <row r="262" spans="4:5" x14ac:dyDescent="0.55000000000000004">
      <c r="D262" s="5"/>
      <c r="E262" s="5"/>
    </row>
    <row r="263" spans="4:5" x14ac:dyDescent="0.55000000000000004">
      <c r="D263" s="5"/>
      <c r="E263" s="5"/>
    </row>
    <row r="264" spans="4:5" x14ac:dyDescent="0.55000000000000004">
      <c r="D264" s="5"/>
      <c r="E264" s="5"/>
    </row>
    <row r="265" spans="4:5" x14ac:dyDescent="0.55000000000000004">
      <c r="D265" s="5"/>
      <c r="E265" s="5"/>
    </row>
    <row r="266" spans="4:5" x14ac:dyDescent="0.55000000000000004">
      <c r="D266" s="5"/>
      <c r="E266" s="5"/>
    </row>
    <row r="267" spans="4:5" x14ac:dyDescent="0.55000000000000004">
      <c r="D267" s="5"/>
      <c r="E267" s="5"/>
    </row>
    <row r="268" spans="4:5" x14ac:dyDescent="0.55000000000000004">
      <c r="D268" s="5"/>
      <c r="E268" s="5"/>
    </row>
    <row r="269" spans="4:5" x14ac:dyDescent="0.55000000000000004">
      <c r="D269" s="5"/>
      <c r="E269" s="5"/>
    </row>
    <row r="270" spans="4:5" x14ac:dyDescent="0.55000000000000004">
      <c r="D270" s="5"/>
      <c r="E270" s="5"/>
    </row>
    <row r="271" spans="4:5" x14ac:dyDescent="0.55000000000000004">
      <c r="D271" s="5"/>
      <c r="E271" s="5"/>
    </row>
    <row r="272" spans="4:5" x14ac:dyDescent="0.55000000000000004">
      <c r="D272" s="5"/>
      <c r="E272" s="5"/>
    </row>
    <row r="273" spans="4:5" x14ac:dyDescent="0.55000000000000004">
      <c r="D273" s="5"/>
      <c r="E273" s="5"/>
    </row>
    <row r="274" spans="4:5" x14ac:dyDescent="0.55000000000000004">
      <c r="D274" s="5"/>
      <c r="E274" s="5"/>
    </row>
    <row r="275" spans="4:5" x14ac:dyDescent="0.55000000000000004">
      <c r="D275" s="5"/>
      <c r="E275" s="5"/>
    </row>
    <row r="276" spans="4:5" x14ac:dyDescent="0.55000000000000004">
      <c r="D276" s="5"/>
      <c r="E276" s="5"/>
    </row>
    <row r="277" spans="4:5" x14ac:dyDescent="0.55000000000000004">
      <c r="D277" s="5"/>
      <c r="E277" s="5"/>
    </row>
    <row r="278" spans="4:5" x14ac:dyDescent="0.55000000000000004">
      <c r="D278" s="5"/>
      <c r="E278" s="5"/>
    </row>
    <row r="279" spans="4:5" x14ac:dyDescent="0.55000000000000004">
      <c r="D279" s="5"/>
      <c r="E279" s="5"/>
    </row>
    <row r="280" spans="4:5" x14ac:dyDescent="0.55000000000000004">
      <c r="D280" s="5"/>
      <c r="E280" s="5"/>
    </row>
    <row r="281" spans="4:5" x14ac:dyDescent="0.55000000000000004">
      <c r="D281" s="5"/>
      <c r="E281" s="5"/>
    </row>
    <row r="282" spans="4:5" x14ac:dyDescent="0.55000000000000004">
      <c r="D282" s="5"/>
      <c r="E282" s="5"/>
    </row>
    <row r="283" spans="4:5" x14ac:dyDescent="0.55000000000000004">
      <c r="D283" s="5"/>
      <c r="E283" s="5"/>
    </row>
    <row r="284" spans="4:5" x14ac:dyDescent="0.55000000000000004">
      <c r="D284" s="5"/>
      <c r="E284" s="5"/>
    </row>
    <row r="285" spans="4:5" x14ac:dyDescent="0.55000000000000004">
      <c r="D285" s="5"/>
      <c r="E285" s="5"/>
    </row>
    <row r="286" spans="4:5" x14ac:dyDescent="0.55000000000000004">
      <c r="D286" s="5"/>
      <c r="E286" s="5"/>
    </row>
    <row r="287" spans="4:5" x14ac:dyDescent="0.55000000000000004">
      <c r="D287" s="5"/>
      <c r="E287" s="5"/>
    </row>
    <row r="288" spans="4:5" x14ac:dyDescent="0.55000000000000004">
      <c r="D288" s="5"/>
      <c r="E288" s="5"/>
    </row>
    <row r="289" spans="4:5" x14ac:dyDescent="0.55000000000000004">
      <c r="D289" s="5"/>
      <c r="E289" s="5"/>
    </row>
    <row r="290" spans="4:5" x14ac:dyDescent="0.55000000000000004">
      <c r="D290" s="5"/>
      <c r="E290" s="5"/>
    </row>
    <row r="291" spans="4:5" x14ac:dyDescent="0.55000000000000004">
      <c r="D291" s="5"/>
      <c r="E291" s="5"/>
    </row>
    <row r="292" spans="4:5" x14ac:dyDescent="0.55000000000000004">
      <c r="D292" s="5"/>
      <c r="E292" s="5"/>
    </row>
    <row r="293" spans="4:5" x14ac:dyDescent="0.55000000000000004">
      <c r="D293" s="5"/>
      <c r="E293" s="5"/>
    </row>
    <row r="294" spans="4:5" x14ac:dyDescent="0.55000000000000004">
      <c r="D294" s="5"/>
      <c r="E294" s="5"/>
    </row>
    <row r="295" spans="4:5" x14ac:dyDescent="0.55000000000000004">
      <c r="D295" s="5"/>
      <c r="E295" s="5"/>
    </row>
    <row r="296" spans="4:5" x14ac:dyDescent="0.55000000000000004">
      <c r="D296" s="5"/>
      <c r="E296" s="5"/>
    </row>
    <row r="297" spans="4:5" x14ac:dyDescent="0.55000000000000004">
      <c r="D297" s="5"/>
      <c r="E297" s="5"/>
    </row>
    <row r="298" spans="4:5" x14ac:dyDescent="0.55000000000000004">
      <c r="D298" s="5"/>
      <c r="E298" s="5"/>
    </row>
    <row r="299" spans="4:5" x14ac:dyDescent="0.55000000000000004">
      <c r="D299" s="5"/>
      <c r="E299" s="5"/>
    </row>
    <row r="300" spans="4:5" x14ac:dyDescent="0.55000000000000004">
      <c r="D300" s="5"/>
      <c r="E300" s="5"/>
    </row>
    <row r="301" spans="4:5" x14ac:dyDescent="0.55000000000000004">
      <c r="D301" s="5"/>
      <c r="E301" s="5"/>
    </row>
    <row r="302" spans="4:5" x14ac:dyDescent="0.55000000000000004">
      <c r="D302" s="5"/>
      <c r="E302" s="5"/>
    </row>
    <row r="303" spans="4:5" x14ac:dyDescent="0.55000000000000004">
      <c r="D303" s="5"/>
      <c r="E303" s="5"/>
    </row>
    <row r="304" spans="4:5" x14ac:dyDescent="0.55000000000000004">
      <c r="D304" s="5"/>
      <c r="E304" s="5"/>
    </row>
    <row r="305" spans="4:5" x14ac:dyDescent="0.55000000000000004">
      <c r="D305" s="5"/>
      <c r="E305" s="5"/>
    </row>
    <row r="306" spans="4:5" x14ac:dyDescent="0.55000000000000004">
      <c r="D306" s="5"/>
      <c r="E306" s="5"/>
    </row>
    <row r="307" spans="4:5" x14ac:dyDescent="0.55000000000000004">
      <c r="D307" s="5"/>
      <c r="E307" s="5"/>
    </row>
    <row r="308" spans="4:5" x14ac:dyDescent="0.55000000000000004">
      <c r="D308" s="5"/>
      <c r="E308" s="5"/>
    </row>
    <row r="309" spans="4:5" x14ac:dyDescent="0.55000000000000004">
      <c r="D309" s="5"/>
      <c r="E309" s="5"/>
    </row>
    <row r="310" spans="4:5" x14ac:dyDescent="0.55000000000000004">
      <c r="D310" s="5"/>
      <c r="E310" s="5"/>
    </row>
    <row r="311" spans="4:5" x14ac:dyDescent="0.55000000000000004">
      <c r="D311" s="5"/>
      <c r="E311" s="5"/>
    </row>
    <row r="312" spans="4:5" x14ac:dyDescent="0.55000000000000004">
      <c r="D312" s="5"/>
      <c r="E312" s="5"/>
    </row>
    <row r="313" spans="4:5" x14ac:dyDescent="0.55000000000000004">
      <c r="D313" s="5"/>
      <c r="E313" s="5"/>
    </row>
    <row r="314" spans="4:5" x14ac:dyDescent="0.55000000000000004">
      <c r="D314" s="5"/>
      <c r="E314" s="5"/>
    </row>
    <row r="315" spans="4:5" x14ac:dyDescent="0.55000000000000004">
      <c r="D315" s="5"/>
      <c r="E315" s="5"/>
    </row>
    <row r="316" spans="4:5" x14ac:dyDescent="0.55000000000000004">
      <c r="D316" s="5"/>
      <c r="E316" s="5"/>
    </row>
    <row r="317" spans="4:5" x14ac:dyDescent="0.55000000000000004">
      <c r="D317" s="5"/>
      <c r="E317" s="5"/>
    </row>
    <row r="318" spans="4:5" x14ac:dyDescent="0.55000000000000004">
      <c r="D318" s="5"/>
      <c r="E318" s="5"/>
    </row>
    <row r="319" spans="4:5" x14ac:dyDescent="0.55000000000000004">
      <c r="D319" s="5"/>
      <c r="E319" s="5"/>
    </row>
    <row r="320" spans="4:5" x14ac:dyDescent="0.55000000000000004">
      <c r="D320" s="5"/>
      <c r="E320" s="5"/>
    </row>
    <row r="321" spans="4:5" x14ac:dyDescent="0.55000000000000004">
      <c r="D321" s="5"/>
      <c r="E321" s="5"/>
    </row>
    <row r="322" spans="4:5" x14ac:dyDescent="0.55000000000000004">
      <c r="D322" s="5"/>
      <c r="E322" s="5"/>
    </row>
    <row r="323" spans="4:5" x14ac:dyDescent="0.55000000000000004">
      <c r="D323" s="5"/>
      <c r="E323" s="5"/>
    </row>
    <row r="324" spans="4:5" x14ac:dyDescent="0.55000000000000004">
      <c r="D324" s="5"/>
      <c r="E324" s="5"/>
    </row>
    <row r="325" spans="4:5" x14ac:dyDescent="0.55000000000000004">
      <c r="D325" s="5"/>
      <c r="E325" s="5"/>
    </row>
    <row r="326" spans="4:5" x14ac:dyDescent="0.55000000000000004">
      <c r="D326" s="5"/>
      <c r="E326" s="5"/>
    </row>
    <row r="327" spans="4:5" x14ac:dyDescent="0.55000000000000004">
      <c r="D327" s="5"/>
      <c r="E327" s="5"/>
    </row>
    <row r="328" spans="4:5" x14ac:dyDescent="0.55000000000000004">
      <c r="D328" s="5"/>
      <c r="E328" s="5"/>
    </row>
    <row r="329" spans="4:5" x14ac:dyDescent="0.55000000000000004">
      <c r="D329" s="5"/>
      <c r="E329" s="5"/>
    </row>
    <row r="330" spans="4:5" x14ac:dyDescent="0.55000000000000004">
      <c r="D330" s="5"/>
      <c r="E330" s="5"/>
    </row>
    <row r="331" spans="4:5" x14ac:dyDescent="0.55000000000000004">
      <c r="D331" s="5"/>
      <c r="E331" s="5"/>
    </row>
    <row r="332" spans="4:5" x14ac:dyDescent="0.55000000000000004">
      <c r="D332" s="5"/>
      <c r="E332" s="5"/>
    </row>
    <row r="333" spans="4:5" x14ac:dyDescent="0.55000000000000004">
      <c r="D333" s="5"/>
      <c r="E333" s="5"/>
    </row>
    <row r="334" spans="4:5" x14ac:dyDescent="0.55000000000000004">
      <c r="D334" s="5"/>
      <c r="E334" s="5"/>
    </row>
    <row r="335" spans="4:5" x14ac:dyDescent="0.55000000000000004">
      <c r="D335" s="5"/>
      <c r="E335" s="5"/>
    </row>
    <row r="336" spans="4:5" x14ac:dyDescent="0.55000000000000004">
      <c r="D336" s="5"/>
      <c r="E336" s="5"/>
    </row>
    <row r="337" spans="4:5" x14ac:dyDescent="0.55000000000000004">
      <c r="D337" s="5"/>
      <c r="E337" s="5"/>
    </row>
    <row r="338" spans="4:5" x14ac:dyDescent="0.55000000000000004">
      <c r="D338" s="5"/>
      <c r="E338" s="5"/>
    </row>
    <row r="339" spans="4:5" x14ac:dyDescent="0.55000000000000004">
      <c r="D339" s="5"/>
      <c r="E339" s="5"/>
    </row>
    <row r="340" spans="4:5" x14ac:dyDescent="0.55000000000000004">
      <c r="D340" s="5"/>
      <c r="E340" s="5"/>
    </row>
    <row r="341" spans="4:5" x14ac:dyDescent="0.55000000000000004">
      <c r="D341" s="5"/>
      <c r="E341" s="5"/>
    </row>
    <row r="342" spans="4:5" x14ac:dyDescent="0.55000000000000004">
      <c r="D342" s="5"/>
      <c r="E342" s="5"/>
    </row>
    <row r="343" spans="4:5" x14ac:dyDescent="0.55000000000000004">
      <c r="D343" s="5"/>
      <c r="E343" s="5"/>
    </row>
    <row r="344" spans="4:5" x14ac:dyDescent="0.55000000000000004">
      <c r="D344" s="5"/>
      <c r="E344" s="5"/>
    </row>
    <row r="345" spans="4:5" x14ac:dyDescent="0.55000000000000004">
      <c r="D345" s="5"/>
      <c r="E345" s="5"/>
    </row>
    <row r="346" spans="4:5" x14ac:dyDescent="0.55000000000000004">
      <c r="D346" s="5"/>
      <c r="E346" s="5"/>
    </row>
    <row r="347" spans="4:5" x14ac:dyDescent="0.55000000000000004">
      <c r="D347" s="5"/>
      <c r="E347" s="5"/>
    </row>
    <row r="348" spans="4:5" x14ac:dyDescent="0.55000000000000004">
      <c r="D348" s="5"/>
      <c r="E348" s="5"/>
    </row>
    <row r="349" spans="4:5" x14ac:dyDescent="0.55000000000000004">
      <c r="D349" s="5"/>
      <c r="E349" s="5"/>
    </row>
    <row r="350" spans="4:5" x14ac:dyDescent="0.55000000000000004">
      <c r="D350" s="5"/>
      <c r="E350" s="5"/>
    </row>
    <row r="351" spans="4:5" x14ac:dyDescent="0.55000000000000004">
      <c r="D351" s="5"/>
      <c r="E351" s="5"/>
    </row>
    <row r="352" spans="4:5" x14ac:dyDescent="0.55000000000000004">
      <c r="D352" s="5"/>
      <c r="E352" s="5"/>
    </row>
    <row r="353" spans="4:5" x14ac:dyDescent="0.55000000000000004">
      <c r="D353" s="5"/>
      <c r="E353" s="5"/>
    </row>
    <row r="354" spans="4:5" x14ac:dyDescent="0.55000000000000004">
      <c r="D354" s="5"/>
      <c r="E354" s="5"/>
    </row>
    <row r="355" spans="4:5" x14ac:dyDescent="0.55000000000000004">
      <c r="D355" s="5"/>
      <c r="E355" s="5"/>
    </row>
    <row r="356" spans="4:5" x14ac:dyDescent="0.55000000000000004">
      <c r="D356" s="5"/>
      <c r="E356" s="5"/>
    </row>
    <row r="357" spans="4:5" x14ac:dyDescent="0.55000000000000004">
      <c r="D357" s="5"/>
      <c r="E357" s="5"/>
    </row>
    <row r="358" spans="4:5" x14ac:dyDescent="0.55000000000000004">
      <c r="D358" s="5"/>
      <c r="E358" s="5"/>
    </row>
    <row r="359" spans="4:5" x14ac:dyDescent="0.55000000000000004">
      <c r="D359" s="5"/>
      <c r="E359" s="5"/>
    </row>
    <row r="360" spans="4:5" x14ac:dyDescent="0.55000000000000004">
      <c r="D360" s="5"/>
      <c r="E360" s="5"/>
    </row>
    <row r="361" spans="4:5" x14ac:dyDescent="0.55000000000000004">
      <c r="D361" s="5"/>
      <c r="E361" s="5"/>
    </row>
    <row r="362" spans="4:5" x14ac:dyDescent="0.55000000000000004">
      <c r="D362" s="5"/>
      <c r="E362" s="5"/>
    </row>
    <row r="363" spans="4:5" x14ac:dyDescent="0.55000000000000004">
      <c r="D363" s="5"/>
      <c r="E363" s="5"/>
    </row>
    <row r="364" spans="4:5" x14ac:dyDescent="0.55000000000000004">
      <c r="D364" s="5"/>
      <c r="E364" s="5"/>
    </row>
    <row r="365" spans="4:5" x14ac:dyDescent="0.55000000000000004">
      <c r="D365" s="5"/>
      <c r="E365" s="5"/>
    </row>
    <row r="366" spans="4:5" x14ac:dyDescent="0.55000000000000004">
      <c r="D366" s="5"/>
      <c r="E366" s="5"/>
    </row>
    <row r="367" spans="4:5" x14ac:dyDescent="0.55000000000000004">
      <c r="D367" s="5"/>
      <c r="E367" s="5"/>
    </row>
    <row r="368" spans="4:5" x14ac:dyDescent="0.55000000000000004">
      <c r="D368" s="5"/>
      <c r="E368" s="5"/>
    </row>
    <row r="369" spans="4:5" x14ac:dyDescent="0.55000000000000004">
      <c r="D369" s="5"/>
      <c r="E369" s="5"/>
    </row>
    <row r="370" spans="4:5" x14ac:dyDescent="0.55000000000000004">
      <c r="D370" s="5"/>
      <c r="E370" s="5"/>
    </row>
    <row r="371" spans="4:5" x14ac:dyDescent="0.55000000000000004">
      <c r="D371" s="5"/>
      <c r="E371" s="5"/>
    </row>
    <row r="372" spans="4:5" x14ac:dyDescent="0.55000000000000004">
      <c r="D372" s="5"/>
      <c r="E372" s="5"/>
    </row>
    <row r="373" spans="4:5" x14ac:dyDescent="0.55000000000000004">
      <c r="D373" s="5"/>
      <c r="E373" s="5"/>
    </row>
    <row r="374" spans="4:5" x14ac:dyDescent="0.55000000000000004">
      <c r="D374" s="5"/>
      <c r="E374" s="5"/>
    </row>
    <row r="375" spans="4:5" x14ac:dyDescent="0.55000000000000004">
      <c r="D375" s="5"/>
      <c r="E375" s="5"/>
    </row>
    <row r="376" spans="4:5" x14ac:dyDescent="0.55000000000000004">
      <c r="D376" s="5"/>
      <c r="E376" s="5"/>
    </row>
    <row r="377" spans="4:5" x14ac:dyDescent="0.55000000000000004">
      <c r="D377" s="5"/>
      <c r="E377" s="5"/>
    </row>
    <row r="378" spans="4:5" x14ac:dyDescent="0.55000000000000004">
      <c r="D378" s="5"/>
      <c r="E378" s="5"/>
    </row>
    <row r="379" spans="4:5" x14ac:dyDescent="0.55000000000000004">
      <c r="D379" s="5"/>
      <c r="E379" s="5"/>
    </row>
    <row r="380" spans="4:5" x14ac:dyDescent="0.55000000000000004">
      <c r="D380" s="5"/>
      <c r="E380" s="5"/>
    </row>
    <row r="381" spans="4:5" x14ac:dyDescent="0.55000000000000004">
      <c r="D381" s="5"/>
      <c r="E381" s="5"/>
    </row>
    <row r="382" spans="4:5" x14ac:dyDescent="0.55000000000000004">
      <c r="D382" s="5"/>
      <c r="E382" s="5"/>
    </row>
    <row r="383" spans="4:5" x14ac:dyDescent="0.55000000000000004">
      <c r="D383" s="5"/>
      <c r="E383" s="5"/>
    </row>
    <row r="384" spans="4:5" x14ac:dyDescent="0.55000000000000004">
      <c r="D384" s="5"/>
      <c r="E384" s="5"/>
    </row>
    <row r="385" spans="4:5" x14ac:dyDescent="0.55000000000000004">
      <c r="D385" s="5"/>
      <c r="E385" s="5"/>
    </row>
    <row r="386" spans="4:5" x14ac:dyDescent="0.55000000000000004">
      <c r="D386" s="5"/>
      <c r="E386" s="5"/>
    </row>
    <row r="387" spans="4:5" x14ac:dyDescent="0.55000000000000004">
      <c r="D387" s="5"/>
      <c r="E387" s="5"/>
    </row>
    <row r="388" spans="4:5" x14ac:dyDescent="0.55000000000000004">
      <c r="D388" s="5"/>
      <c r="E388" s="5"/>
    </row>
    <row r="389" spans="4:5" x14ac:dyDescent="0.55000000000000004">
      <c r="D389" s="5"/>
      <c r="E389" s="5"/>
    </row>
    <row r="390" spans="4:5" x14ac:dyDescent="0.55000000000000004">
      <c r="D390" s="5"/>
      <c r="E390" s="5"/>
    </row>
    <row r="391" spans="4:5" x14ac:dyDescent="0.55000000000000004">
      <c r="D391" s="5"/>
      <c r="E391" s="5"/>
    </row>
    <row r="392" spans="4:5" x14ac:dyDescent="0.55000000000000004">
      <c r="D392" s="5"/>
      <c r="E392" s="5"/>
    </row>
    <row r="393" spans="4:5" x14ac:dyDescent="0.55000000000000004">
      <c r="D393" s="5"/>
      <c r="E393" s="5"/>
    </row>
    <row r="394" spans="4:5" x14ac:dyDescent="0.55000000000000004">
      <c r="D394" s="5"/>
      <c r="E394" s="5"/>
    </row>
    <row r="395" spans="4:5" x14ac:dyDescent="0.55000000000000004">
      <c r="D395" s="5"/>
      <c r="E395" s="5"/>
    </row>
    <row r="396" spans="4:5" x14ac:dyDescent="0.55000000000000004">
      <c r="D396" s="5"/>
      <c r="E396" s="5"/>
    </row>
    <row r="397" spans="4:5" x14ac:dyDescent="0.55000000000000004">
      <c r="D397" s="5"/>
      <c r="E397" s="5"/>
    </row>
    <row r="398" spans="4:5" x14ac:dyDescent="0.55000000000000004">
      <c r="D398" s="5"/>
      <c r="E398" s="5"/>
    </row>
    <row r="399" spans="4:5" x14ac:dyDescent="0.55000000000000004">
      <c r="D399" s="5"/>
      <c r="E399" s="5"/>
    </row>
    <row r="400" spans="4:5" x14ac:dyDescent="0.55000000000000004">
      <c r="D400" s="5"/>
      <c r="E400" s="5"/>
    </row>
    <row r="401" spans="4:5" x14ac:dyDescent="0.55000000000000004">
      <c r="D401" s="5"/>
      <c r="E401" s="5"/>
    </row>
    <row r="402" spans="4:5" x14ac:dyDescent="0.55000000000000004">
      <c r="D402" s="5"/>
      <c r="E402" s="5"/>
    </row>
    <row r="403" spans="4:5" x14ac:dyDescent="0.55000000000000004">
      <c r="D403" s="5"/>
      <c r="E403" s="5"/>
    </row>
    <row r="404" spans="4:5" x14ac:dyDescent="0.55000000000000004">
      <c r="D404" s="5"/>
      <c r="E404" s="5"/>
    </row>
    <row r="405" spans="4:5" x14ac:dyDescent="0.55000000000000004">
      <c r="D405" s="5"/>
      <c r="E405" s="5"/>
    </row>
    <row r="406" spans="4:5" x14ac:dyDescent="0.55000000000000004">
      <c r="D406" s="5"/>
      <c r="E406" s="5"/>
    </row>
    <row r="407" spans="4:5" x14ac:dyDescent="0.55000000000000004">
      <c r="D407" s="5"/>
      <c r="E407" s="5"/>
    </row>
    <row r="408" spans="4:5" x14ac:dyDescent="0.55000000000000004">
      <c r="D408" s="5"/>
      <c r="E408" s="5"/>
    </row>
    <row r="409" spans="4:5" x14ac:dyDescent="0.55000000000000004">
      <c r="D409" s="5"/>
      <c r="E409" s="5"/>
    </row>
    <row r="410" spans="4:5" x14ac:dyDescent="0.55000000000000004">
      <c r="D410" s="5"/>
      <c r="E410" s="5"/>
    </row>
    <row r="411" spans="4:5" x14ac:dyDescent="0.55000000000000004">
      <c r="D411" s="5"/>
      <c r="E411" s="5"/>
    </row>
    <row r="412" spans="4:5" x14ac:dyDescent="0.55000000000000004">
      <c r="D412" s="5"/>
      <c r="E412" s="5"/>
    </row>
    <row r="413" spans="4:5" x14ac:dyDescent="0.55000000000000004">
      <c r="D413" s="5"/>
      <c r="E413" s="5"/>
    </row>
    <row r="414" spans="4:5" x14ac:dyDescent="0.55000000000000004">
      <c r="D414" s="5"/>
      <c r="E414" s="5"/>
    </row>
    <row r="415" spans="4:5" x14ac:dyDescent="0.55000000000000004">
      <c r="D415" s="5"/>
      <c r="E415" s="5"/>
    </row>
    <row r="416" spans="4:5" x14ac:dyDescent="0.55000000000000004">
      <c r="D416" s="5"/>
      <c r="E416" s="5"/>
    </row>
    <row r="417" spans="4:5" x14ac:dyDescent="0.55000000000000004">
      <c r="D417" s="5"/>
      <c r="E417" s="5"/>
    </row>
    <row r="418" spans="4:5" x14ac:dyDescent="0.55000000000000004">
      <c r="D418" s="5"/>
      <c r="E418" s="5"/>
    </row>
    <row r="419" spans="4:5" x14ac:dyDescent="0.55000000000000004">
      <c r="D419" s="5"/>
      <c r="E419" s="5"/>
    </row>
    <row r="420" spans="4:5" x14ac:dyDescent="0.55000000000000004">
      <c r="D420" s="5"/>
      <c r="E420" s="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1442-E40B-4FC7-B116-D2393179DCDE}">
  <dimension ref="A1:AA149"/>
  <sheetViews>
    <sheetView tabSelected="1" topLeftCell="A64" zoomScale="55" zoomScaleNormal="55" workbookViewId="0">
      <selection activeCell="A107" sqref="A107:A110"/>
    </sheetView>
  </sheetViews>
  <sheetFormatPr baseColWidth="10" defaultRowHeight="14.4" x14ac:dyDescent="0.55000000000000004"/>
  <cols>
    <col min="1" max="1" width="22.20703125" customWidth="1"/>
    <col min="2" max="2" width="34.83984375" bestFit="1" customWidth="1"/>
  </cols>
  <sheetData>
    <row r="1" spans="1:27" s="2" customFormat="1" x14ac:dyDescent="0.55000000000000004">
      <c r="C1" s="2" t="s">
        <v>200</v>
      </c>
      <c r="D1" s="2" t="s">
        <v>205</v>
      </c>
      <c r="E1" s="2" t="s">
        <v>207</v>
      </c>
      <c r="F1" s="78" t="s">
        <v>221</v>
      </c>
      <c r="G1" s="2" t="s">
        <v>223</v>
      </c>
      <c r="H1" s="2" t="s">
        <v>225</v>
      </c>
      <c r="I1" s="2" t="s">
        <v>226</v>
      </c>
      <c r="J1" s="2" t="s">
        <v>230</v>
      </c>
      <c r="K1" s="2" t="s">
        <v>233</v>
      </c>
      <c r="L1" s="2" t="s">
        <v>232</v>
      </c>
      <c r="M1" s="78" t="s">
        <v>236</v>
      </c>
      <c r="N1" s="2" t="s">
        <v>207</v>
      </c>
      <c r="O1" s="2" t="s">
        <v>238</v>
      </c>
      <c r="P1" s="2" t="s">
        <v>239</v>
      </c>
      <c r="Q1" s="2" t="s">
        <v>242</v>
      </c>
      <c r="R1" s="2" t="s">
        <v>243</v>
      </c>
      <c r="S1" s="2" t="s">
        <v>244</v>
      </c>
      <c r="T1" s="2" t="s">
        <v>245</v>
      </c>
      <c r="U1" s="2" t="s">
        <v>246</v>
      </c>
      <c r="V1" s="2" t="s">
        <v>252</v>
      </c>
      <c r="W1" s="2" t="s">
        <v>253</v>
      </c>
      <c r="X1" s="2" t="s">
        <v>254</v>
      </c>
      <c r="Y1" s="2" t="s">
        <v>255</v>
      </c>
      <c r="Z1" s="2" t="s">
        <v>256</v>
      </c>
      <c r="AA1" s="2" t="s">
        <v>257</v>
      </c>
    </row>
    <row r="2" spans="1:27" s="2" customFormat="1" x14ac:dyDescent="0.55000000000000004">
      <c r="C2" s="2" t="s">
        <v>203</v>
      </c>
      <c r="D2" s="2" t="s">
        <v>227</v>
      </c>
      <c r="E2" s="2" t="s">
        <v>206</v>
      </c>
      <c r="F2" s="2" t="s">
        <v>222</v>
      </c>
      <c r="G2" s="2" t="s">
        <v>224</v>
      </c>
      <c r="H2" s="2" t="s">
        <v>228</v>
      </c>
      <c r="I2" s="2" t="s">
        <v>229</v>
      </c>
      <c r="J2" s="2" t="s">
        <v>231</v>
      </c>
      <c r="K2" s="2" t="s">
        <v>235</v>
      </c>
      <c r="L2" s="2" t="s">
        <v>234</v>
      </c>
      <c r="M2" s="2" t="s">
        <v>237</v>
      </c>
      <c r="N2" s="2" t="s">
        <v>206</v>
      </c>
      <c r="O2" s="2" t="s">
        <v>240</v>
      </c>
      <c r="P2" s="2" t="s">
        <v>241</v>
      </c>
      <c r="Q2" s="2" t="s">
        <v>247</v>
      </c>
      <c r="R2" s="2" t="s">
        <v>248</v>
      </c>
      <c r="S2" s="2" t="s">
        <v>249</v>
      </c>
      <c r="T2" s="2" t="s">
        <v>250</v>
      </c>
      <c r="U2" s="2" t="s">
        <v>251</v>
      </c>
      <c r="V2" s="2" t="s">
        <v>258</v>
      </c>
      <c r="W2" s="2" t="s">
        <v>259</v>
      </c>
      <c r="X2" s="2" t="s">
        <v>260</v>
      </c>
      <c r="Y2" s="2" t="s">
        <v>261</v>
      </c>
      <c r="Z2" s="2" t="s">
        <v>262</v>
      </c>
      <c r="AA2" s="2" t="s">
        <v>263</v>
      </c>
    </row>
    <row r="3" spans="1:27" s="2" customFormat="1" x14ac:dyDescent="0.55000000000000004">
      <c r="B3" s="2" t="s">
        <v>116</v>
      </c>
      <c r="C3" s="2" t="s">
        <v>117</v>
      </c>
    </row>
    <row r="4" spans="1:27" s="2" customFormat="1" x14ac:dyDescent="0.55000000000000004">
      <c r="B4" s="2" t="s">
        <v>204</v>
      </c>
      <c r="C4" s="2" t="s">
        <v>118</v>
      </c>
      <c r="D4" s="2" t="s">
        <v>118</v>
      </c>
      <c r="E4" s="2" t="s">
        <v>118</v>
      </c>
      <c r="F4" s="2" t="s">
        <v>118</v>
      </c>
      <c r="G4" s="2" t="s">
        <v>118</v>
      </c>
      <c r="H4" s="2" t="s">
        <v>118</v>
      </c>
      <c r="I4" s="2" t="s">
        <v>118</v>
      </c>
      <c r="J4" s="2" t="s">
        <v>118</v>
      </c>
      <c r="K4" s="2" t="s">
        <v>118</v>
      </c>
      <c r="L4" s="2" t="s">
        <v>118</v>
      </c>
      <c r="M4" s="2" t="s">
        <v>118</v>
      </c>
      <c r="N4" s="2" t="s">
        <v>118</v>
      </c>
      <c r="O4" s="2" t="s">
        <v>118</v>
      </c>
      <c r="P4" s="2" t="s">
        <v>118</v>
      </c>
      <c r="Q4" s="2" t="s">
        <v>118</v>
      </c>
      <c r="R4" s="2" t="s">
        <v>118</v>
      </c>
      <c r="S4" s="2" t="s">
        <v>118</v>
      </c>
      <c r="T4" s="2" t="s">
        <v>118</v>
      </c>
      <c r="U4" s="2" t="s">
        <v>118</v>
      </c>
      <c r="V4" s="2" t="s">
        <v>118</v>
      </c>
      <c r="W4" s="2" t="s">
        <v>118</v>
      </c>
      <c r="X4" s="2" t="s">
        <v>118</v>
      </c>
      <c r="Y4" s="2" t="s">
        <v>118</v>
      </c>
      <c r="Z4" s="2" t="s">
        <v>118</v>
      </c>
      <c r="AA4" s="2" t="s">
        <v>118</v>
      </c>
    </row>
    <row r="5" spans="1:27" x14ac:dyDescent="0.55000000000000004">
      <c r="A5" t="s">
        <v>165</v>
      </c>
      <c r="B5" t="s">
        <v>119</v>
      </c>
      <c r="C5">
        <v>2258.2127490265825</v>
      </c>
      <c r="D5">
        <v>3024.8739070902957</v>
      </c>
      <c r="E5">
        <v>2986.6</v>
      </c>
      <c r="F5">
        <v>456.89898596571459</v>
      </c>
      <c r="G5">
        <v>2203.2655038476773</v>
      </c>
      <c r="H5">
        <v>2351.6071414075573</v>
      </c>
      <c r="I5">
        <v>1691.8792304237684</v>
      </c>
      <c r="J5">
        <v>2344.0449429231999</v>
      </c>
      <c r="K5">
        <v>4904.2898081939366</v>
      </c>
      <c r="L5">
        <v>3763.0165102449732</v>
      </c>
      <c r="M5">
        <v>3215.9257693375998</v>
      </c>
      <c r="N5">
        <v>3597.8361531067162</v>
      </c>
      <c r="O5">
        <v>1210.7081527860778</v>
      </c>
      <c r="P5">
        <v>456.89898596571459</v>
      </c>
      <c r="Q5">
        <v>1694.6786877103111</v>
      </c>
      <c r="R5">
        <v>1900.29954523992</v>
      </c>
      <c r="S5">
        <v>3585.4944620351998</v>
      </c>
      <c r="T5">
        <v>2033.6825631452002</v>
      </c>
      <c r="U5">
        <v>3216.5435833056954</v>
      </c>
      <c r="V5">
        <v>2289.5681081837115</v>
      </c>
      <c r="W5">
        <v>874.79789759999994</v>
      </c>
      <c r="X5">
        <v>4840.143469362667</v>
      </c>
      <c r="Y5">
        <v>3126.8996066351997</v>
      </c>
      <c r="Z5">
        <v>7422.1626983812012</v>
      </c>
      <c r="AA5">
        <v>680.70166284685683</v>
      </c>
    </row>
    <row r="6" spans="1:27" x14ac:dyDescent="0.55000000000000004">
      <c r="A6" t="s">
        <v>166</v>
      </c>
      <c r="B6" t="s">
        <v>120</v>
      </c>
      <c r="C6">
        <v>2.25319192398806</v>
      </c>
      <c r="D6">
        <v>2.50205078196081</v>
      </c>
      <c r="E6">
        <v>7.3</v>
      </c>
      <c r="F6">
        <v>0</v>
      </c>
      <c r="G6">
        <v>0</v>
      </c>
      <c r="H6">
        <v>4.8081202180703997</v>
      </c>
      <c r="I6">
        <v>4.2805981955058101</v>
      </c>
      <c r="J6">
        <v>0</v>
      </c>
      <c r="K6">
        <v>0</v>
      </c>
      <c r="L6">
        <v>14.032878133891501</v>
      </c>
      <c r="M6">
        <v>0</v>
      </c>
      <c r="N6">
        <v>5.6415107411320697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2.1535049173846201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55000000000000004">
      <c r="A7" t="s">
        <v>167</v>
      </c>
      <c r="B7" t="s">
        <v>121</v>
      </c>
      <c r="C7">
        <v>204.64528948910538</v>
      </c>
      <c r="D7">
        <v>487.66991050439498</v>
      </c>
      <c r="E7">
        <v>385</v>
      </c>
      <c r="F7">
        <v>15.2866307</v>
      </c>
      <c r="G7">
        <v>263.26994844007447</v>
      </c>
      <c r="H7">
        <v>207.5918368746685</v>
      </c>
      <c r="I7">
        <v>290.895571626937</v>
      </c>
      <c r="J7">
        <v>109.1928684551833</v>
      </c>
      <c r="K7">
        <v>17.572644178833301</v>
      </c>
      <c r="L7">
        <v>483.97256584774402</v>
      </c>
      <c r="M7">
        <v>543.37233074666699</v>
      </c>
      <c r="N7">
        <v>426.05324367452903</v>
      </c>
      <c r="O7">
        <v>219.6938690434788</v>
      </c>
      <c r="P7">
        <v>15.2866307</v>
      </c>
      <c r="Q7">
        <v>286.23501576450002</v>
      </c>
      <c r="R7">
        <v>47.556363095999998</v>
      </c>
      <c r="S7">
        <v>228.16544491125001</v>
      </c>
      <c r="T7">
        <v>79.4497243411667</v>
      </c>
      <c r="U7">
        <v>95.359020549715098</v>
      </c>
      <c r="V7">
        <v>272.86481520692337</v>
      </c>
      <c r="W7">
        <v>10.267334</v>
      </c>
      <c r="X7">
        <v>749.6286798000001</v>
      </c>
      <c r="Y7">
        <v>2.7464316366666672</v>
      </c>
      <c r="Z7">
        <v>35.998729689999998</v>
      </c>
      <c r="AA7">
        <v>86.872501414285693</v>
      </c>
    </row>
    <row r="8" spans="1:27" x14ac:dyDescent="0.55000000000000004">
      <c r="A8" t="s">
        <v>168</v>
      </c>
      <c r="B8" t="s">
        <v>122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55000000000000004">
      <c r="A9" t="s">
        <v>169</v>
      </c>
      <c r="B9" t="s">
        <v>123</v>
      </c>
      <c r="C9">
        <v>7.6528221235867449</v>
      </c>
      <c r="D9">
        <v>19.288739373652</v>
      </c>
      <c r="E9">
        <v>13.3</v>
      </c>
      <c r="F9">
        <v>5.4715546285714298</v>
      </c>
      <c r="G9">
        <v>3.3048312647893998</v>
      </c>
      <c r="H9">
        <v>10.772377066461301</v>
      </c>
      <c r="I9">
        <v>6.5849530197196398</v>
      </c>
      <c r="J9">
        <v>3.4410657599999999</v>
      </c>
      <c r="K9">
        <v>0</v>
      </c>
      <c r="L9">
        <v>32.999536333835302</v>
      </c>
      <c r="M9">
        <v>22.527836099999998</v>
      </c>
      <c r="N9">
        <v>15.725633051886801</v>
      </c>
      <c r="O9">
        <v>9.4423750422554296</v>
      </c>
      <c r="P9">
        <v>5.4715546285714298</v>
      </c>
      <c r="Q9">
        <v>5.4846488812500001</v>
      </c>
      <c r="R9">
        <v>0</v>
      </c>
      <c r="S9">
        <v>17.2053288</v>
      </c>
      <c r="T9">
        <v>0</v>
      </c>
      <c r="U9">
        <v>0</v>
      </c>
      <c r="V9">
        <v>18.5003299038462</v>
      </c>
      <c r="W9">
        <v>0</v>
      </c>
      <c r="X9">
        <v>61.454451093750002</v>
      </c>
      <c r="Y9">
        <v>0</v>
      </c>
      <c r="Z9">
        <v>0</v>
      </c>
      <c r="AA9">
        <v>6.1972431026785699</v>
      </c>
    </row>
    <row r="10" spans="1:27" x14ac:dyDescent="0.55000000000000004">
      <c r="A10" t="s">
        <v>276</v>
      </c>
      <c r="B10" t="s">
        <v>124</v>
      </c>
      <c r="C10">
        <v>1.0304743382963501E-3</v>
      </c>
      <c r="D10">
        <v>1.6983705023999999E-3</v>
      </c>
      <c r="E10">
        <v>0</v>
      </c>
      <c r="F10">
        <v>0</v>
      </c>
      <c r="G10">
        <v>0</v>
      </c>
      <c r="H10">
        <v>5.9442967583999999E-3</v>
      </c>
      <c r="I10">
        <v>4.2459262560000004E-3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55000000000000004">
      <c r="A11" t="s">
        <v>280</v>
      </c>
      <c r="B11" t="s">
        <v>125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55000000000000004">
      <c r="A12" t="s">
        <v>281</v>
      </c>
      <c r="B12" t="s">
        <v>126</v>
      </c>
      <c r="C12">
        <v>92.993291503734923</v>
      </c>
      <c r="D12">
        <v>226.8624409904192</v>
      </c>
      <c r="E12">
        <v>193.9</v>
      </c>
      <c r="F12">
        <v>3.7693061999999999</v>
      </c>
      <c r="G12">
        <v>123.72776388810591</v>
      </c>
      <c r="H12">
        <v>89.517219884643893</v>
      </c>
      <c r="I12">
        <v>165.05681518854919</v>
      </c>
      <c r="J12">
        <v>41.179698413700002</v>
      </c>
      <c r="K12">
        <v>26.691291874500003</v>
      </c>
      <c r="L12">
        <v>203.71302957825012</v>
      </c>
      <c r="M12">
        <v>247.33071791999998</v>
      </c>
      <c r="N12">
        <v>215.97523199999961</v>
      </c>
      <c r="O12">
        <v>67.564909639565272</v>
      </c>
      <c r="P12">
        <v>3.7693061999999999</v>
      </c>
      <c r="Q12">
        <v>177.2013337875</v>
      </c>
      <c r="R12">
        <v>20.308570127999999</v>
      </c>
      <c r="S12">
        <v>92.0195285625</v>
      </c>
      <c r="T12">
        <v>28.469740876500001</v>
      </c>
      <c r="U12">
        <v>41.003126348516133</v>
      </c>
      <c r="V12">
        <v>64.672660304999994</v>
      </c>
      <c r="W12">
        <v>2.2738320000000001</v>
      </c>
      <c r="X12">
        <v>276.87826113749998</v>
      </c>
      <c r="Y12">
        <v>6.4457880959999994</v>
      </c>
      <c r="Z12">
        <v>52.151995170000006</v>
      </c>
      <c r="AA12">
        <v>42.862776165</v>
      </c>
    </row>
    <row r="13" spans="1:27" x14ac:dyDescent="0.55000000000000004">
      <c r="A13" t="s">
        <v>170</v>
      </c>
      <c r="B13" t="s">
        <v>127</v>
      </c>
      <c r="C13">
        <v>2.3290980568020339</v>
      </c>
      <c r="D13">
        <v>3.4322985933327699</v>
      </c>
      <c r="E13">
        <v>6.9</v>
      </c>
      <c r="F13">
        <v>0</v>
      </c>
      <c r="G13">
        <v>0.87729210000000002</v>
      </c>
      <c r="H13">
        <v>12.01304507666471</v>
      </c>
      <c r="I13">
        <v>8.5807464833319393</v>
      </c>
      <c r="J13">
        <v>0</v>
      </c>
      <c r="K13">
        <v>6.3149184000000002E-3</v>
      </c>
      <c r="L13">
        <v>0.97145486999999997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55000000000000004">
      <c r="A14" t="s">
        <v>279</v>
      </c>
      <c r="B14" t="s">
        <v>128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55000000000000004">
      <c r="A15" t="s">
        <v>171</v>
      </c>
      <c r="B15" t="s">
        <v>129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55000000000000004">
      <c r="A16" t="s">
        <v>278</v>
      </c>
      <c r="B16" t="s">
        <v>130</v>
      </c>
      <c r="C16">
        <v>278.02916296542429</v>
      </c>
      <c r="D16">
        <v>489.53331764692138</v>
      </c>
      <c r="E16">
        <v>407.2</v>
      </c>
      <c r="F16">
        <v>3.6875293714285702</v>
      </c>
      <c r="G16">
        <v>309.25100584317329</v>
      </c>
      <c r="H16">
        <v>341.68457622909375</v>
      </c>
      <c r="I16">
        <v>278.03789917273821</v>
      </c>
      <c r="J16">
        <v>232.49338534399999</v>
      </c>
      <c r="K16">
        <v>443.58658226666677</v>
      </c>
      <c r="L16">
        <v>550.25280396951791</v>
      </c>
      <c r="M16">
        <v>550.47266868000008</v>
      </c>
      <c r="N16">
        <v>496.96865587018902</v>
      </c>
      <c r="O16">
        <v>128.6272770782609</v>
      </c>
      <c r="P16">
        <v>3.6875293714285702</v>
      </c>
      <c r="Q16">
        <v>319.11800799999997</v>
      </c>
      <c r="R16">
        <v>277.89381839999999</v>
      </c>
      <c r="S16">
        <v>540.11760000000004</v>
      </c>
      <c r="T16">
        <v>155.58733168000001</v>
      </c>
      <c r="U16">
        <v>433.94275773156363</v>
      </c>
      <c r="V16">
        <v>318.31859085230747</v>
      </c>
      <c r="W16">
        <v>45.645600000000002</v>
      </c>
      <c r="X16">
        <v>807.84912450000002</v>
      </c>
      <c r="Y16">
        <v>299.74430933333326</v>
      </c>
      <c r="Z16">
        <v>652.69872799999996</v>
      </c>
      <c r="AA16">
        <v>120.91096867142861</v>
      </c>
    </row>
    <row r="17" spans="1:27" x14ac:dyDescent="0.55000000000000004">
      <c r="A17" t="s">
        <v>172</v>
      </c>
      <c r="B17" t="s">
        <v>131</v>
      </c>
      <c r="C17">
        <v>17.914465606602242</v>
      </c>
      <c r="D17">
        <v>16.6157844936758</v>
      </c>
      <c r="E17">
        <v>63.6</v>
      </c>
      <c r="F17">
        <v>0</v>
      </c>
      <c r="G17">
        <v>26.443554667788501</v>
      </c>
      <c r="H17">
        <v>10.199781146167201</v>
      </c>
      <c r="I17">
        <v>14.934779618340499</v>
      </c>
      <c r="J17">
        <v>8.42166864</v>
      </c>
      <c r="K17">
        <v>0</v>
      </c>
      <c r="L17">
        <v>34.180660116084901</v>
      </c>
      <c r="M17">
        <v>0</v>
      </c>
      <c r="N17">
        <v>76.013376045282996</v>
      </c>
      <c r="O17">
        <v>30.955895999999999</v>
      </c>
      <c r="P17">
        <v>0</v>
      </c>
      <c r="Q17">
        <v>0</v>
      </c>
      <c r="R17">
        <v>52.5389865</v>
      </c>
      <c r="S17">
        <v>0</v>
      </c>
      <c r="T17">
        <v>10.5270858</v>
      </c>
      <c r="U17">
        <v>31.2179821355769</v>
      </c>
      <c r="V17">
        <v>19.976942699999999</v>
      </c>
      <c r="W17">
        <v>6.5834999999999999</v>
      </c>
      <c r="X17">
        <v>0</v>
      </c>
      <c r="Y17">
        <v>0</v>
      </c>
      <c r="Z17">
        <v>0</v>
      </c>
      <c r="AA17">
        <v>5.3026338749999997</v>
      </c>
    </row>
    <row r="18" spans="1:27" x14ac:dyDescent="0.55000000000000004">
      <c r="A18" t="s">
        <v>173</v>
      </c>
      <c r="B18" t="s">
        <v>132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55000000000000004">
      <c r="A19" t="s">
        <v>174</v>
      </c>
      <c r="B19" t="s">
        <v>133</v>
      </c>
      <c r="C19">
        <v>26.003624547615601</v>
      </c>
      <c r="D19">
        <v>24.324280334490599</v>
      </c>
      <c r="E19">
        <v>97.3</v>
      </c>
      <c r="F19">
        <v>0</v>
      </c>
      <c r="G19">
        <v>30.0742672015385</v>
      </c>
      <c r="H19">
        <v>7.2053467199999996</v>
      </c>
      <c r="I19">
        <v>18.2432102508679</v>
      </c>
      <c r="J19">
        <v>11.549716992</v>
      </c>
      <c r="K19">
        <v>160.94679479999999</v>
      </c>
      <c r="L19">
        <v>42.432005685735902</v>
      </c>
      <c r="M19">
        <v>0</v>
      </c>
      <c r="N19">
        <v>121.621401672453</v>
      </c>
      <c r="O19">
        <v>24.764716799999999</v>
      </c>
      <c r="P19">
        <v>0</v>
      </c>
      <c r="Q19">
        <v>0</v>
      </c>
      <c r="R19">
        <v>72.0534672</v>
      </c>
      <c r="S19">
        <v>0</v>
      </c>
      <c r="T19">
        <v>14.437146240000001</v>
      </c>
      <c r="U19">
        <v>42.813232643076901</v>
      </c>
      <c r="V19">
        <v>29.727925920000001</v>
      </c>
      <c r="W19">
        <v>9.0288000000000004</v>
      </c>
      <c r="X19">
        <v>0</v>
      </c>
      <c r="Y19">
        <v>0</v>
      </c>
      <c r="Z19">
        <v>357.65954399999998</v>
      </c>
      <c r="AA19">
        <v>0</v>
      </c>
    </row>
    <row r="20" spans="1:27" x14ac:dyDescent="0.55000000000000004">
      <c r="A20" t="s">
        <v>277</v>
      </c>
      <c r="B20" t="s">
        <v>134</v>
      </c>
      <c r="C20">
        <v>159.93943543319489</v>
      </c>
      <c r="D20">
        <v>626.70256383205799</v>
      </c>
      <c r="E20">
        <v>441.2</v>
      </c>
      <c r="F20">
        <v>0</v>
      </c>
      <c r="G20">
        <v>99.015039639386401</v>
      </c>
      <c r="H20">
        <v>41.6554711887986</v>
      </c>
      <c r="I20">
        <v>312.50198832272497</v>
      </c>
      <c r="J20">
        <v>58.366269761250003</v>
      </c>
      <c r="K20">
        <v>97.104251474999998</v>
      </c>
      <c r="L20">
        <v>624.00741161207497</v>
      </c>
      <c r="M20">
        <v>732.06041626666706</v>
      </c>
      <c r="N20">
        <v>531.78563827358494</v>
      </c>
      <c r="O20">
        <v>66.600992986956498</v>
      </c>
      <c r="P20">
        <v>0</v>
      </c>
      <c r="Q20">
        <v>354.96046767500002</v>
      </c>
      <c r="R20">
        <v>15.043385280000001</v>
      </c>
      <c r="S20">
        <v>22.709319806250001</v>
      </c>
      <c r="T20">
        <v>67.280507249999999</v>
      </c>
      <c r="U20">
        <v>128.01492818790319</v>
      </c>
      <c r="V20">
        <v>306.06175215000002</v>
      </c>
      <c r="W20">
        <v>17.895900000000001</v>
      </c>
      <c r="X20">
        <v>1008.1484242500001</v>
      </c>
      <c r="Y20">
        <v>70.4529639</v>
      </c>
      <c r="Z20">
        <v>137.50615449999998</v>
      </c>
      <c r="AA20">
        <v>153.37726171428568</v>
      </c>
    </row>
    <row r="21" spans="1:27" x14ac:dyDescent="0.55000000000000004">
      <c r="A21" t="s">
        <v>282</v>
      </c>
      <c r="B21" t="s">
        <v>135</v>
      </c>
      <c r="C21">
        <v>47.416011266465802</v>
      </c>
      <c r="D21">
        <v>33.398208652944518</v>
      </c>
      <c r="E21">
        <v>46.9</v>
      </c>
      <c r="F21">
        <v>6.5514131571428598</v>
      </c>
      <c r="G21">
        <v>40.639261514109933</v>
      </c>
      <c r="H21">
        <v>32.806407472172999</v>
      </c>
      <c r="I21">
        <v>53.947703882327403</v>
      </c>
      <c r="J21">
        <v>76.898827259892002</v>
      </c>
      <c r="K21">
        <v>0</v>
      </c>
      <c r="L21">
        <v>24.75104396336755</v>
      </c>
      <c r="M21">
        <v>30.587134629333299</v>
      </c>
      <c r="N21">
        <v>57.319107197830263</v>
      </c>
      <c r="O21">
        <v>16.48341331158257</v>
      </c>
      <c r="P21">
        <v>6.5514131571428598</v>
      </c>
      <c r="Q21">
        <v>73.402258950900006</v>
      </c>
      <c r="R21">
        <v>34.512817838399997</v>
      </c>
      <c r="S21">
        <v>50.042273242500002</v>
      </c>
      <c r="T21">
        <v>83.612965764240002</v>
      </c>
      <c r="U21">
        <v>69.740133710112033</v>
      </c>
      <c r="V21">
        <v>31.171174755092338</v>
      </c>
      <c r="W21">
        <v>1.1759360800000001</v>
      </c>
      <c r="X21">
        <v>0</v>
      </c>
      <c r="Y21">
        <v>0</v>
      </c>
      <c r="Z21">
        <v>0</v>
      </c>
      <c r="AA21">
        <v>7.36273803021429</v>
      </c>
    </row>
    <row r="22" spans="1:27" x14ac:dyDescent="0.55000000000000004">
      <c r="A22" t="s">
        <v>175</v>
      </c>
      <c r="B22" t="s">
        <v>136</v>
      </c>
      <c r="C22">
        <v>1.5023079652772799</v>
      </c>
      <c r="D22">
        <v>0</v>
      </c>
      <c r="E22">
        <v>0</v>
      </c>
      <c r="F22">
        <v>0</v>
      </c>
      <c r="G22">
        <v>5.2328622834782603</v>
      </c>
      <c r="H22">
        <v>0</v>
      </c>
      <c r="I22">
        <v>0</v>
      </c>
      <c r="J22">
        <v>0</v>
      </c>
      <c r="K22">
        <v>24.877915498333302</v>
      </c>
      <c r="L22">
        <v>0</v>
      </c>
      <c r="M22">
        <v>0</v>
      </c>
      <c r="N22">
        <v>0</v>
      </c>
      <c r="O22">
        <v>14.9510350956522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28.3029834266667</v>
      </c>
      <c r="Z22">
        <v>23.836497300000001</v>
      </c>
      <c r="AA22">
        <v>0</v>
      </c>
    </row>
    <row r="23" spans="1:27" x14ac:dyDescent="0.55000000000000004">
      <c r="A23" t="s">
        <v>283</v>
      </c>
      <c r="B23" t="s">
        <v>137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55000000000000004">
      <c r="A24" t="s">
        <v>176</v>
      </c>
      <c r="B24" t="s">
        <v>138</v>
      </c>
      <c r="C24">
        <v>16.478149717156683</v>
      </c>
      <c r="D24">
        <v>52.429081671700004</v>
      </c>
      <c r="E24">
        <v>35.4</v>
      </c>
      <c r="F24">
        <v>3.18730133333333</v>
      </c>
      <c r="G24">
        <v>19.91343164006366</v>
      </c>
      <c r="H24">
        <v>9.7770419040209386</v>
      </c>
      <c r="I24">
        <v>20.767143022902786</v>
      </c>
      <c r="J24">
        <v>10.267041605088888</v>
      </c>
      <c r="K24">
        <v>0</v>
      </c>
      <c r="L24">
        <v>31.831136632876539</v>
      </c>
      <c r="M24">
        <v>62.176512903083299</v>
      </c>
      <c r="N24">
        <v>44.026705606289298</v>
      </c>
      <c r="O24">
        <v>15.74640039376812</v>
      </c>
      <c r="P24">
        <v>3.18730133333333</v>
      </c>
      <c r="Q24">
        <v>23.18780564375</v>
      </c>
      <c r="R24">
        <v>26.012011837777798</v>
      </c>
      <c r="S24">
        <v>12.409464375000001</v>
      </c>
      <c r="T24">
        <v>9.7314359126111114</v>
      </c>
      <c r="U24">
        <v>28.426203804489628</v>
      </c>
      <c r="V24">
        <v>21.936844889948738</v>
      </c>
      <c r="W24">
        <v>0.39300800000000002</v>
      </c>
      <c r="X24">
        <v>29.531535000000002</v>
      </c>
      <c r="Y24">
        <v>0</v>
      </c>
      <c r="Z24">
        <v>0</v>
      </c>
      <c r="AA24">
        <v>11.043869863779763</v>
      </c>
    </row>
    <row r="25" spans="1:27" x14ac:dyDescent="0.55000000000000004">
      <c r="A25" t="s">
        <v>177</v>
      </c>
      <c r="B25" t="s">
        <v>139</v>
      </c>
      <c r="C25">
        <v>2.0409374723940932</v>
      </c>
      <c r="D25">
        <v>2.8730671032980397</v>
      </c>
      <c r="E25">
        <v>3.9</v>
      </c>
      <c r="F25">
        <v>1.14159596571429</v>
      </c>
      <c r="G25">
        <v>0.58446369312727897</v>
      </c>
      <c r="H25">
        <v>2.8535829504785197</v>
      </c>
      <c r="I25">
        <v>4.6563082794752901</v>
      </c>
      <c r="J25">
        <v>1.6499747978999999</v>
      </c>
      <c r="K25">
        <v>0</v>
      </c>
      <c r="L25">
        <v>4.6960447275169805</v>
      </c>
      <c r="M25">
        <v>2.580259968</v>
      </c>
      <c r="N25">
        <v>4.5271382490566001</v>
      </c>
      <c r="O25">
        <v>1.4104819983913051</v>
      </c>
      <c r="P25">
        <v>1.14159596571429</v>
      </c>
      <c r="Q25">
        <v>5.955989754</v>
      </c>
      <c r="R25">
        <v>0.1703608335</v>
      </c>
      <c r="S25">
        <v>4.1299012755</v>
      </c>
      <c r="T25">
        <v>1.0299931785000001</v>
      </c>
      <c r="U25">
        <v>0.181589987380645</v>
      </c>
      <c r="V25">
        <v>4.59045477</v>
      </c>
      <c r="W25">
        <v>0</v>
      </c>
      <c r="X25">
        <v>5.1520797900000002</v>
      </c>
      <c r="Y25">
        <v>0</v>
      </c>
      <c r="Z25">
        <v>0</v>
      </c>
      <c r="AA25">
        <v>4.6127335131428602</v>
      </c>
    </row>
    <row r="26" spans="1:27" x14ac:dyDescent="0.55000000000000004">
      <c r="A26" t="s">
        <v>178</v>
      </c>
      <c r="B26" t="s">
        <v>140</v>
      </c>
      <c r="C26">
        <v>22.728754837438188</v>
      </c>
      <c r="D26">
        <v>36.425773232743289</v>
      </c>
      <c r="E26">
        <v>36.1</v>
      </c>
      <c r="F26">
        <v>2.5179957942857136</v>
      </c>
      <c r="G26">
        <v>21.817427434322262</v>
      </c>
      <c r="H26">
        <v>17.584372219611552</v>
      </c>
      <c r="I26">
        <v>18.983231749141257</v>
      </c>
      <c r="J26">
        <v>22.892559622556799</v>
      </c>
      <c r="K26">
        <v>0</v>
      </c>
      <c r="L26">
        <v>54.119637076907942</v>
      </c>
      <c r="M26">
        <v>38.661315633599997</v>
      </c>
      <c r="N26">
        <v>43.496237952905716</v>
      </c>
      <c r="O26">
        <v>13.506699616528699</v>
      </c>
      <c r="P26">
        <v>2.5179957942857136</v>
      </c>
      <c r="Q26">
        <v>17.999640515999999</v>
      </c>
      <c r="R26">
        <v>12.255743639039999</v>
      </c>
      <c r="S26">
        <v>25.520329837200002</v>
      </c>
      <c r="T26">
        <v>22.235617068896001</v>
      </c>
      <c r="U26">
        <v>32.554132497074548</v>
      </c>
      <c r="V26">
        <v>48.17855227223081</v>
      </c>
      <c r="W26">
        <v>1.289832192</v>
      </c>
      <c r="X26">
        <v>60.268964975999999</v>
      </c>
      <c r="Y26">
        <v>0</v>
      </c>
      <c r="Z26">
        <v>0</v>
      </c>
      <c r="AA26">
        <v>21.749508923748561</v>
      </c>
    </row>
    <row r="27" spans="1:27" x14ac:dyDescent="0.55000000000000004">
      <c r="A27" t="s">
        <v>179</v>
      </c>
      <c r="B27" t="s">
        <v>141</v>
      </c>
      <c r="C27">
        <v>3.7597778447515</v>
      </c>
      <c r="D27">
        <v>0</v>
      </c>
      <c r="E27">
        <v>0</v>
      </c>
      <c r="F27">
        <v>0</v>
      </c>
      <c r="G27">
        <v>1.5906710482706501</v>
      </c>
      <c r="H27">
        <v>15.3720054312</v>
      </c>
      <c r="I27">
        <v>3.0546882531000001</v>
      </c>
      <c r="J27">
        <v>5.5898201568000001</v>
      </c>
      <c r="K27">
        <v>0</v>
      </c>
      <c r="L27">
        <v>2.40422065061539</v>
      </c>
      <c r="M27">
        <v>0</v>
      </c>
      <c r="N27">
        <v>0</v>
      </c>
      <c r="O27">
        <v>4.5447744236304404</v>
      </c>
      <c r="P27">
        <v>0</v>
      </c>
      <c r="Q27">
        <v>5.0911470884999996</v>
      </c>
      <c r="R27">
        <v>0</v>
      </c>
      <c r="S27">
        <v>27.949100783999999</v>
      </c>
      <c r="T27">
        <v>0</v>
      </c>
      <c r="U27">
        <v>0</v>
      </c>
      <c r="V27">
        <v>12.0211032530769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55000000000000004">
      <c r="A28" t="s">
        <v>180</v>
      </c>
      <c r="B28" t="s">
        <v>142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55000000000000004">
      <c r="A29" t="s">
        <v>181</v>
      </c>
      <c r="B29" t="s">
        <v>143</v>
      </c>
      <c r="C29">
        <v>0.31711109036718799</v>
      </c>
      <c r="D29">
        <v>1.99531310299636E-2</v>
      </c>
      <c r="E29">
        <v>0</v>
      </c>
      <c r="F29">
        <v>0</v>
      </c>
      <c r="G29">
        <v>1.4330825986447999</v>
      </c>
      <c r="H29">
        <v>6.9835958604872697E-2</v>
      </c>
      <c r="I29">
        <v>4.9882827574909097E-2</v>
      </c>
      <c r="J29">
        <v>0</v>
      </c>
      <c r="K29">
        <v>0</v>
      </c>
      <c r="L29">
        <v>0.17939713846153801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0.89698569230769198</v>
      </c>
      <c r="W29">
        <v>0</v>
      </c>
      <c r="X29">
        <v>0</v>
      </c>
      <c r="Y29">
        <v>0</v>
      </c>
      <c r="Z29">
        <v>0</v>
      </c>
      <c r="AA29">
        <v>0.50078732142857196</v>
      </c>
    </row>
    <row r="30" spans="1:27" x14ac:dyDescent="0.55000000000000004">
      <c r="A30" t="s">
        <v>284</v>
      </c>
      <c r="B30" t="s">
        <v>144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55000000000000004">
      <c r="A31" t="s">
        <v>285</v>
      </c>
      <c r="B31" t="s">
        <v>145</v>
      </c>
      <c r="C31">
        <v>1251.7662865319671</v>
      </c>
      <c r="D31">
        <v>526.91257459092674</v>
      </c>
      <c r="E31">
        <v>659.5</v>
      </c>
      <c r="F31">
        <v>809.15456997257195</v>
      </c>
      <c r="G31">
        <v>1408.7724687895438</v>
      </c>
      <c r="H31">
        <v>1173.4486919417679</v>
      </c>
      <c r="I31">
        <v>380.69837249961068</v>
      </c>
      <c r="J31">
        <v>1796.7577627999999</v>
      </c>
      <c r="K31">
        <v>1020.5404596841664</v>
      </c>
      <c r="L31">
        <v>772.86136012098723</v>
      </c>
      <c r="M31">
        <v>512.38096910000002</v>
      </c>
      <c r="N31">
        <v>807.55999443630242</v>
      </c>
      <c r="O31">
        <v>575.93117282608705</v>
      </c>
      <c r="P31">
        <v>809.15456997257195</v>
      </c>
      <c r="Q31">
        <v>404.54938333333303</v>
      </c>
      <c r="R31">
        <v>1058.9961377393749</v>
      </c>
      <c r="S31">
        <v>1898.14625</v>
      </c>
      <c r="T31">
        <v>1771.4106409999999</v>
      </c>
      <c r="U31">
        <v>2330.8983616008277</v>
      </c>
      <c r="V31">
        <v>1299.3439125192299</v>
      </c>
      <c r="W31">
        <v>213.70249999999999</v>
      </c>
      <c r="X31">
        <v>631.08186281250005</v>
      </c>
      <c r="Y31">
        <v>1160.9966353333289</v>
      </c>
      <c r="Z31">
        <v>976.03627274999997</v>
      </c>
      <c r="AA31">
        <v>228.49445897142886</v>
      </c>
    </row>
    <row r="32" spans="1:27" x14ac:dyDescent="0.55000000000000004">
      <c r="A32" t="s">
        <v>114</v>
      </c>
      <c r="B32" t="s">
        <v>146</v>
      </c>
      <c r="C32">
        <v>6.4536006478359518</v>
      </c>
      <c r="D32">
        <v>7.99211544362353</v>
      </c>
      <c r="E32">
        <v>13.1</v>
      </c>
      <c r="F32">
        <v>0.29915128571428601</v>
      </c>
      <c r="G32">
        <v>10.739962369173563</v>
      </c>
      <c r="H32">
        <v>2.80662568594652</v>
      </c>
      <c r="I32">
        <v>5.0086874901909102</v>
      </c>
      <c r="J32">
        <v>4.5357926298666644</v>
      </c>
      <c r="K32">
        <v>0.25587104249999998</v>
      </c>
      <c r="L32">
        <v>12.693024607982899</v>
      </c>
      <c r="M32">
        <v>6.6160512000000002</v>
      </c>
      <c r="N32">
        <v>15.961064339622601</v>
      </c>
      <c r="O32">
        <v>1.2837362832608679</v>
      </c>
      <c r="P32">
        <v>0.29915128571428601</v>
      </c>
      <c r="Q32">
        <v>3.6547683333333301</v>
      </c>
      <c r="R32">
        <v>12.91812786</v>
      </c>
      <c r="S32">
        <v>1.6808715000000001</v>
      </c>
      <c r="T32">
        <v>5.2495229123333367</v>
      </c>
      <c r="U32">
        <v>10.19479559006451</v>
      </c>
      <c r="V32">
        <v>6.8681741192307699</v>
      </c>
      <c r="W32">
        <v>1.7264279999999999</v>
      </c>
      <c r="X32">
        <v>13.210461</v>
      </c>
      <c r="Y32">
        <v>0</v>
      </c>
      <c r="Z32">
        <v>0.56753564999999995</v>
      </c>
      <c r="AA32">
        <v>2.2413205571428598</v>
      </c>
    </row>
    <row r="33" spans="1:27" x14ac:dyDescent="0.55000000000000004">
      <c r="A33" t="s">
        <v>113</v>
      </c>
      <c r="B33" t="s">
        <v>147</v>
      </c>
      <c r="C33">
        <v>13.250470448243327</v>
      </c>
      <c r="D33">
        <v>3.5832062605906398</v>
      </c>
      <c r="E33">
        <v>10.8</v>
      </c>
      <c r="F33">
        <v>0</v>
      </c>
      <c r="G33">
        <v>53.529299999999999</v>
      </c>
      <c r="H33">
        <v>6.2032283633879999</v>
      </c>
      <c r="I33">
        <v>5.7890188771369795</v>
      </c>
      <c r="J33">
        <v>0</v>
      </c>
      <c r="K33">
        <v>16.855808804999999</v>
      </c>
      <c r="L33">
        <v>3.4075314414339601</v>
      </c>
      <c r="M33">
        <v>0</v>
      </c>
      <c r="N33">
        <v>9.0542764981132002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3.4562424599999999</v>
      </c>
      <c r="W33">
        <v>0</v>
      </c>
      <c r="X33">
        <v>0</v>
      </c>
      <c r="Y33">
        <v>0</v>
      </c>
      <c r="Z33">
        <v>37.457352899999997</v>
      </c>
      <c r="AA33">
        <v>0</v>
      </c>
    </row>
    <row r="34" spans="1:27" x14ac:dyDescent="0.55000000000000004">
      <c r="A34" t="s">
        <v>182</v>
      </c>
      <c r="B34" t="s">
        <v>148</v>
      </c>
      <c r="C34">
        <v>0.19250003168360499</v>
      </c>
      <c r="D34">
        <v>5.4288081453900003E-2</v>
      </c>
      <c r="E34">
        <v>0.1</v>
      </c>
      <c r="F34">
        <v>0</v>
      </c>
      <c r="G34">
        <v>0.78158606500000005</v>
      </c>
      <c r="H34">
        <v>0.19000828508865</v>
      </c>
      <c r="I34">
        <v>0.13572020363475001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55000000000000004">
      <c r="A35" t="s">
        <v>183</v>
      </c>
      <c r="B35" t="s">
        <v>149</v>
      </c>
      <c r="C35">
        <v>29.418939308926721</v>
      </c>
      <c r="D35">
        <v>67.333852555298932</v>
      </c>
      <c r="E35">
        <v>82.7</v>
      </c>
      <c r="F35">
        <v>22.587815213585532</v>
      </c>
      <c r="G35">
        <v>17.507722727446044</v>
      </c>
      <c r="H35">
        <v>30.522007254120371</v>
      </c>
      <c r="I35">
        <v>34.145002407856971</v>
      </c>
      <c r="J35">
        <v>12.790947733574688</v>
      </c>
      <c r="K35">
        <v>0</v>
      </c>
      <c r="L35">
        <v>82.879665506524162</v>
      </c>
      <c r="M35">
        <v>65.941646289371207</v>
      </c>
      <c r="N35">
        <v>100.78119060121466</v>
      </c>
      <c r="O35">
        <v>22.314737842627281</v>
      </c>
      <c r="P35">
        <v>22.587815213585532</v>
      </c>
      <c r="Q35">
        <v>27.46944789405724</v>
      </c>
      <c r="R35">
        <v>1.6607437574704509</v>
      </c>
      <c r="S35">
        <v>48.711483208430529</v>
      </c>
      <c r="T35">
        <v>3.8108138648606902</v>
      </c>
      <c r="U35">
        <v>13.983238200357036</v>
      </c>
      <c r="V35">
        <v>79.403053132713879</v>
      </c>
      <c r="W35">
        <v>0.35241125931</v>
      </c>
      <c r="X35">
        <v>88.523012618065934</v>
      </c>
      <c r="Y35">
        <v>0</v>
      </c>
      <c r="Z35">
        <v>0</v>
      </c>
      <c r="AA35">
        <v>33.79469730582138</v>
      </c>
    </row>
    <row r="36" spans="1:27" x14ac:dyDescent="0.55000000000000004">
      <c r="A36" t="s">
        <v>184</v>
      </c>
      <c r="B36" t="s">
        <v>150</v>
      </c>
      <c r="C36">
        <v>6.8905946290514679</v>
      </c>
      <c r="D36">
        <v>4.5237661301055496</v>
      </c>
      <c r="E36">
        <v>18.100000000000001</v>
      </c>
      <c r="F36">
        <v>6.4194859444833305</v>
      </c>
      <c r="G36">
        <v>13.57134771728019</v>
      </c>
      <c r="H36">
        <v>2.1141703560941014</v>
      </c>
      <c r="I36">
        <v>6.6291505713858001</v>
      </c>
      <c r="J36">
        <v>1.3603456059491399</v>
      </c>
      <c r="K36">
        <v>0</v>
      </c>
      <c r="L36">
        <v>10.412445669794552</v>
      </c>
      <c r="M36">
        <v>0</v>
      </c>
      <c r="N36">
        <v>22.512593871767727</v>
      </c>
      <c r="O36">
        <v>2.2649990073110509</v>
      </c>
      <c r="P36">
        <v>6.4194859444833305</v>
      </c>
      <c r="Q36">
        <v>5.3319051687343801</v>
      </c>
      <c r="R36">
        <v>2.38775096032</v>
      </c>
      <c r="S36">
        <v>3.2745991180546898</v>
      </c>
      <c r="T36">
        <v>0.88178222792274996</v>
      </c>
      <c r="U36">
        <v>3.78348327893067</v>
      </c>
      <c r="V36">
        <v>16.966169254180919</v>
      </c>
      <c r="W36">
        <v>8.0810356E-2</v>
      </c>
      <c r="X36">
        <v>0</v>
      </c>
      <c r="Y36">
        <v>0</v>
      </c>
      <c r="Z36">
        <v>0</v>
      </c>
      <c r="AA36">
        <v>16.983617648951899</v>
      </c>
    </row>
    <row r="37" spans="1:27" x14ac:dyDescent="0.55000000000000004">
      <c r="A37" t="s">
        <v>185</v>
      </c>
      <c r="B37" t="s">
        <v>151</v>
      </c>
      <c r="C37">
        <v>6.4221692611785806E-3</v>
      </c>
      <c r="D37">
        <v>1.0584662256256001E-2</v>
      </c>
      <c r="E37">
        <v>0</v>
      </c>
      <c r="F37">
        <v>0</v>
      </c>
      <c r="G37">
        <v>0</v>
      </c>
      <c r="H37">
        <v>3.7046317896895997E-2</v>
      </c>
      <c r="I37">
        <v>2.646165564064E-2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0.13663810285714301</v>
      </c>
    </row>
    <row r="38" spans="1:27" x14ac:dyDescent="0.55000000000000004">
      <c r="A38" t="s">
        <v>186</v>
      </c>
      <c r="B38" t="s">
        <v>152</v>
      </c>
      <c r="C38">
        <v>1.6342599013556699E-3</v>
      </c>
      <c r="D38">
        <v>2.6934962925E-3</v>
      </c>
      <c r="E38">
        <v>0</v>
      </c>
      <c r="F38">
        <v>0</v>
      </c>
      <c r="G38">
        <v>0</v>
      </c>
      <c r="H38">
        <v>9.42723702375E-3</v>
      </c>
      <c r="I38">
        <v>6.73374073125E-3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55000000000000004">
      <c r="A39" t="s">
        <v>187</v>
      </c>
      <c r="B39" t="s">
        <v>153</v>
      </c>
      <c r="C39">
        <v>7.2079436262508503E-3</v>
      </c>
      <c r="D39">
        <v>7.052945732404E-3</v>
      </c>
      <c r="E39">
        <v>0</v>
      </c>
      <c r="F39">
        <v>0</v>
      </c>
      <c r="G39">
        <v>8.1370178999999997E-3</v>
      </c>
      <c r="H39">
        <v>2.4685310063413998E-2</v>
      </c>
      <c r="I39">
        <v>1.7632364331010002E-2</v>
      </c>
      <c r="J39">
        <v>0</v>
      </c>
      <c r="K39">
        <v>0</v>
      </c>
      <c r="L39">
        <v>1.827740265E-2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1.6274035799999999E-2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55000000000000004">
      <c r="A40" t="s">
        <v>188</v>
      </c>
      <c r="B40" t="s">
        <v>154</v>
      </c>
      <c r="C40">
        <v>6.5661457350040209</v>
      </c>
      <c r="D40">
        <v>10.521185824595895</v>
      </c>
      <c r="E40">
        <v>8.3000000000000007</v>
      </c>
      <c r="F40">
        <v>0.88962703443428603</v>
      </c>
      <c r="G40">
        <v>7.3141271045489198</v>
      </c>
      <c r="H40">
        <v>7.0255893086342702</v>
      </c>
      <c r="I40">
        <v>5.2981871820108752</v>
      </c>
      <c r="J40">
        <v>7.1622561265199991</v>
      </c>
      <c r="K40">
        <v>0</v>
      </c>
      <c r="L40">
        <v>10.202879730994333</v>
      </c>
      <c r="M40">
        <v>12.047985138288</v>
      </c>
      <c r="N40">
        <v>10.2139910562883</v>
      </c>
      <c r="O40">
        <v>4.7456704483129579</v>
      </c>
      <c r="P40">
        <v>0.88962703443428603</v>
      </c>
      <c r="Q40">
        <v>6.0901558037100001</v>
      </c>
      <c r="R40">
        <v>7.8127565769000009</v>
      </c>
      <c r="S40">
        <v>11.068219260119999</v>
      </c>
      <c r="T40">
        <v>6.1857653431199999</v>
      </c>
      <c r="U40">
        <v>10.644202970278759</v>
      </c>
      <c r="V40">
        <v>3.6640121604392357</v>
      </c>
      <c r="W40">
        <v>0.95907239999999994</v>
      </c>
      <c r="X40">
        <v>15.92581376265</v>
      </c>
      <c r="Y40">
        <v>0</v>
      </c>
      <c r="Z40">
        <v>0</v>
      </c>
      <c r="AA40">
        <v>1.87400414110957</v>
      </c>
    </row>
    <row r="41" spans="1:27" x14ac:dyDescent="0.55000000000000004">
      <c r="A41" t="s">
        <v>189</v>
      </c>
      <c r="B41" t="s">
        <v>155</v>
      </c>
      <c r="C41">
        <v>0.31199162545249703</v>
      </c>
      <c r="D41">
        <v>0</v>
      </c>
      <c r="E41">
        <v>0</v>
      </c>
      <c r="F41">
        <v>0</v>
      </c>
      <c r="G41">
        <v>0.707560335181452</v>
      </c>
      <c r="H41">
        <v>0.38715587418750003</v>
      </c>
      <c r="I41">
        <v>7.24321884E-2</v>
      </c>
      <c r="J41">
        <v>0.37004273074999999</v>
      </c>
      <c r="K41">
        <v>0.42942004874999995</v>
      </c>
      <c r="L41">
        <v>0</v>
      </c>
      <c r="M41">
        <v>0</v>
      </c>
      <c r="N41">
        <v>0</v>
      </c>
      <c r="O41">
        <v>0</v>
      </c>
      <c r="P41">
        <v>0</v>
      </c>
      <c r="Q41">
        <v>0.120720314</v>
      </c>
      <c r="R41">
        <v>0.19153008187500001</v>
      </c>
      <c r="S41">
        <v>0.66909611999999996</v>
      </c>
      <c r="T41">
        <v>0.29527938343749999</v>
      </c>
      <c r="U41">
        <v>1.4151206703629</v>
      </c>
      <c r="V41">
        <v>0</v>
      </c>
      <c r="W41">
        <v>1.5675000000000001E-2</v>
      </c>
      <c r="X41">
        <v>0</v>
      </c>
      <c r="Y41">
        <v>0</v>
      </c>
      <c r="Z41">
        <v>0.95426677500000001</v>
      </c>
      <c r="AA41">
        <v>0.16525981607142901</v>
      </c>
    </row>
    <row r="42" spans="1:27" x14ac:dyDescent="0.55000000000000004">
      <c r="A42" t="s">
        <v>190</v>
      </c>
      <c r="B42" t="s">
        <v>156</v>
      </c>
      <c r="C42">
        <v>1.1314988431528161</v>
      </c>
      <c r="D42">
        <v>1.3326779231945469</v>
      </c>
      <c r="E42">
        <v>1.4</v>
      </c>
      <c r="F42">
        <v>0.64493199658730149</v>
      </c>
      <c r="G42">
        <v>1.2141586542702911</v>
      </c>
      <c r="H42">
        <v>1.5113460645472698</v>
      </c>
      <c r="I42">
        <v>0.93462332646121205</v>
      </c>
      <c r="J42">
        <v>1.0375445008703701</v>
      </c>
      <c r="K42">
        <v>0.95245887411111096</v>
      </c>
      <c r="L42">
        <v>1.5619779685691819</v>
      </c>
      <c r="M42">
        <v>1.31516605</v>
      </c>
      <c r="N42">
        <v>1.5446280057861641</v>
      </c>
      <c r="O42">
        <v>0.58343709101449304</v>
      </c>
      <c r="P42">
        <v>0.64493199658730149</v>
      </c>
      <c r="Q42">
        <v>0.74181484666666608</v>
      </c>
      <c r="R42">
        <v>1.2789280716666669</v>
      </c>
      <c r="S42">
        <v>1.8590490049999999</v>
      </c>
      <c r="T42">
        <v>0.83216837483796291</v>
      </c>
      <c r="U42">
        <v>1.5631388448304391</v>
      </c>
      <c r="V42">
        <v>0.97715502500000018</v>
      </c>
      <c r="W42">
        <v>0.27533000000000002</v>
      </c>
      <c r="X42">
        <v>2.0683221624999999</v>
      </c>
      <c r="Y42">
        <v>1.4037626142222219</v>
      </c>
      <c r="Z42">
        <v>0.55639459333333297</v>
      </c>
      <c r="AA42">
        <v>0.3531258067857142</v>
      </c>
    </row>
    <row r="43" spans="1:27" x14ac:dyDescent="0.55000000000000004">
      <c r="A43" t="s">
        <v>191</v>
      </c>
      <c r="B43" t="s">
        <v>157</v>
      </c>
      <c r="C43">
        <v>2.6679899266600171</v>
      </c>
      <c r="D43">
        <v>3.3494155818781799</v>
      </c>
      <c r="E43">
        <v>2.5</v>
      </c>
      <c r="F43">
        <v>0.99073417142857101</v>
      </c>
      <c r="G43">
        <v>7.1626389604927096</v>
      </c>
      <c r="H43">
        <v>0.65733457298447795</v>
      </c>
      <c r="I43">
        <v>1.2095723335633699</v>
      </c>
      <c r="J43">
        <v>1.0270587250000001</v>
      </c>
      <c r="K43">
        <v>8.9888369714999996</v>
      </c>
      <c r="L43">
        <v>2.2653762680270502</v>
      </c>
      <c r="M43">
        <v>3.7698550560000004</v>
      </c>
      <c r="N43">
        <v>2.7335421403773599</v>
      </c>
      <c r="O43">
        <v>2.2783652903478302</v>
      </c>
      <c r="P43">
        <v>0.99073417142857101</v>
      </c>
      <c r="Q43">
        <v>0.65003246000000003</v>
      </c>
      <c r="R43">
        <v>0.84004421875000002</v>
      </c>
      <c r="S43">
        <v>0</v>
      </c>
      <c r="T43">
        <v>1.28382340625</v>
      </c>
      <c r="U43">
        <v>4.6816022177419399</v>
      </c>
      <c r="V43">
        <v>2.6311580307692299</v>
      </c>
      <c r="W43">
        <v>0.17984999999999998</v>
      </c>
      <c r="X43">
        <v>0</v>
      </c>
      <c r="Y43">
        <v>12.436234095999989</v>
      </c>
      <c r="Z43">
        <v>6.1498344966666707</v>
      </c>
      <c r="AA43">
        <v>0.58759045714285696</v>
      </c>
    </row>
    <row r="44" spans="1:27" x14ac:dyDescent="0.55000000000000004">
      <c r="A44" t="s">
        <v>286</v>
      </c>
      <c r="B44" t="s">
        <v>158</v>
      </c>
      <c r="C44">
        <v>9.9837134582256806E-2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0.29344534999999999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0.36680668750000001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55000000000000004">
      <c r="A45" t="s">
        <v>287</v>
      </c>
      <c r="B45" t="s">
        <v>159</v>
      </c>
      <c r="C45">
        <v>3.2759409577113301E-3</v>
      </c>
      <c r="D45">
        <v>5.3992237199999996E-3</v>
      </c>
      <c r="E45">
        <v>0</v>
      </c>
      <c r="F45">
        <v>0</v>
      </c>
      <c r="G45">
        <v>0</v>
      </c>
      <c r="H45">
        <v>1.8897283019999999E-2</v>
      </c>
      <c r="I45">
        <v>1.34980593E-2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55000000000000004">
      <c r="A46" t="s">
        <v>192</v>
      </c>
      <c r="B46" t="s">
        <v>160</v>
      </c>
      <c r="C46">
        <v>289.83862547808678</v>
      </c>
      <c r="D46">
        <v>313.05299545855695</v>
      </c>
      <c r="E46">
        <v>319.2</v>
      </c>
      <c r="F46">
        <v>76.702322602472066</v>
      </c>
      <c r="G46">
        <v>300.24098762255022</v>
      </c>
      <c r="H46">
        <v>233.91178980149638</v>
      </c>
      <c r="I46">
        <v>190.71664178116461</v>
      </c>
      <c r="J46">
        <v>350.10702880626911</v>
      </c>
      <c r="K46">
        <v>473.9202402564535</v>
      </c>
      <c r="L46">
        <v>400.20921098429835</v>
      </c>
      <c r="M46">
        <v>328.83547825656001</v>
      </c>
      <c r="N46">
        <v>383.7255530372795</v>
      </c>
      <c r="O46">
        <v>130.9295641983577</v>
      </c>
      <c r="P46">
        <v>76.702322602472066</v>
      </c>
      <c r="Q46">
        <v>196.41697274466699</v>
      </c>
      <c r="R46">
        <v>330.683098890613</v>
      </c>
      <c r="S46">
        <v>326.20509938573332</v>
      </c>
      <c r="T46">
        <v>356.08251116140309</v>
      </c>
      <c r="U46">
        <v>461.00712608276297</v>
      </c>
      <c r="V46">
        <v>232.28266259899965</v>
      </c>
      <c r="W46">
        <v>101.3912009611111</v>
      </c>
      <c r="X46">
        <v>485.20515747000002</v>
      </c>
      <c r="Y46">
        <v>252.8363973985667</v>
      </c>
      <c r="Z46">
        <v>771.94949464028002</v>
      </c>
      <c r="AA46">
        <v>58.966023680666702</v>
      </c>
    </row>
    <row r="47" spans="1:27" x14ac:dyDescent="0.55000000000000004">
      <c r="A47" t="s">
        <v>288</v>
      </c>
      <c r="B47" t="s">
        <v>161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55000000000000004">
      <c r="A48" t="s">
        <v>193</v>
      </c>
      <c r="B48" t="s">
        <v>162</v>
      </c>
      <c r="C48">
        <v>7.5784517523072488</v>
      </c>
      <c r="D48">
        <v>12.17168926734206</v>
      </c>
      <c r="E48">
        <v>13.7</v>
      </c>
      <c r="F48">
        <v>0.53367272866285698</v>
      </c>
      <c r="G48">
        <v>12.837995818255443</v>
      </c>
      <c r="H48">
        <v>6.9989284553702245</v>
      </c>
      <c r="I48">
        <v>3.139259690733827</v>
      </c>
      <c r="J48">
        <v>6.13180664088806</v>
      </c>
      <c r="K48">
        <v>0.44805736116241601</v>
      </c>
      <c r="L48">
        <v>8.9402471389743567</v>
      </c>
      <c r="M48">
        <v>12.492857917138499</v>
      </c>
      <c r="N48">
        <v>17.133443626725484</v>
      </c>
      <c r="O48">
        <v>3.641423781929479</v>
      </c>
      <c r="P48">
        <v>0.53367272866285698</v>
      </c>
      <c r="Q48">
        <v>0.94873857787499993</v>
      </c>
      <c r="R48">
        <v>16.084143829776</v>
      </c>
      <c r="S48">
        <v>9.8009346770775014</v>
      </c>
      <c r="T48">
        <v>5.2145246318406997</v>
      </c>
      <c r="U48">
        <v>22.565544029160289</v>
      </c>
      <c r="V48">
        <v>12.901555976388362</v>
      </c>
      <c r="W48">
        <v>0.9694162368</v>
      </c>
      <c r="X48">
        <v>2.1985073649000002</v>
      </c>
      <c r="Y48">
        <v>0</v>
      </c>
      <c r="Z48">
        <v>0.99489059999999996</v>
      </c>
      <c r="AA48">
        <v>0.37936353426857095</v>
      </c>
    </row>
    <row r="49" spans="1:27" x14ac:dyDescent="0.55000000000000004">
      <c r="A49" t="s">
        <v>194</v>
      </c>
      <c r="B49" t="s">
        <v>163</v>
      </c>
      <c r="C49">
        <v>8.5757167939824297E-2</v>
      </c>
      <c r="D49">
        <v>0.15994720933192469</v>
      </c>
      <c r="E49">
        <v>0.6</v>
      </c>
      <c r="F49">
        <v>0</v>
      </c>
      <c r="G49">
        <v>2.8479757427860901E-2</v>
      </c>
      <c r="H49">
        <v>0</v>
      </c>
      <c r="I49">
        <v>0.11996040699894329</v>
      </c>
      <c r="J49">
        <v>0</v>
      </c>
      <c r="K49">
        <v>0</v>
      </c>
      <c r="L49">
        <v>0.23992081399788651</v>
      </c>
      <c r="M49">
        <v>0</v>
      </c>
      <c r="N49">
        <v>0.79973604665962195</v>
      </c>
      <c r="O49">
        <v>8.1370735508173905E-2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55000000000000004">
      <c r="A50" t="s">
        <v>195</v>
      </c>
      <c r="B50" t="s">
        <v>164</v>
      </c>
      <c r="C50">
        <v>0.65626872073632303</v>
      </c>
      <c r="D50">
        <v>1.403968139505511</v>
      </c>
      <c r="E50">
        <v>2.4</v>
      </c>
      <c r="F50">
        <v>0</v>
      </c>
      <c r="G50">
        <v>0.33026191481739109</v>
      </c>
      <c r="H50">
        <v>0</v>
      </c>
      <c r="I50">
        <v>0.44742787026113201</v>
      </c>
      <c r="J50">
        <v>0</v>
      </c>
      <c r="K50">
        <v>0</v>
      </c>
      <c r="L50">
        <v>4.75763113646072</v>
      </c>
      <c r="M50">
        <v>1.1534252083200001</v>
      </c>
      <c r="N50">
        <v>2.9828524684075433</v>
      </c>
      <c r="O50">
        <v>0.86337689947826102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4.2142512516923052</v>
      </c>
      <c r="W50">
        <v>0</v>
      </c>
      <c r="X50">
        <v>7.5498128639999997</v>
      </c>
      <c r="Y50">
        <v>0</v>
      </c>
      <c r="Z50">
        <v>0</v>
      </c>
      <c r="AA50">
        <v>0.42306512914285699</v>
      </c>
    </row>
    <row r="51" spans="1:27" s="2" customFormat="1" x14ac:dyDescent="0.55000000000000004">
      <c r="B51" s="2" t="s">
        <v>117</v>
      </c>
      <c r="C51" s="2">
        <v>4761.1447096402026</v>
      </c>
      <c r="D51" s="2">
        <v>5999.370488597825</v>
      </c>
      <c r="E51" s="2">
        <v>5857.2</v>
      </c>
      <c r="F51" s="2">
        <v>1416.7346240661311</v>
      </c>
      <c r="G51" s="2">
        <v>4985.1871419584386</v>
      </c>
      <c r="H51" s="2">
        <v>4621.3910381566029</v>
      </c>
      <c r="I51" s="2">
        <v>3526.8673788926744</v>
      </c>
      <c r="J51" s="2">
        <v>5107.5618713812592</v>
      </c>
      <c r="K51" s="2">
        <v>7197.4667562493141</v>
      </c>
      <c r="L51" s="2">
        <v>7178.0098853725485</v>
      </c>
      <c r="M51" s="2">
        <v>6390.2483964006278</v>
      </c>
      <c r="N51" s="2">
        <v>7011.9928995703976</v>
      </c>
      <c r="O51" s="2">
        <v>2569.9188486203834</v>
      </c>
      <c r="P51" s="2">
        <v>1416.7346240661311</v>
      </c>
      <c r="Q51" s="2">
        <v>3609.2889432480874</v>
      </c>
      <c r="R51" s="2">
        <v>3891.4983319793837</v>
      </c>
      <c r="S51" s="2">
        <v>6907.1783559038158</v>
      </c>
      <c r="T51" s="2">
        <v>4657.6577502506188</v>
      </c>
      <c r="U51" s="2">
        <v>6980.5495784222185</v>
      </c>
      <c r="V51" s="2">
        <v>5103.3480923004727</v>
      </c>
      <c r="W51" s="2">
        <v>1289.004334085221</v>
      </c>
      <c r="X51" s="2">
        <v>9084.8179399645323</v>
      </c>
      <c r="Y51" s="2">
        <v>4962.2651124699851</v>
      </c>
      <c r="Z51" s="2">
        <v>10476.680389446481</v>
      </c>
      <c r="AA51" s="2">
        <v>1485.8938505932394</v>
      </c>
    </row>
    <row r="52" spans="1:27" s="2" customFormat="1" x14ac:dyDescent="0.55000000000000004">
      <c r="B52" s="2" t="s">
        <v>196</v>
      </c>
      <c r="C52" s="2">
        <v>2428.5268283455598</v>
      </c>
      <c r="D52" s="2">
        <v>4070.0128440037201</v>
      </c>
      <c r="E52" s="79">
        <v>3634</v>
      </c>
      <c r="F52" s="2">
        <v>707.06285714285696</v>
      </c>
      <c r="G52" s="2">
        <v>2440.9404258333302</v>
      </c>
      <c r="H52" s="2">
        <v>2477.2750415947298</v>
      </c>
      <c r="I52" s="2">
        <v>2044.00396491127</v>
      </c>
      <c r="J52" s="2">
        <v>2398.1092631578999</v>
      </c>
      <c r="K52" s="2">
        <v>3367.72740833334</v>
      </c>
      <c r="L52" s="2">
        <v>3575.5265453654201</v>
      </c>
      <c r="M52" s="2">
        <v>4446.9253333333299</v>
      </c>
      <c r="N52" s="2">
        <v>4298.8451764705896</v>
      </c>
      <c r="O52" s="2">
        <v>1154.8204166666701</v>
      </c>
      <c r="P52" s="2">
        <v>707.06285714285696</v>
      </c>
      <c r="Q52" s="2">
        <v>1926.145</v>
      </c>
      <c r="R52" s="2">
        <v>2294.83777777778</v>
      </c>
      <c r="S52" s="2">
        <v>3467.1</v>
      </c>
      <c r="T52" s="2">
        <v>2130.8615789473702</v>
      </c>
      <c r="U52" s="2">
        <v>3426.92</v>
      </c>
      <c r="V52" s="2">
        <v>2341.6429166666699</v>
      </c>
      <c r="W52" s="2">
        <v>380</v>
      </c>
      <c r="X52" s="2">
        <v>3792.29727272727</v>
      </c>
      <c r="Y52" s="2">
        <v>1547.9266666666699</v>
      </c>
      <c r="Z52" s="2">
        <v>5761.9775</v>
      </c>
      <c r="AA52" s="2">
        <v>1110.7159375000001</v>
      </c>
    </row>
    <row r="53" spans="1:27" s="2" customFormat="1" x14ac:dyDescent="0.55000000000000004">
      <c r="B53" s="2" t="s">
        <v>199</v>
      </c>
      <c r="C53" s="2">
        <v>12521.9246355409</v>
      </c>
      <c r="D53" s="2">
        <v>13103.0973141171</v>
      </c>
      <c r="E53" s="79">
        <v>12931</v>
      </c>
      <c r="F53" s="2">
        <v>4845.2914285714296</v>
      </c>
      <c r="G53" s="2">
        <v>14367.7504599894</v>
      </c>
      <c r="H53" s="2">
        <v>10296.9480318443</v>
      </c>
      <c r="I53" s="2">
        <v>7054.3381480376802</v>
      </c>
      <c r="J53" s="2">
        <v>15257.981171052599</v>
      </c>
      <c r="K53" s="2">
        <v>8827.5581868888894</v>
      </c>
      <c r="L53" s="2">
        <v>14686.4369388592</v>
      </c>
      <c r="M53" s="2">
        <v>13909.0666666667</v>
      </c>
      <c r="N53" s="2">
        <v>15492.791058823501</v>
      </c>
      <c r="O53" s="2">
        <v>4771.7162500000004</v>
      </c>
      <c r="P53" s="2">
        <v>4845.2914285714296</v>
      </c>
      <c r="Q53" s="2">
        <v>6766.5640000000003</v>
      </c>
      <c r="R53" s="2">
        <v>9609.0544444444404</v>
      </c>
      <c r="S53" s="2">
        <v>15267.94375</v>
      </c>
      <c r="T53" s="2">
        <v>15255.4905263158</v>
      </c>
      <c r="U53" s="2">
        <v>22297.996382978701</v>
      </c>
      <c r="V53" s="2">
        <v>14116.141666666699</v>
      </c>
      <c r="W53" s="2">
        <v>3887.5</v>
      </c>
      <c r="X53" s="2">
        <v>15412.466969697</v>
      </c>
      <c r="Y53" s="2">
        <v>4471.4077777777802</v>
      </c>
      <c r="Z53" s="2">
        <v>14643.825000000001</v>
      </c>
      <c r="AA53" s="2">
        <v>3451.0778125000002</v>
      </c>
    </row>
    <row r="54" spans="1:27" x14ac:dyDescent="0.55000000000000004">
      <c r="A54" s="2" t="s">
        <v>202</v>
      </c>
    </row>
    <row r="55" spans="1:27" x14ac:dyDescent="0.55000000000000004">
      <c r="A55" t="s">
        <v>165</v>
      </c>
      <c r="B55" t="s">
        <v>119</v>
      </c>
      <c r="C55">
        <f>C5/C$52</f>
        <v>0.9298693852869625</v>
      </c>
      <c r="D55">
        <f>D5/D$52</f>
        <v>0.74320991678116943</v>
      </c>
      <c r="E55">
        <f>E5/E$52</f>
        <v>0.82184920198128786</v>
      </c>
      <c r="F55">
        <f t="shared" ref="F55:H55" si="0">F5/F$52</f>
        <v>0.64619288278269926</v>
      </c>
      <c r="G55">
        <f t="shared" si="0"/>
        <v>0.90262977356175689</v>
      </c>
      <c r="H55">
        <f t="shared" si="0"/>
        <v>0.94927172071040011</v>
      </c>
      <c r="I55">
        <f t="shared" ref="I55:L55" si="1">I5/I$52</f>
        <v>0.82772795917605402</v>
      </c>
      <c r="J55">
        <f t="shared" si="1"/>
        <v>0.97745543913895461</v>
      </c>
      <c r="K55">
        <f t="shared" si="1"/>
        <v>1.4562609182852564</v>
      </c>
      <c r="L55">
        <f t="shared" si="1"/>
        <v>1.0524370222121764</v>
      </c>
      <c r="M55">
        <f t="shared" ref="M55:P55" si="2">M5/M$52</f>
        <v>0.72317961923750218</v>
      </c>
      <c r="N55">
        <f t="shared" si="2"/>
        <v>0.83693085128983147</v>
      </c>
      <c r="O55">
        <f t="shared" si="2"/>
        <v>1.0483951749664462</v>
      </c>
      <c r="P55">
        <f t="shared" si="2"/>
        <v>0.64619288278269926</v>
      </c>
      <c r="Q55">
        <f t="shared" ref="Q55:U55" si="3">Q5/Q$52</f>
        <v>0.87982923804298796</v>
      </c>
      <c r="R55">
        <f t="shared" si="3"/>
        <v>0.82807576362983115</v>
      </c>
      <c r="S55">
        <f t="shared" si="3"/>
        <v>1.0341479801664792</v>
      </c>
      <c r="T55">
        <f t="shared" si="3"/>
        <v>0.9543944962158567</v>
      </c>
      <c r="U55">
        <f t="shared" si="3"/>
        <v>0.9386106425903421</v>
      </c>
      <c r="V55">
        <f t="shared" ref="V55:AA55" si="4">V5/V$52</f>
        <v>0.97776142207152283</v>
      </c>
      <c r="W55">
        <f t="shared" si="4"/>
        <v>2.3020997305263156</v>
      </c>
      <c r="X55">
        <f t="shared" si="4"/>
        <v>1.2763090868880718</v>
      </c>
      <c r="Y55">
        <f t="shared" si="4"/>
        <v>2.0200566822514374</v>
      </c>
      <c r="Z55">
        <f t="shared" si="4"/>
        <v>1.2881276781072473</v>
      </c>
      <c r="AA55">
        <f t="shared" si="4"/>
        <v>0.612849460303037</v>
      </c>
    </row>
    <row r="56" spans="1:27" x14ac:dyDescent="0.55000000000000004">
      <c r="A56" t="s">
        <v>166</v>
      </c>
      <c r="B56" t="s">
        <v>120</v>
      </c>
      <c r="C56">
        <f t="shared" ref="C56:D101" si="5">C6/C$52</f>
        <v>9.2780194877363281E-4</v>
      </c>
      <c r="D56">
        <f t="shared" si="5"/>
        <v>6.1475255186160859E-4</v>
      </c>
      <c r="E56">
        <f t="shared" ref="E56:H56" si="6">E6/E$52</f>
        <v>2.008805723720418E-3</v>
      </c>
      <c r="F56">
        <f t="shared" si="6"/>
        <v>0</v>
      </c>
      <c r="G56">
        <f t="shared" si="6"/>
        <v>0</v>
      </c>
      <c r="H56">
        <f t="shared" si="6"/>
        <v>1.9408907518703306E-3</v>
      </c>
      <c r="I56">
        <f t="shared" ref="I56:L56" si="7">I6/I$52</f>
        <v>2.094222060714853E-3</v>
      </c>
      <c r="J56">
        <f t="shared" si="7"/>
        <v>0</v>
      </c>
      <c r="K56">
        <f t="shared" si="7"/>
        <v>0</v>
      </c>
      <c r="L56">
        <f t="shared" si="7"/>
        <v>3.9247025454421103E-3</v>
      </c>
      <c r="M56">
        <f t="shared" ref="M56:P56" si="8">M6/M$52</f>
        <v>0</v>
      </c>
      <c r="N56">
        <f t="shared" si="8"/>
        <v>1.3123316866609806E-3</v>
      </c>
      <c r="O56">
        <f t="shared" si="8"/>
        <v>0</v>
      </c>
      <c r="P56">
        <f t="shared" si="8"/>
        <v>0</v>
      </c>
      <c r="Q56">
        <f t="shared" ref="Q56:U56" si="9">Q6/Q$52</f>
        <v>0</v>
      </c>
      <c r="R56">
        <f t="shared" si="9"/>
        <v>0</v>
      </c>
      <c r="S56">
        <f t="shared" si="9"/>
        <v>0</v>
      </c>
      <c r="T56">
        <f t="shared" si="9"/>
        <v>0</v>
      </c>
      <c r="U56">
        <f t="shared" si="9"/>
        <v>0</v>
      </c>
      <c r="V56">
        <f t="shared" ref="V56:AA56" si="10">V6/V$52</f>
        <v>9.1965555553198339E-4</v>
      </c>
      <c r="W56">
        <f t="shared" si="10"/>
        <v>0</v>
      </c>
      <c r="X56">
        <f t="shared" si="10"/>
        <v>0</v>
      </c>
      <c r="Y56">
        <f t="shared" si="10"/>
        <v>0</v>
      </c>
      <c r="Z56">
        <f t="shared" si="10"/>
        <v>0</v>
      </c>
      <c r="AA56">
        <f t="shared" si="10"/>
        <v>0</v>
      </c>
    </row>
    <row r="57" spans="1:27" x14ac:dyDescent="0.55000000000000004">
      <c r="A57" t="s">
        <v>167</v>
      </c>
      <c r="B57" t="s">
        <v>121</v>
      </c>
      <c r="C57">
        <f t="shared" si="5"/>
        <v>8.4267254987881068E-2</v>
      </c>
      <c r="D57">
        <f t="shared" si="5"/>
        <v>0.11982023870584847</v>
      </c>
      <c r="E57">
        <f t="shared" ref="E57:H57" si="11">E7/E$52</f>
        <v>0.10594386351128234</v>
      </c>
      <c r="F57">
        <f t="shared" si="11"/>
        <v>2.1619903443621909E-2</v>
      </c>
      <c r="G57">
        <f t="shared" si="11"/>
        <v>0.10785594996657685</v>
      </c>
      <c r="H57">
        <f t="shared" si="11"/>
        <v>8.3798461369486293E-2</v>
      </c>
      <c r="I57">
        <f t="shared" ref="I57:L57" si="12">I7/I$52</f>
        <v>0.14231653980160686</v>
      </c>
      <c r="J57">
        <f t="shared" si="12"/>
        <v>4.5532899660874898E-2</v>
      </c>
      <c r="K57">
        <f t="shared" si="12"/>
        <v>5.2179532510114451E-3</v>
      </c>
      <c r="L57">
        <f t="shared" si="12"/>
        <v>0.13535700538290421</v>
      </c>
      <c r="M57">
        <f t="shared" ref="M57:P57" si="13">M7/M$52</f>
        <v>0.12219056764314176</v>
      </c>
      <c r="N57">
        <f t="shared" si="13"/>
        <v>9.9108766700066298E-2</v>
      </c>
      <c r="O57">
        <f t="shared" si="13"/>
        <v>0.19024072130419539</v>
      </c>
      <c r="P57">
        <f t="shared" si="13"/>
        <v>2.1619903443621909E-2</v>
      </c>
      <c r="Q57">
        <f t="shared" ref="Q57:U57" si="14">Q7/Q$52</f>
        <v>0.1486051235833751</v>
      </c>
      <c r="R57">
        <f t="shared" si="14"/>
        <v>2.0723191659347481E-2</v>
      </c>
      <c r="S57">
        <f t="shared" si="14"/>
        <v>6.5808729171714112E-2</v>
      </c>
      <c r="T57">
        <f t="shared" si="14"/>
        <v>3.7285258285249236E-2</v>
      </c>
      <c r="U57">
        <f t="shared" si="14"/>
        <v>2.7826450734103829E-2</v>
      </c>
      <c r="V57">
        <f t="shared" ref="V57:AA57" si="15">V7/V$52</f>
        <v>0.11652708159079464</v>
      </c>
      <c r="W57">
        <f t="shared" si="15"/>
        <v>2.70193E-2</v>
      </c>
      <c r="X57">
        <f t="shared" si="15"/>
        <v>0.19767139174216078</v>
      </c>
      <c r="Y57">
        <f t="shared" si="15"/>
        <v>1.7742646960019605E-3</v>
      </c>
      <c r="Z57">
        <f t="shared" si="15"/>
        <v>6.2476345473407345E-3</v>
      </c>
      <c r="AA57">
        <f t="shared" si="15"/>
        <v>7.8213068239408143E-2</v>
      </c>
    </row>
    <row r="58" spans="1:27" x14ac:dyDescent="0.55000000000000004">
      <c r="A58" t="s">
        <v>168</v>
      </c>
      <c r="B58" t="s">
        <v>122</v>
      </c>
      <c r="C58">
        <f t="shared" si="5"/>
        <v>0</v>
      </c>
      <c r="D58">
        <f t="shared" si="5"/>
        <v>0</v>
      </c>
      <c r="E58">
        <f t="shared" ref="E58:H58" si="16">E8/E$52</f>
        <v>0</v>
      </c>
      <c r="F58">
        <f t="shared" si="16"/>
        <v>0</v>
      </c>
      <c r="G58">
        <f t="shared" si="16"/>
        <v>0</v>
      </c>
      <c r="H58">
        <f t="shared" si="16"/>
        <v>0</v>
      </c>
      <c r="I58">
        <f t="shared" ref="I58:L58" si="17">I8/I$52</f>
        <v>0</v>
      </c>
      <c r="J58">
        <f t="shared" si="17"/>
        <v>0</v>
      </c>
      <c r="K58">
        <f t="shared" si="17"/>
        <v>0</v>
      </c>
      <c r="L58">
        <f t="shared" si="17"/>
        <v>0</v>
      </c>
      <c r="M58">
        <f t="shared" ref="M58:P58" si="18">M8/M$52</f>
        <v>0</v>
      </c>
      <c r="N58">
        <f t="shared" si="18"/>
        <v>0</v>
      </c>
      <c r="O58">
        <f t="shared" si="18"/>
        <v>0</v>
      </c>
      <c r="P58">
        <f t="shared" si="18"/>
        <v>0</v>
      </c>
      <c r="Q58">
        <f t="shared" ref="Q58:U58" si="19">Q8/Q$52</f>
        <v>0</v>
      </c>
      <c r="R58">
        <f t="shared" si="19"/>
        <v>0</v>
      </c>
      <c r="S58">
        <f t="shared" si="19"/>
        <v>0</v>
      </c>
      <c r="T58">
        <f t="shared" si="19"/>
        <v>0</v>
      </c>
      <c r="U58">
        <f t="shared" si="19"/>
        <v>0</v>
      </c>
      <c r="V58">
        <f t="shared" ref="V58:AA58" si="20">V8/V$52</f>
        <v>0</v>
      </c>
      <c r="W58">
        <f t="shared" si="20"/>
        <v>0</v>
      </c>
      <c r="X58">
        <f t="shared" si="20"/>
        <v>0</v>
      </c>
      <c r="Y58">
        <f t="shared" si="20"/>
        <v>0</v>
      </c>
      <c r="Z58">
        <f t="shared" si="20"/>
        <v>0</v>
      </c>
      <c r="AA58">
        <f t="shared" si="20"/>
        <v>0</v>
      </c>
    </row>
    <row r="59" spans="1:27" x14ac:dyDescent="0.55000000000000004">
      <c r="A59" t="s">
        <v>169</v>
      </c>
      <c r="B59" t="s">
        <v>123</v>
      </c>
      <c r="C59">
        <f t="shared" si="5"/>
        <v>3.1512199224087837E-3</v>
      </c>
      <c r="D59">
        <f t="shared" si="5"/>
        <v>4.7392330474017464E-3</v>
      </c>
      <c r="E59">
        <f t="shared" ref="E59:H59" si="21">E9/E$52</f>
        <v>3.6598789212988446E-3</v>
      </c>
      <c r="F59">
        <f t="shared" si="21"/>
        <v>7.7384274584599505E-3</v>
      </c>
      <c r="G59">
        <f t="shared" si="21"/>
        <v>1.3539172155998603E-3</v>
      </c>
      <c r="H59">
        <f t="shared" si="21"/>
        <v>4.3484784231009946E-3</v>
      </c>
      <c r="I59">
        <f t="shared" ref="I59:L59" si="22">I9/I$52</f>
        <v>3.2215950324761193E-3</v>
      </c>
      <c r="J59">
        <f t="shared" si="22"/>
        <v>1.4349078304583605E-3</v>
      </c>
      <c r="K59">
        <f t="shared" si="22"/>
        <v>0</v>
      </c>
      <c r="L59">
        <f t="shared" si="22"/>
        <v>9.2292801955586486E-3</v>
      </c>
      <c r="M59">
        <f t="shared" ref="M59:P59" si="23">M9/M$52</f>
        <v>5.0659353174058279E-3</v>
      </c>
      <c r="N59">
        <f t="shared" si="23"/>
        <v>3.6581063998210235E-3</v>
      </c>
      <c r="O59">
        <f t="shared" si="23"/>
        <v>8.1764877949684692E-3</v>
      </c>
      <c r="P59">
        <f t="shared" si="23"/>
        <v>7.7384274584599505E-3</v>
      </c>
      <c r="Q59">
        <f t="shared" ref="Q59:U59" si="24">Q9/Q$52</f>
        <v>2.8474745573412179E-3</v>
      </c>
      <c r="R59">
        <f t="shared" si="24"/>
        <v>0</v>
      </c>
      <c r="S59">
        <f t="shared" si="24"/>
        <v>4.962455308471057E-3</v>
      </c>
      <c r="T59">
        <f t="shared" si="24"/>
        <v>0</v>
      </c>
      <c r="U59">
        <f t="shared" si="24"/>
        <v>0</v>
      </c>
      <c r="V59">
        <f t="shared" ref="V59:AA59" si="25">V9/V$52</f>
        <v>7.9005768864970367E-3</v>
      </c>
      <c r="W59">
        <f t="shared" si="25"/>
        <v>0</v>
      </c>
      <c r="X59">
        <f t="shared" si="25"/>
        <v>1.6205072196134665E-2</v>
      </c>
      <c r="Y59">
        <f t="shared" si="25"/>
        <v>0</v>
      </c>
      <c r="Z59">
        <f t="shared" si="25"/>
        <v>0</v>
      </c>
      <c r="AA59">
        <f t="shared" si="25"/>
        <v>5.5795031775877166E-3</v>
      </c>
    </row>
    <row r="60" spans="1:27" x14ac:dyDescent="0.55000000000000004">
      <c r="A60" t="s">
        <v>276</v>
      </c>
      <c r="B60" t="s">
        <v>124</v>
      </c>
      <c r="C60">
        <f t="shared" si="5"/>
        <v>4.2432075539324528E-7</v>
      </c>
      <c r="D60">
        <f t="shared" si="5"/>
        <v>4.1728873286043307E-7</v>
      </c>
      <c r="E60">
        <f t="shared" ref="E60:H60" si="26">E10/E$52</f>
        <v>0</v>
      </c>
      <c r="F60">
        <f t="shared" si="26"/>
        <v>0</v>
      </c>
      <c r="G60">
        <f t="shared" si="26"/>
        <v>0</v>
      </c>
      <c r="H60">
        <f t="shared" si="26"/>
        <v>2.3995303947249221E-6</v>
      </c>
      <c r="I60">
        <f t="shared" ref="I60:L60" si="27">I10/I$52</f>
        <v>2.0772593052109443E-6</v>
      </c>
      <c r="J60">
        <f t="shared" si="27"/>
        <v>0</v>
      </c>
      <c r="K60">
        <f t="shared" si="27"/>
        <v>0</v>
      </c>
      <c r="L60">
        <f t="shared" si="27"/>
        <v>0</v>
      </c>
      <c r="M60">
        <f t="shared" ref="M60:P60" si="28">M10/M$52</f>
        <v>0</v>
      </c>
      <c r="N60">
        <f t="shared" si="28"/>
        <v>0</v>
      </c>
      <c r="O60">
        <f t="shared" si="28"/>
        <v>0</v>
      </c>
      <c r="P60">
        <f t="shared" si="28"/>
        <v>0</v>
      </c>
      <c r="Q60">
        <f t="shared" ref="Q60:U60" si="29">Q10/Q$52</f>
        <v>0</v>
      </c>
      <c r="R60">
        <f t="shared" si="29"/>
        <v>0</v>
      </c>
      <c r="S60">
        <f t="shared" si="29"/>
        <v>0</v>
      </c>
      <c r="T60">
        <f t="shared" si="29"/>
        <v>0</v>
      </c>
      <c r="U60">
        <f t="shared" si="29"/>
        <v>0</v>
      </c>
      <c r="V60">
        <f t="shared" ref="V60:AA60" si="30">V10/V$52</f>
        <v>0</v>
      </c>
      <c r="W60">
        <f t="shared" si="30"/>
        <v>0</v>
      </c>
      <c r="X60">
        <f t="shared" si="30"/>
        <v>0</v>
      </c>
      <c r="Y60">
        <f t="shared" si="30"/>
        <v>0</v>
      </c>
      <c r="Z60">
        <f t="shared" si="30"/>
        <v>0</v>
      </c>
      <c r="AA60">
        <f t="shared" si="30"/>
        <v>0</v>
      </c>
    </row>
    <row r="61" spans="1:27" x14ac:dyDescent="0.55000000000000004">
      <c r="A61" t="s">
        <v>280</v>
      </c>
      <c r="B61" t="s">
        <v>125</v>
      </c>
      <c r="C61">
        <f t="shared" si="5"/>
        <v>0</v>
      </c>
      <c r="D61">
        <f t="shared" si="5"/>
        <v>0</v>
      </c>
      <c r="E61">
        <f t="shared" ref="E61:H61" si="31">E11/E$52</f>
        <v>0</v>
      </c>
      <c r="F61">
        <f t="shared" si="31"/>
        <v>0</v>
      </c>
      <c r="G61">
        <f t="shared" si="31"/>
        <v>0</v>
      </c>
      <c r="H61">
        <f t="shared" si="31"/>
        <v>0</v>
      </c>
      <c r="I61">
        <f t="shared" ref="I61:L61" si="32">I11/I$52</f>
        <v>0</v>
      </c>
      <c r="J61">
        <f t="shared" si="32"/>
        <v>0</v>
      </c>
      <c r="K61">
        <f t="shared" si="32"/>
        <v>0</v>
      </c>
      <c r="L61">
        <f t="shared" si="32"/>
        <v>0</v>
      </c>
      <c r="M61">
        <f t="shared" ref="M61:P61" si="33">M11/M$52</f>
        <v>0</v>
      </c>
      <c r="N61">
        <f t="shared" si="33"/>
        <v>0</v>
      </c>
      <c r="O61">
        <f t="shared" si="33"/>
        <v>0</v>
      </c>
      <c r="P61">
        <f t="shared" si="33"/>
        <v>0</v>
      </c>
      <c r="Q61">
        <f t="shared" ref="Q61:U61" si="34">Q11/Q$52</f>
        <v>0</v>
      </c>
      <c r="R61">
        <f t="shared" si="34"/>
        <v>0</v>
      </c>
      <c r="S61">
        <f t="shared" si="34"/>
        <v>0</v>
      </c>
      <c r="T61">
        <f t="shared" si="34"/>
        <v>0</v>
      </c>
      <c r="U61">
        <f t="shared" si="34"/>
        <v>0</v>
      </c>
      <c r="V61">
        <f t="shared" ref="V61:AA61" si="35">V11/V$52</f>
        <v>0</v>
      </c>
      <c r="W61">
        <f t="shared" si="35"/>
        <v>0</v>
      </c>
      <c r="X61">
        <f t="shared" si="35"/>
        <v>0</v>
      </c>
      <c r="Y61">
        <f t="shared" si="35"/>
        <v>0</v>
      </c>
      <c r="Z61">
        <f t="shared" si="35"/>
        <v>0</v>
      </c>
      <c r="AA61">
        <f t="shared" si="35"/>
        <v>0</v>
      </c>
    </row>
    <row r="62" spans="1:27" x14ac:dyDescent="0.55000000000000004">
      <c r="A62" t="s">
        <v>281</v>
      </c>
      <c r="B62" t="s">
        <v>126</v>
      </c>
      <c r="C62">
        <f t="shared" si="5"/>
        <v>3.8292058551021586E-2</v>
      </c>
      <c r="D62">
        <f t="shared" si="5"/>
        <v>5.573998158867035E-2</v>
      </c>
      <c r="E62">
        <f t="shared" ref="E62:H62" si="36">E12/E$52</f>
        <v>5.335718216840947E-2</v>
      </c>
      <c r="F62">
        <f t="shared" si="36"/>
        <v>5.3309350956875943E-3</v>
      </c>
      <c r="G62">
        <f t="shared" si="36"/>
        <v>5.0688563546513264E-2</v>
      </c>
      <c r="H62">
        <f t="shared" si="36"/>
        <v>3.6135357754630976E-2</v>
      </c>
      <c r="I62">
        <f t="shared" ref="I62:L62" si="37">I12/I$52</f>
        <v>8.0751709890012027E-2</v>
      </c>
      <c r="J62">
        <f t="shared" si="37"/>
        <v>1.7171735686252E-2</v>
      </c>
      <c r="K62">
        <f t="shared" si="37"/>
        <v>7.925609361509843E-3</v>
      </c>
      <c r="L62">
        <f t="shared" si="37"/>
        <v>5.6974274136574916E-2</v>
      </c>
      <c r="M62">
        <f t="shared" ref="M62:P62" si="38">M12/M$52</f>
        <v>5.5618365360455835E-2</v>
      </c>
      <c r="N62">
        <f t="shared" si="38"/>
        <v>5.0240290853488752E-2</v>
      </c>
      <c r="O62">
        <f t="shared" si="38"/>
        <v>5.8506854108613629E-2</v>
      </c>
      <c r="P62">
        <f t="shared" si="38"/>
        <v>5.3309350956875943E-3</v>
      </c>
      <c r="Q62">
        <f t="shared" ref="Q62:U62" si="39">Q12/Q$52</f>
        <v>9.1997920087791937E-2</v>
      </c>
      <c r="R62">
        <f t="shared" si="39"/>
        <v>8.8496757046007523E-3</v>
      </c>
      <c r="S62">
        <f t="shared" si="39"/>
        <v>2.6540777180496668E-2</v>
      </c>
      <c r="T62">
        <f t="shared" si="39"/>
        <v>1.3360671175348632E-2</v>
      </c>
      <c r="U62">
        <f t="shared" si="39"/>
        <v>1.1965008330663142E-2</v>
      </c>
      <c r="V62">
        <f t="shared" ref="V62:AA62" si="40">V12/V$52</f>
        <v>2.7618498040282574E-2</v>
      </c>
      <c r="W62">
        <f t="shared" si="40"/>
        <v>5.9837684210526315E-3</v>
      </c>
      <c r="X62">
        <f t="shared" si="40"/>
        <v>7.3010695424301511E-2</v>
      </c>
      <c r="Y62">
        <f t="shared" si="40"/>
        <v>4.164143066208984E-3</v>
      </c>
      <c r="Z62">
        <f t="shared" si="40"/>
        <v>9.0510584551918172E-3</v>
      </c>
      <c r="AA62">
        <f t="shared" si="40"/>
        <v>3.8590223402642045E-2</v>
      </c>
    </row>
    <row r="63" spans="1:27" x14ac:dyDescent="0.55000000000000004">
      <c r="A63" t="s">
        <v>170</v>
      </c>
      <c r="B63" t="s">
        <v>127</v>
      </c>
      <c r="C63">
        <f t="shared" si="5"/>
        <v>9.5905798923734268E-4</v>
      </c>
      <c r="D63">
        <f t="shared" si="5"/>
        <v>8.4331394638950989E-4</v>
      </c>
      <c r="E63">
        <f t="shared" ref="E63:H63" si="41">E13/E$52</f>
        <v>1.89873417721519E-3</v>
      </c>
      <c r="F63">
        <f t="shared" si="41"/>
        <v>0</v>
      </c>
      <c r="G63">
        <f t="shared" si="41"/>
        <v>3.594074196630567E-4</v>
      </c>
      <c r="H63">
        <f t="shared" si="41"/>
        <v>4.8492980694349501E-3</v>
      </c>
      <c r="I63">
        <f t="shared" ref="I63:L63" si="42">I13/I$52</f>
        <v>4.1980087272993271E-3</v>
      </c>
      <c r="J63">
        <f t="shared" si="42"/>
        <v>0</v>
      </c>
      <c r="K63">
        <f t="shared" si="42"/>
        <v>1.8751275368588101E-6</v>
      </c>
      <c r="L63">
        <f t="shared" si="42"/>
        <v>2.7169561117066661E-4</v>
      </c>
      <c r="M63">
        <f t="shared" ref="M63:P63" si="43">M13/M$52</f>
        <v>0</v>
      </c>
      <c r="N63">
        <f t="shared" si="43"/>
        <v>0</v>
      </c>
      <c r="O63">
        <f t="shared" si="43"/>
        <v>0</v>
      </c>
      <c r="P63">
        <f t="shared" si="43"/>
        <v>0</v>
      </c>
      <c r="Q63">
        <f t="shared" ref="Q63:U63" si="44">Q13/Q$52</f>
        <v>0</v>
      </c>
      <c r="R63">
        <f t="shared" si="44"/>
        <v>0</v>
      </c>
      <c r="S63">
        <f t="shared" si="44"/>
        <v>0</v>
      </c>
      <c r="T63">
        <f t="shared" si="44"/>
        <v>0</v>
      </c>
      <c r="U63">
        <f t="shared" si="44"/>
        <v>0</v>
      </c>
      <c r="V63">
        <f t="shared" ref="V63:AA63" si="45">V13/V$52</f>
        <v>0</v>
      </c>
      <c r="W63">
        <f t="shared" si="45"/>
        <v>0</v>
      </c>
      <c r="X63">
        <f t="shared" si="45"/>
        <v>0</v>
      </c>
      <c r="Y63">
        <f t="shared" si="45"/>
        <v>0</v>
      </c>
      <c r="Z63">
        <f t="shared" si="45"/>
        <v>0</v>
      </c>
      <c r="AA63">
        <f t="shared" si="45"/>
        <v>0</v>
      </c>
    </row>
    <row r="64" spans="1:27" x14ac:dyDescent="0.55000000000000004">
      <c r="A64" t="s">
        <v>279</v>
      </c>
      <c r="B64" t="s">
        <v>128</v>
      </c>
      <c r="C64">
        <f t="shared" si="5"/>
        <v>0</v>
      </c>
      <c r="D64">
        <f t="shared" si="5"/>
        <v>0</v>
      </c>
      <c r="E64">
        <f t="shared" ref="E64:H64" si="46">E14/E$52</f>
        <v>0</v>
      </c>
      <c r="F64">
        <f t="shared" si="46"/>
        <v>0</v>
      </c>
      <c r="G64">
        <f t="shared" si="46"/>
        <v>0</v>
      </c>
      <c r="H64">
        <f t="shared" si="46"/>
        <v>0</v>
      </c>
      <c r="I64">
        <f t="shared" ref="I64:L64" si="47">I14/I$52</f>
        <v>0</v>
      </c>
      <c r="J64">
        <f t="shared" si="47"/>
        <v>0</v>
      </c>
      <c r="K64">
        <f t="shared" si="47"/>
        <v>0</v>
      </c>
      <c r="L64">
        <f t="shared" si="47"/>
        <v>0</v>
      </c>
      <c r="M64">
        <f t="shared" ref="M64:P64" si="48">M14/M$52</f>
        <v>0</v>
      </c>
      <c r="N64">
        <f t="shared" si="48"/>
        <v>0</v>
      </c>
      <c r="O64">
        <f t="shared" si="48"/>
        <v>0</v>
      </c>
      <c r="P64">
        <f t="shared" si="48"/>
        <v>0</v>
      </c>
      <c r="Q64">
        <f t="shared" ref="Q64:U64" si="49">Q14/Q$52</f>
        <v>0</v>
      </c>
      <c r="R64">
        <f t="shared" si="49"/>
        <v>0</v>
      </c>
      <c r="S64">
        <f t="shared" si="49"/>
        <v>0</v>
      </c>
      <c r="T64">
        <f t="shared" si="49"/>
        <v>0</v>
      </c>
      <c r="U64">
        <f t="shared" si="49"/>
        <v>0</v>
      </c>
      <c r="V64">
        <f t="shared" ref="V64:AA64" si="50">V14/V$52</f>
        <v>0</v>
      </c>
      <c r="W64">
        <f t="shared" si="50"/>
        <v>0</v>
      </c>
      <c r="X64">
        <f t="shared" si="50"/>
        <v>0</v>
      </c>
      <c r="Y64">
        <f t="shared" si="50"/>
        <v>0</v>
      </c>
      <c r="Z64">
        <f t="shared" si="50"/>
        <v>0</v>
      </c>
      <c r="AA64">
        <f t="shared" si="50"/>
        <v>0</v>
      </c>
    </row>
    <row r="65" spans="1:27" x14ac:dyDescent="0.55000000000000004">
      <c r="A65" t="s">
        <v>171</v>
      </c>
      <c r="B65" t="s">
        <v>129</v>
      </c>
      <c r="C65">
        <f t="shared" si="5"/>
        <v>0</v>
      </c>
      <c r="D65">
        <f t="shared" si="5"/>
        <v>0</v>
      </c>
      <c r="E65">
        <f t="shared" ref="E65:H65" si="51">E15/E$52</f>
        <v>0</v>
      </c>
      <c r="F65">
        <f t="shared" si="51"/>
        <v>0</v>
      </c>
      <c r="G65">
        <f t="shared" si="51"/>
        <v>0</v>
      </c>
      <c r="H65">
        <f t="shared" si="51"/>
        <v>0</v>
      </c>
      <c r="I65">
        <f t="shared" ref="I65:L65" si="52">I15/I$52</f>
        <v>0</v>
      </c>
      <c r="J65">
        <f t="shared" si="52"/>
        <v>0</v>
      </c>
      <c r="K65">
        <f t="shared" si="52"/>
        <v>0</v>
      </c>
      <c r="L65">
        <f t="shared" si="52"/>
        <v>0</v>
      </c>
      <c r="M65">
        <f t="shared" ref="M65:P65" si="53">M15/M$52</f>
        <v>0</v>
      </c>
      <c r="N65">
        <f t="shared" si="53"/>
        <v>0</v>
      </c>
      <c r="O65">
        <f t="shared" si="53"/>
        <v>0</v>
      </c>
      <c r="P65">
        <f t="shared" si="53"/>
        <v>0</v>
      </c>
      <c r="Q65">
        <f t="shared" ref="Q65:U65" si="54">Q15/Q$52</f>
        <v>0</v>
      </c>
      <c r="R65">
        <f t="shared" si="54"/>
        <v>0</v>
      </c>
      <c r="S65">
        <f t="shared" si="54"/>
        <v>0</v>
      </c>
      <c r="T65">
        <f t="shared" si="54"/>
        <v>0</v>
      </c>
      <c r="U65">
        <f t="shared" si="54"/>
        <v>0</v>
      </c>
      <c r="V65">
        <f t="shared" ref="V65:AA65" si="55">V15/V$52</f>
        <v>0</v>
      </c>
      <c r="W65">
        <f t="shared" si="55"/>
        <v>0</v>
      </c>
      <c r="X65">
        <f t="shared" si="55"/>
        <v>0</v>
      </c>
      <c r="Y65">
        <f t="shared" si="55"/>
        <v>0</v>
      </c>
      <c r="Z65">
        <f t="shared" si="55"/>
        <v>0</v>
      </c>
      <c r="AA65">
        <f t="shared" si="55"/>
        <v>0</v>
      </c>
    </row>
    <row r="66" spans="1:27" x14ac:dyDescent="0.55000000000000004">
      <c r="A66" t="s">
        <v>278</v>
      </c>
      <c r="B66" t="s">
        <v>130</v>
      </c>
      <c r="C66">
        <f t="shared" si="5"/>
        <v>0.11448469900364756</v>
      </c>
      <c r="D66">
        <f t="shared" si="5"/>
        <v>0.12027807685377268</v>
      </c>
      <c r="E66">
        <f t="shared" ref="E66:H66" si="56">E16/E$52</f>
        <v>0.11205283434232251</v>
      </c>
      <c r="F66">
        <f t="shared" si="56"/>
        <v>5.2152780112497575E-3</v>
      </c>
      <c r="G66">
        <f t="shared" si="56"/>
        <v>0.12669338529128416</v>
      </c>
      <c r="H66">
        <f t="shared" si="56"/>
        <v>0.13792758998982063</v>
      </c>
      <c r="I66">
        <f t="shared" ref="I66:L66" si="57">I16/I$52</f>
        <v>0.13602610559750444</v>
      </c>
      <c r="J66">
        <f t="shared" si="57"/>
        <v>9.6948620697059465E-2</v>
      </c>
      <c r="K66">
        <f t="shared" si="57"/>
        <v>0.13171689049684518</v>
      </c>
      <c r="L66">
        <f t="shared" si="57"/>
        <v>0.15389420187154054</v>
      </c>
      <c r="M66">
        <f t="shared" ref="M66:P66" si="58">M16/M$52</f>
        <v>0.12378725240870557</v>
      </c>
      <c r="N66">
        <f t="shared" si="58"/>
        <v>0.11560515335381467</v>
      </c>
      <c r="O66">
        <f t="shared" si="58"/>
        <v>0.11138292605662181</v>
      </c>
      <c r="P66">
        <f t="shared" si="58"/>
        <v>5.2152780112497575E-3</v>
      </c>
      <c r="Q66">
        <f t="shared" ref="Q66:U66" si="59">Q16/Q$52</f>
        <v>0.16567704300558886</v>
      </c>
      <c r="R66">
        <f t="shared" si="59"/>
        <v>0.12109519073243606</v>
      </c>
      <c r="S66">
        <f t="shared" si="59"/>
        <v>0.15578368088604311</v>
      </c>
      <c r="T66">
        <f t="shared" si="59"/>
        <v>7.3016160794855095E-2</v>
      </c>
      <c r="U66">
        <f t="shared" si="59"/>
        <v>0.12662762998014648</v>
      </c>
      <c r="V66">
        <f t="shared" ref="V66:AA66" si="60">V16/V$52</f>
        <v>0.13593814350884642</v>
      </c>
      <c r="W66">
        <f t="shared" si="60"/>
        <v>0.12012</v>
      </c>
      <c r="X66">
        <f t="shared" si="60"/>
        <v>0.21302368100458194</v>
      </c>
      <c r="Y66">
        <f t="shared" si="60"/>
        <v>0.19364244817799248</v>
      </c>
      <c r="Z66">
        <f t="shared" si="60"/>
        <v>0.11327686163300707</v>
      </c>
      <c r="AA66">
        <f t="shared" si="60"/>
        <v>0.10885858804148886</v>
      </c>
    </row>
    <row r="67" spans="1:27" x14ac:dyDescent="0.55000000000000004">
      <c r="A67" t="s">
        <v>172</v>
      </c>
      <c r="B67" t="s">
        <v>131</v>
      </c>
      <c r="C67">
        <f t="shared" si="5"/>
        <v>7.3766801327891929E-3</v>
      </c>
      <c r="D67">
        <f t="shared" si="5"/>
        <v>4.0824894491808669E-3</v>
      </c>
      <c r="E67">
        <f t="shared" ref="E67:H67" si="61">E17/E$52</f>
        <v>1.7501375894331317E-2</v>
      </c>
      <c r="F67">
        <f t="shared" si="61"/>
        <v>0</v>
      </c>
      <c r="G67">
        <f t="shared" si="61"/>
        <v>1.0833347011638248E-2</v>
      </c>
      <c r="H67">
        <f t="shared" si="61"/>
        <v>4.1173390014865516E-3</v>
      </c>
      <c r="I67">
        <f t="shared" ref="I67:L67" si="62">I17/I$52</f>
        <v>7.3066294756374489E-3</v>
      </c>
      <c r="J67">
        <f t="shared" si="62"/>
        <v>3.5117952169160557E-3</v>
      </c>
      <c r="K67">
        <f t="shared" si="62"/>
        <v>0</v>
      </c>
      <c r="L67">
        <f t="shared" si="62"/>
        <v>9.5596158166941052E-3</v>
      </c>
      <c r="M67">
        <f t="shared" ref="M67:P67" si="63">M17/M$52</f>
        <v>0</v>
      </c>
      <c r="N67">
        <f t="shared" si="63"/>
        <v>1.768227812933031E-2</v>
      </c>
      <c r="O67">
        <f t="shared" si="63"/>
        <v>2.680580941697637E-2</v>
      </c>
      <c r="P67">
        <f t="shared" si="63"/>
        <v>0</v>
      </c>
      <c r="Q67">
        <f t="shared" ref="Q67:U67" si="64">Q17/Q$52</f>
        <v>0</v>
      </c>
      <c r="R67">
        <f t="shared" si="64"/>
        <v>2.2894422868912523E-2</v>
      </c>
      <c r="S67">
        <f t="shared" si="64"/>
        <v>0</v>
      </c>
      <c r="T67">
        <f t="shared" si="64"/>
        <v>4.940295467338757E-3</v>
      </c>
      <c r="U67">
        <f t="shared" si="64"/>
        <v>9.1096325959102928E-3</v>
      </c>
      <c r="V67">
        <f t="shared" ref="V67:AA67" si="65">V17/V$52</f>
        <v>8.531165259149414E-3</v>
      </c>
      <c r="W67">
        <f t="shared" si="65"/>
        <v>1.7325E-2</v>
      </c>
      <c r="X67">
        <f t="shared" si="65"/>
        <v>0</v>
      </c>
      <c r="Y67">
        <f t="shared" si="65"/>
        <v>0</v>
      </c>
      <c r="Z67">
        <f t="shared" si="65"/>
        <v>0</v>
      </c>
      <c r="AA67">
        <f t="shared" si="65"/>
        <v>4.7740684147696399E-3</v>
      </c>
    </row>
    <row r="68" spans="1:27" x14ac:dyDescent="0.55000000000000004">
      <c r="A68" t="s">
        <v>173</v>
      </c>
      <c r="B68" t="s">
        <v>132</v>
      </c>
      <c r="C68">
        <f t="shared" si="5"/>
        <v>0</v>
      </c>
      <c r="D68">
        <f t="shared" si="5"/>
        <v>0</v>
      </c>
      <c r="E68">
        <f t="shared" ref="E68:H68" si="66">E18/E$52</f>
        <v>0</v>
      </c>
      <c r="F68">
        <f t="shared" si="66"/>
        <v>0</v>
      </c>
      <c r="G68">
        <f t="shared" si="66"/>
        <v>0</v>
      </c>
      <c r="H68">
        <f t="shared" si="66"/>
        <v>0</v>
      </c>
      <c r="I68">
        <f t="shared" ref="I68:L68" si="67">I18/I$52</f>
        <v>0</v>
      </c>
      <c r="J68">
        <f t="shared" si="67"/>
        <v>0</v>
      </c>
      <c r="K68">
        <f t="shared" si="67"/>
        <v>0</v>
      </c>
      <c r="L68">
        <f t="shared" si="67"/>
        <v>0</v>
      </c>
      <c r="M68">
        <f t="shared" ref="M68:P68" si="68">M18/M$52</f>
        <v>0</v>
      </c>
      <c r="N68">
        <f t="shared" si="68"/>
        <v>0</v>
      </c>
      <c r="O68">
        <f t="shared" si="68"/>
        <v>0</v>
      </c>
      <c r="P68">
        <f t="shared" si="68"/>
        <v>0</v>
      </c>
      <c r="Q68">
        <f t="shared" ref="Q68:U68" si="69">Q18/Q$52</f>
        <v>0</v>
      </c>
      <c r="R68">
        <f t="shared" si="69"/>
        <v>0</v>
      </c>
      <c r="S68">
        <f t="shared" si="69"/>
        <v>0</v>
      </c>
      <c r="T68">
        <f t="shared" si="69"/>
        <v>0</v>
      </c>
      <c r="U68">
        <f t="shared" si="69"/>
        <v>0</v>
      </c>
      <c r="V68">
        <f t="shared" ref="V68:AA68" si="70">V18/V$52</f>
        <v>0</v>
      </c>
      <c r="W68">
        <f t="shared" si="70"/>
        <v>0</v>
      </c>
      <c r="X68">
        <f t="shared" si="70"/>
        <v>0</v>
      </c>
      <c r="Y68">
        <f t="shared" si="70"/>
        <v>0</v>
      </c>
      <c r="Z68">
        <f t="shared" si="70"/>
        <v>0</v>
      </c>
      <c r="AA68">
        <f t="shared" si="70"/>
        <v>0</v>
      </c>
    </row>
    <row r="69" spans="1:27" x14ac:dyDescent="0.55000000000000004">
      <c r="A69" t="s">
        <v>174</v>
      </c>
      <c r="B69" t="s">
        <v>133</v>
      </c>
      <c r="C69">
        <f t="shared" si="5"/>
        <v>1.0707571456120432E-2</v>
      </c>
      <c r="D69">
        <f t="shared" si="5"/>
        <v>5.9764627942948982E-3</v>
      </c>
      <c r="E69">
        <f t="shared" ref="E69:H69" si="71">E19/E$52</f>
        <v>2.6774903687396809E-2</v>
      </c>
      <c r="F69">
        <f t="shared" si="71"/>
        <v>0</v>
      </c>
      <c r="G69">
        <f t="shared" si="71"/>
        <v>1.2320770668244076E-2</v>
      </c>
      <c r="H69">
        <f t="shared" si="71"/>
        <v>2.9085776100830547E-3</v>
      </c>
      <c r="I69">
        <f t="shared" ref="I69:L69" si="72">I19/I$52</f>
        <v>8.9252323205057174E-3</v>
      </c>
      <c r="J69">
        <f t="shared" si="72"/>
        <v>4.8161762974848771E-3</v>
      </c>
      <c r="K69">
        <f t="shared" si="72"/>
        <v>4.7790921082787756E-2</v>
      </c>
      <c r="L69">
        <f t="shared" si="72"/>
        <v>1.1867344612707758E-2</v>
      </c>
      <c r="M69">
        <f t="shared" ref="M69:P69" si="73">M19/M$52</f>
        <v>0</v>
      </c>
      <c r="N69">
        <f t="shared" si="73"/>
        <v>2.8291645006928542E-2</v>
      </c>
      <c r="O69">
        <f t="shared" si="73"/>
        <v>2.1444647533581093E-2</v>
      </c>
      <c r="P69">
        <f t="shared" si="73"/>
        <v>0</v>
      </c>
      <c r="Q69">
        <f t="shared" ref="Q69:U69" si="74">Q19/Q$52</f>
        <v>0</v>
      </c>
      <c r="R69">
        <f t="shared" si="74"/>
        <v>3.1398065648794313E-2</v>
      </c>
      <c r="S69">
        <f t="shared" si="74"/>
        <v>0</v>
      </c>
      <c r="T69">
        <f t="shared" si="74"/>
        <v>6.7752623552074388E-3</v>
      </c>
      <c r="U69">
        <f t="shared" si="74"/>
        <v>1.2493210417248404E-2</v>
      </c>
      <c r="V69">
        <f t="shared" ref="V69:AA69" si="75">V19/V$52</f>
        <v>1.269532844158738E-2</v>
      </c>
      <c r="W69">
        <f t="shared" si="75"/>
        <v>2.376E-2</v>
      </c>
      <c r="X69">
        <f t="shared" si="75"/>
        <v>0</v>
      </c>
      <c r="Y69">
        <f t="shared" si="75"/>
        <v>0</v>
      </c>
      <c r="Z69">
        <f t="shared" si="75"/>
        <v>6.2072360400574282E-2</v>
      </c>
      <c r="AA69">
        <f t="shared" si="75"/>
        <v>0</v>
      </c>
    </row>
    <row r="70" spans="1:27" x14ac:dyDescent="0.55000000000000004">
      <c r="A70" t="s">
        <v>277</v>
      </c>
      <c r="B70" t="s">
        <v>134</v>
      </c>
      <c r="C70">
        <f t="shared" si="5"/>
        <v>6.5858624070525104E-2</v>
      </c>
      <c r="D70">
        <f t="shared" si="5"/>
        <v>0.15398048798675612</v>
      </c>
      <c r="E70">
        <f t="shared" ref="E70:H70" si="76">E20/E$52</f>
        <v>0.12140891579526691</v>
      </c>
      <c r="F70">
        <f t="shared" si="76"/>
        <v>0</v>
      </c>
      <c r="G70">
        <f t="shared" si="76"/>
        <v>4.0564299968764268E-2</v>
      </c>
      <c r="H70">
        <f t="shared" si="76"/>
        <v>1.6815036881000972E-2</v>
      </c>
      <c r="I70">
        <f t="shared" ref="I70:L70" si="77">I20/I$52</f>
        <v>0.15288717325765591</v>
      </c>
      <c r="J70">
        <f t="shared" si="77"/>
        <v>2.4338453071313191E-2</v>
      </c>
      <c r="K70">
        <f t="shared" si="77"/>
        <v>2.8833762267907567E-2</v>
      </c>
      <c r="L70">
        <f t="shared" si="77"/>
        <v>0.17452182320416842</v>
      </c>
      <c r="M70">
        <f t="shared" ref="M70:P70" si="78">M20/M$52</f>
        <v>0.16462170182604091</v>
      </c>
      <c r="N70">
        <f t="shared" si="78"/>
        <v>0.12370430114214724</v>
      </c>
      <c r="O70">
        <f t="shared" si="78"/>
        <v>5.7672164455835347E-2</v>
      </c>
      <c r="P70">
        <f t="shared" si="78"/>
        <v>0</v>
      </c>
      <c r="Q70">
        <f t="shared" ref="Q70:U70" si="79">Q20/Q$52</f>
        <v>0.18428543420926255</v>
      </c>
      <c r="R70">
        <f t="shared" si="79"/>
        <v>6.555315336741298E-3</v>
      </c>
      <c r="S70">
        <f t="shared" si="79"/>
        <v>6.5499465854027862E-3</v>
      </c>
      <c r="T70">
        <f t="shared" si="79"/>
        <v>3.1574320882558723E-2</v>
      </c>
      <c r="U70">
        <f t="shared" si="79"/>
        <v>3.7355680374185331E-2</v>
      </c>
      <c r="V70">
        <f t="shared" ref="V70:AA70" si="80">V20/V$52</f>
        <v>0.130703853252604</v>
      </c>
      <c r="W70">
        <f t="shared" si="80"/>
        <v>4.7094473684210526E-2</v>
      </c>
      <c r="X70">
        <f t="shared" si="80"/>
        <v>0.26584108569236181</v>
      </c>
      <c r="Y70">
        <f t="shared" si="80"/>
        <v>4.5514406733307686E-2</v>
      </c>
      <c r="Z70">
        <f t="shared" si="80"/>
        <v>2.3864403236562443E-2</v>
      </c>
      <c r="AA70">
        <f t="shared" si="80"/>
        <v>0.13808864763344197</v>
      </c>
    </row>
    <row r="71" spans="1:27" x14ac:dyDescent="0.55000000000000004">
      <c r="A71" t="s">
        <v>282</v>
      </c>
      <c r="B71" t="s">
        <v>135</v>
      </c>
      <c r="C71">
        <f t="shared" si="5"/>
        <v>1.9524598498575404E-2</v>
      </c>
      <c r="D71">
        <f t="shared" si="5"/>
        <v>8.2059221759335534E-3</v>
      </c>
      <c r="E71">
        <f t="shared" ref="E71:H71" si="81">E21/E$52</f>
        <v>1.290588882773803E-2</v>
      </c>
      <c r="F71">
        <f t="shared" si="81"/>
        <v>9.2656729044093937E-3</v>
      </c>
      <c r="G71">
        <f t="shared" si="81"/>
        <v>1.6649018175130516E-2</v>
      </c>
      <c r="H71">
        <f t="shared" si="81"/>
        <v>1.3242941103162322E-2</v>
      </c>
      <c r="I71">
        <f t="shared" ref="I71:L71" si="82">I21/I$52</f>
        <v>2.639315031107059E-2</v>
      </c>
      <c r="J71">
        <f t="shared" si="82"/>
        <v>3.2066440191565494E-2</v>
      </c>
      <c r="K71">
        <f t="shared" si="82"/>
        <v>0</v>
      </c>
      <c r="L71">
        <f t="shared" si="82"/>
        <v>6.922349379687792E-3</v>
      </c>
      <c r="M71">
        <f t="shared" ref="M71:P71" si="83">M21/M$52</f>
        <v>6.878265843606097E-3</v>
      </c>
      <c r="N71">
        <f t="shared" si="83"/>
        <v>1.3333605851069526E-2</v>
      </c>
      <c r="O71">
        <f t="shared" si="83"/>
        <v>1.4273572820232169E-2</v>
      </c>
      <c r="P71">
        <f t="shared" si="83"/>
        <v>9.2656729044093937E-3</v>
      </c>
      <c r="Q71">
        <f t="shared" ref="Q71:U71" si="84">Q21/Q$52</f>
        <v>3.8108376550519303E-2</v>
      </c>
      <c r="R71">
        <f t="shared" si="84"/>
        <v>1.5039327909191338E-2</v>
      </c>
      <c r="S71">
        <f t="shared" si="84"/>
        <v>1.4433466944276198E-2</v>
      </c>
      <c r="T71">
        <f t="shared" si="84"/>
        <v>3.9239041423584253E-2</v>
      </c>
      <c r="U71">
        <f t="shared" si="84"/>
        <v>2.0350674573702342E-2</v>
      </c>
      <c r="V71">
        <f t="shared" ref="V71:AA71" si="85">V21/V$52</f>
        <v>1.331166871482887E-2</v>
      </c>
      <c r="W71">
        <f t="shared" si="85"/>
        <v>3.0945686315789474E-3</v>
      </c>
      <c r="X71">
        <f t="shared" si="85"/>
        <v>0</v>
      </c>
      <c r="Y71">
        <f t="shared" si="85"/>
        <v>0</v>
      </c>
      <c r="Z71">
        <f t="shared" si="85"/>
        <v>0</v>
      </c>
      <c r="AA71">
        <f t="shared" si="85"/>
        <v>6.6288218090994029E-3</v>
      </c>
    </row>
    <row r="72" spans="1:27" x14ac:dyDescent="0.55000000000000004">
      <c r="A72" t="s">
        <v>175</v>
      </c>
      <c r="B72" t="s">
        <v>136</v>
      </c>
      <c r="C72">
        <f t="shared" si="5"/>
        <v>6.1860875809254749E-4</v>
      </c>
      <c r="D72">
        <f t="shared" si="5"/>
        <v>0</v>
      </c>
      <c r="E72">
        <f t="shared" ref="E72:H72" si="86">E22/E$52</f>
        <v>0</v>
      </c>
      <c r="F72">
        <f t="shared" si="86"/>
        <v>0</v>
      </c>
      <c r="G72">
        <f t="shared" si="86"/>
        <v>2.1437894297202179E-3</v>
      </c>
      <c r="H72">
        <f t="shared" si="86"/>
        <v>0</v>
      </c>
      <c r="I72">
        <f t="shared" ref="I72:L72" si="87">I22/I$52</f>
        <v>0</v>
      </c>
      <c r="J72">
        <f t="shared" si="87"/>
        <v>0</v>
      </c>
      <c r="K72">
        <f t="shared" si="87"/>
        <v>7.3871523677283531E-3</v>
      </c>
      <c r="L72">
        <f t="shared" si="87"/>
        <v>0</v>
      </c>
      <c r="M72">
        <f t="shared" ref="M72:P72" si="88">M22/M$52</f>
        <v>0</v>
      </c>
      <c r="N72">
        <f t="shared" si="88"/>
        <v>0</v>
      </c>
      <c r="O72">
        <f t="shared" si="88"/>
        <v>1.2946632116885841E-2</v>
      </c>
      <c r="P72">
        <f t="shared" si="88"/>
        <v>0</v>
      </c>
      <c r="Q72">
        <f t="shared" ref="Q72:U72" si="89">Q22/Q$52</f>
        <v>0</v>
      </c>
      <c r="R72">
        <f t="shared" si="89"/>
        <v>0</v>
      </c>
      <c r="S72">
        <f t="shared" si="89"/>
        <v>0</v>
      </c>
      <c r="T72">
        <f t="shared" si="89"/>
        <v>0</v>
      </c>
      <c r="U72">
        <f t="shared" si="89"/>
        <v>0</v>
      </c>
      <c r="V72">
        <f t="shared" ref="V72:AA72" si="90">V22/V$52</f>
        <v>0</v>
      </c>
      <c r="W72">
        <f t="shared" si="90"/>
        <v>0</v>
      </c>
      <c r="X72">
        <f t="shared" si="90"/>
        <v>0</v>
      </c>
      <c r="Y72">
        <f t="shared" si="90"/>
        <v>1.8284447213261595E-2</v>
      </c>
      <c r="Z72">
        <f t="shared" si="90"/>
        <v>4.1368605309548678E-3</v>
      </c>
      <c r="AA72">
        <f t="shared" si="90"/>
        <v>0</v>
      </c>
    </row>
    <row r="73" spans="1:27" x14ac:dyDescent="0.55000000000000004">
      <c r="A73" t="s">
        <v>283</v>
      </c>
      <c r="B73" t="s">
        <v>137</v>
      </c>
      <c r="C73">
        <f t="shared" si="5"/>
        <v>0</v>
      </c>
      <c r="D73">
        <f t="shared" si="5"/>
        <v>0</v>
      </c>
      <c r="E73">
        <f t="shared" ref="E73:H73" si="91">E23/E$52</f>
        <v>0</v>
      </c>
      <c r="F73">
        <f t="shared" si="91"/>
        <v>0</v>
      </c>
      <c r="G73">
        <f t="shared" si="91"/>
        <v>0</v>
      </c>
      <c r="H73">
        <f t="shared" si="91"/>
        <v>0</v>
      </c>
      <c r="I73">
        <f t="shared" ref="I73:L73" si="92">I23/I$52</f>
        <v>0</v>
      </c>
      <c r="J73">
        <f t="shared" si="92"/>
        <v>0</v>
      </c>
      <c r="K73">
        <f t="shared" si="92"/>
        <v>0</v>
      </c>
      <c r="L73">
        <f t="shared" si="92"/>
        <v>0</v>
      </c>
      <c r="M73">
        <f t="shared" ref="M73:P73" si="93">M23/M$52</f>
        <v>0</v>
      </c>
      <c r="N73">
        <f t="shared" si="93"/>
        <v>0</v>
      </c>
      <c r="O73">
        <f t="shared" si="93"/>
        <v>0</v>
      </c>
      <c r="P73">
        <f t="shared" si="93"/>
        <v>0</v>
      </c>
      <c r="Q73">
        <f t="shared" ref="Q73:U73" si="94">Q23/Q$52</f>
        <v>0</v>
      </c>
      <c r="R73">
        <f t="shared" si="94"/>
        <v>0</v>
      </c>
      <c r="S73">
        <f t="shared" si="94"/>
        <v>0</v>
      </c>
      <c r="T73">
        <f t="shared" si="94"/>
        <v>0</v>
      </c>
      <c r="U73">
        <f t="shared" si="94"/>
        <v>0</v>
      </c>
      <c r="V73">
        <f t="shared" ref="V73:AA73" si="95">V23/V$52</f>
        <v>0</v>
      </c>
      <c r="W73">
        <f t="shared" si="95"/>
        <v>0</v>
      </c>
      <c r="X73">
        <f t="shared" si="95"/>
        <v>0</v>
      </c>
      <c r="Y73">
        <f t="shared" si="95"/>
        <v>0</v>
      </c>
      <c r="Z73">
        <f t="shared" si="95"/>
        <v>0</v>
      </c>
      <c r="AA73">
        <f t="shared" si="95"/>
        <v>0</v>
      </c>
    </row>
    <row r="74" spans="1:27" x14ac:dyDescent="0.55000000000000004">
      <c r="A74" t="s">
        <v>176</v>
      </c>
      <c r="B74" t="s">
        <v>138</v>
      </c>
      <c r="C74">
        <f t="shared" si="5"/>
        <v>6.7852450814317195E-3</v>
      </c>
      <c r="D74">
        <f t="shared" si="5"/>
        <v>1.2881797596521806E-2</v>
      </c>
      <c r="E74">
        <f t="shared" ref="E74:H74" si="96">E24/E$52</f>
        <v>9.7413318657127122E-3</v>
      </c>
      <c r="F74">
        <f t="shared" si="96"/>
        <v>4.5078047886898953E-3</v>
      </c>
      <c r="G74">
        <f t="shared" si="96"/>
        <v>8.1580981777813234E-3</v>
      </c>
      <c r="H74">
        <f t="shared" si="96"/>
        <v>3.9466921273816373E-3</v>
      </c>
      <c r="I74">
        <f t="shared" ref="I74:L74" si="97">I24/I$52</f>
        <v>1.0160030694365255E-2</v>
      </c>
      <c r="J74">
        <f t="shared" si="97"/>
        <v>4.2813068456976598E-3</v>
      </c>
      <c r="K74">
        <f t="shared" si="97"/>
        <v>0</v>
      </c>
      <c r="L74">
        <f t="shared" si="97"/>
        <v>8.9025032338624095E-3</v>
      </c>
      <c r="M74">
        <f t="shared" ref="M74:P74" si="98">M24/M$52</f>
        <v>1.3981910700640655E-2</v>
      </c>
      <c r="N74">
        <f t="shared" si="98"/>
        <v>1.0241519245044276E-2</v>
      </c>
      <c r="O74">
        <f t="shared" si="98"/>
        <v>1.3635367167493711E-2</v>
      </c>
      <c r="P74">
        <f t="shared" si="98"/>
        <v>4.5078047886898953E-3</v>
      </c>
      <c r="Q74">
        <f t="shared" ref="Q74:U74" si="99">Q24/Q$52</f>
        <v>1.2038452787173344E-2</v>
      </c>
      <c r="R74">
        <f t="shared" si="99"/>
        <v>1.1335011167092903E-2</v>
      </c>
      <c r="S74">
        <f t="shared" si="99"/>
        <v>3.5792057843731075E-3</v>
      </c>
      <c r="T74">
        <f t="shared" si="99"/>
        <v>4.5669019558832015E-3</v>
      </c>
      <c r="U74">
        <f t="shared" si="99"/>
        <v>8.2949715209253878E-3</v>
      </c>
      <c r="V74">
        <f t="shared" ref="V74:AA74" si="100">V24/V$52</f>
        <v>9.3681426548057334E-3</v>
      </c>
      <c r="W74">
        <f t="shared" si="100"/>
        <v>1.0342315789473684E-3</v>
      </c>
      <c r="X74">
        <f t="shared" si="100"/>
        <v>7.7872415784435833E-3</v>
      </c>
      <c r="Y74">
        <f t="shared" si="100"/>
        <v>0</v>
      </c>
      <c r="Z74">
        <f t="shared" si="100"/>
        <v>0</v>
      </c>
      <c r="AA74">
        <f t="shared" si="100"/>
        <v>9.9430191743150008E-3</v>
      </c>
    </row>
    <row r="75" spans="1:27" x14ac:dyDescent="0.55000000000000004">
      <c r="A75" t="s">
        <v>177</v>
      </c>
      <c r="B75" t="s">
        <v>139</v>
      </c>
      <c r="C75">
        <f t="shared" si="5"/>
        <v>8.4040145184827424E-4</v>
      </c>
      <c r="D75">
        <f t="shared" si="5"/>
        <v>7.0591106549722075E-4</v>
      </c>
      <c r="E75">
        <f t="shared" ref="E75:H75" si="101">E25/E$52</f>
        <v>1.0731975784259769E-3</v>
      </c>
      <c r="F75">
        <f t="shared" si="101"/>
        <v>1.6145607907157239E-3</v>
      </c>
      <c r="G75">
        <f t="shared" si="101"/>
        <v>2.3944201461932228E-4</v>
      </c>
      <c r="H75">
        <f t="shared" si="101"/>
        <v>1.1519039680961481E-3</v>
      </c>
      <c r="I75">
        <f t="shared" ref="I75:L75" si="102">I25/I$52</f>
        <v>2.2780328998419628E-3</v>
      </c>
      <c r="J75">
        <f t="shared" si="102"/>
        <v>6.8803153519671797E-4</v>
      </c>
      <c r="K75">
        <f t="shared" si="102"/>
        <v>0</v>
      </c>
      <c r="L75">
        <f t="shared" si="102"/>
        <v>1.3133855022287473E-3</v>
      </c>
      <c r="M75">
        <f t="shared" ref="M75:P75" si="103">M25/M$52</f>
        <v>5.8023460584301887E-4</v>
      </c>
      <c r="N75">
        <f t="shared" si="103"/>
        <v>1.0531056744810341E-3</v>
      </c>
      <c r="O75">
        <f t="shared" si="103"/>
        <v>1.2213864407269392E-3</v>
      </c>
      <c r="P75">
        <f t="shared" si="103"/>
        <v>1.6145607907157239E-3</v>
      </c>
      <c r="Q75">
        <f t="shared" ref="Q75:U75" si="104">Q25/Q$52</f>
        <v>3.0921814058650827E-3</v>
      </c>
      <c r="R75">
        <f t="shared" si="104"/>
        <v>7.4236547415116179E-5</v>
      </c>
      <c r="S75">
        <f t="shared" si="104"/>
        <v>1.1911687795275591E-3</v>
      </c>
      <c r="T75">
        <f t="shared" si="104"/>
        <v>4.8336935100627655E-4</v>
      </c>
      <c r="U75">
        <f t="shared" si="104"/>
        <v>5.2989269484156328E-5</v>
      </c>
      <c r="V75">
        <f t="shared" ref="V75:AA75" si="105">V25/V$52</f>
        <v>1.9603564392023168E-3</v>
      </c>
      <c r="W75">
        <f t="shared" si="105"/>
        <v>0</v>
      </c>
      <c r="X75">
        <f t="shared" si="105"/>
        <v>1.35856432644449E-3</v>
      </c>
      <c r="Y75">
        <f t="shared" si="105"/>
        <v>0</v>
      </c>
      <c r="Z75">
        <f t="shared" si="105"/>
        <v>0</v>
      </c>
      <c r="AA75">
        <f t="shared" si="105"/>
        <v>4.1529371798924601E-3</v>
      </c>
    </row>
    <row r="76" spans="1:27" x14ac:dyDescent="0.55000000000000004">
      <c r="A76" t="s">
        <v>178</v>
      </c>
      <c r="B76" t="s">
        <v>140</v>
      </c>
      <c r="C76">
        <f t="shared" si="5"/>
        <v>9.3590709281652085E-3</v>
      </c>
      <c r="D76">
        <f t="shared" si="5"/>
        <v>8.9497931895740207E-3</v>
      </c>
      <c r="E76">
        <f t="shared" ref="E76:H76" si="106">E26/E$52</f>
        <v>9.9339570720968634E-3</v>
      </c>
      <c r="F76">
        <f t="shared" si="106"/>
        <v>3.5612050171332514E-3</v>
      </c>
      <c r="G76">
        <f t="shared" si="106"/>
        <v>8.9381236852078653E-3</v>
      </c>
      <c r="H76">
        <f t="shared" si="106"/>
        <v>7.098272062795145E-3</v>
      </c>
      <c r="I76">
        <f t="shared" ref="I76:L76" si="107">I26/I$52</f>
        <v>9.2872773610130042E-3</v>
      </c>
      <c r="J76">
        <f t="shared" si="107"/>
        <v>9.5460869837144992E-3</v>
      </c>
      <c r="K76">
        <f t="shared" si="107"/>
        <v>0</v>
      </c>
      <c r="L76">
        <f t="shared" si="107"/>
        <v>1.5136130690193742E-2</v>
      </c>
      <c r="M76">
        <f t="shared" ref="M76:P76" si="108">M26/M$52</f>
        <v>8.6939430585447272E-3</v>
      </c>
      <c r="N76">
        <f t="shared" si="108"/>
        <v>1.0118121534355122E-2</v>
      </c>
      <c r="O76">
        <f t="shared" si="108"/>
        <v>1.1695930745245305E-2</v>
      </c>
      <c r="P76">
        <f t="shared" si="108"/>
        <v>3.5612050171332514E-3</v>
      </c>
      <c r="Q76">
        <f t="shared" ref="Q76:U76" si="109">Q26/Q$52</f>
        <v>9.3449042081463225E-3</v>
      </c>
      <c r="R76">
        <f t="shared" si="109"/>
        <v>5.3405708053612059E-3</v>
      </c>
      <c r="S76">
        <f t="shared" si="109"/>
        <v>7.3607135176949039E-3</v>
      </c>
      <c r="T76">
        <f t="shared" si="109"/>
        <v>1.0435035897489049E-2</v>
      </c>
      <c r="U76">
        <f t="shared" si="109"/>
        <v>9.4995309190394131E-3</v>
      </c>
      <c r="V76">
        <f t="shared" ref="V76:AA76" si="110">V26/V$52</f>
        <v>2.0574679396811284E-2</v>
      </c>
      <c r="W76">
        <f t="shared" si="110"/>
        <v>3.3942952421052632E-3</v>
      </c>
      <c r="X76">
        <f t="shared" si="110"/>
        <v>1.5892468506999966E-2</v>
      </c>
      <c r="Y76">
        <f t="shared" si="110"/>
        <v>0</v>
      </c>
      <c r="Z76">
        <f t="shared" si="110"/>
        <v>0</v>
      </c>
      <c r="AA76">
        <f t="shared" si="110"/>
        <v>1.9581522322172099E-2</v>
      </c>
    </row>
    <row r="77" spans="1:27" x14ac:dyDescent="0.55000000000000004">
      <c r="A77" t="s">
        <v>179</v>
      </c>
      <c r="B77" t="s">
        <v>141</v>
      </c>
      <c r="C77">
        <f t="shared" si="5"/>
        <v>1.5481722502991076E-3</v>
      </c>
      <c r="D77">
        <f t="shared" si="5"/>
        <v>0</v>
      </c>
      <c r="E77">
        <f t="shared" ref="E77:H77" si="111">E27/E$52</f>
        <v>0</v>
      </c>
      <c r="F77">
        <f t="shared" si="111"/>
        <v>0</v>
      </c>
      <c r="G77">
        <f t="shared" si="111"/>
        <v>6.5166319973892822E-4</v>
      </c>
      <c r="H77">
        <f t="shared" si="111"/>
        <v>6.205207404545751E-3</v>
      </c>
      <c r="I77">
        <f t="shared" ref="I77:L77" si="112">I27/I$52</f>
        <v>1.4944629783203987E-3</v>
      </c>
      <c r="J77">
        <f t="shared" si="112"/>
        <v>2.3309280534779147E-3</v>
      </c>
      <c r="K77">
        <f t="shared" si="112"/>
        <v>0</v>
      </c>
      <c r="L77">
        <f t="shared" si="112"/>
        <v>6.7241023667737249E-4</v>
      </c>
      <c r="M77">
        <f t="shared" ref="M77:P77" si="113">M27/M$52</f>
        <v>0</v>
      </c>
      <c r="N77">
        <f t="shared" si="113"/>
        <v>0</v>
      </c>
      <c r="O77">
        <f t="shared" si="113"/>
        <v>3.9354815329198101E-3</v>
      </c>
      <c r="P77">
        <f t="shared" si="113"/>
        <v>0</v>
      </c>
      <c r="Q77">
        <f t="shared" ref="Q77:U77" si="114">Q27/Q$52</f>
        <v>2.6431795573541969E-3</v>
      </c>
      <c r="R77">
        <f t="shared" si="114"/>
        <v>0</v>
      </c>
      <c r="S77">
        <f t="shared" si="114"/>
        <v>8.0612329566496499E-3</v>
      </c>
      <c r="T77">
        <f t="shared" si="114"/>
        <v>0</v>
      </c>
      <c r="U77">
        <f t="shared" si="114"/>
        <v>0</v>
      </c>
      <c r="V77">
        <f t="shared" ref="V77:AA77" si="115">V27/V$52</f>
        <v>5.1336192924704965E-3</v>
      </c>
      <c r="W77">
        <f t="shared" si="115"/>
        <v>0</v>
      </c>
      <c r="X77">
        <f t="shared" si="115"/>
        <v>0</v>
      </c>
      <c r="Y77">
        <f t="shared" si="115"/>
        <v>0</v>
      </c>
      <c r="Z77">
        <f t="shared" si="115"/>
        <v>0</v>
      </c>
      <c r="AA77">
        <f t="shared" si="115"/>
        <v>0</v>
      </c>
    </row>
    <row r="78" spans="1:27" x14ac:dyDescent="0.55000000000000004">
      <c r="A78" t="s">
        <v>180</v>
      </c>
      <c r="B78" t="s">
        <v>142</v>
      </c>
      <c r="C78">
        <f t="shared" si="5"/>
        <v>0</v>
      </c>
      <c r="D78">
        <f t="shared" si="5"/>
        <v>0</v>
      </c>
      <c r="E78">
        <f t="shared" ref="E78:H78" si="116">E28/E$52</f>
        <v>0</v>
      </c>
      <c r="F78">
        <f t="shared" si="116"/>
        <v>0</v>
      </c>
      <c r="G78">
        <f t="shared" si="116"/>
        <v>0</v>
      </c>
      <c r="H78">
        <f t="shared" si="116"/>
        <v>0</v>
      </c>
      <c r="I78">
        <f t="shared" ref="I78:L78" si="117">I28/I$52</f>
        <v>0</v>
      </c>
      <c r="J78">
        <f t="shared" si="117"/>
        <v>0</v>
      </c>
      <c r="K78">
        <f t="shared" si="117"/>
        <v>0</v>
      </c>
      <c r="L78">
        <f t="shared" si="117"/>
        <v>0</v>
      </c>
      <c r="M78">
        <f t="shared" ref="M78:P78" si="118">M28/M$52</f>
        <v>0</v>
      </c>
      <c r="N78">
        <f t="shared" si="118"/>
        <v>0</v>
      </c>
      <c r="O78">
        <f t="shared" si="118"/>
        <v>0</v>
      </c>
      <c r="P78">
        <f t="shared" si="118"/>
        <v>0</v>
      </c>
      <c r="Q78">
        <f t="shared" ref="Q78:U78" si="119">Q28/Q$52</f>
        <v>0</v>
      </c>
      <c r="R78">
        <f t="shared" si="119"/>
        <v>0</v>
      </c>
      <c r="S78">
        <f t="shared" si="119"/>
        <v>0</v>
      </c>
      <c r="T78">
        <f t="shared" si="119"/>
        <v>0</v>
      </c>
      <c r="U78">
        <f t="shared" si="119"/>
        <v>0</v>
      </c>
      <c r="V78">
        <f t="shared" ref="V78:AA78" si="120">V28/V$52</f>
        <v>0</v>
      </c>
      <c r="W78">
        <f t="shared" si="120"/>
        <v>0</v>
      </c>
      <c r="X78">
        <f t="shared" si="120"/>
        <v>0</v>
      </c>
      <c r="Y78">
        <f t="shared" si="120"/>
        <v>0</v>
      </c>
      <c r="Z78">
        <f t="shared" si="120"/>
        <v>0</v>
      </c>
      <c r="AA78">
        <f t="shared" si="120"/>
        <v>0</v>
      </c>
    </row>
    <row r="79" spans="1:27" x14ac:dyDescent="0.55000000000000004">
      <c r="A79" t="s">
        <v>181</v>
      </c>
      <c r="B79" t="s">
        <v>143</v>
      </c>
      <c r="C79">
        <f t="shared" si="5"/>
        <v>1.3057755288757537E-4</v>
      </c>
      <c r="D79">
        <f t="shared" si="5"/>
        <v>4.9024737254478707E-6</v>
      </c>
      <c r="E79">
        <f t="shared" ref="E79:H79" si="121">E29/E$52</f>
        <v>0</v>
      </c>
      <c r="F79">
        <f t="shared" si="121"/>
        <v>0</v>
      </c>
      <c r="G79">
        <f t="shared" si="121"/>
        <v>5.8710265251785056E-4</v>
      </c>
      <c r="H79">
        <f t="shared" si="121"/>
        <v>2.8190635852818446E-5</v>
      </c>
      <c r="I79">
        <f t="shared" ref="I79:L79" si="122">I29/I$52</f>
        <v>2.4404467129825017E-5</v>
      </c>
      <c r="J79">
        <f t="shared" si="122"/>
        <v>0</v>
      </c>
      <c r="K79">
        <f t="shared" si="122"/>
        <v>0</v>
      </c>
      <c r="L79">
        <f t="shared" si="122"/>
        <v>5.0173627907775344E-5</v>
      </c>
      <c r="M79">
        <f t="shared" ref="M79:P79" si="123">M29/M$52</f>
        <v>0</v>
      </c>
      <c r="N79">
        <f t="shared" si="123"/>
        <v>0</v>
      </c>
      <c r="O79">
        <f t="shared" si="123"/>
        <v>0</v>
      </c>
      <c r="P79">
        <f t="shared" si="123"/>
        <v>0</v>
      </c>
      <c r="Q79">
        <f t="shared" ref="Q79:U79" si="124">Q29/Q$52</f>
        <v>0</v>
      </c>
      <c r="R79">
        <f t="shared" si="124"/>
        <v>0</v>
      </c>
      <c r="S79">
        <f t="shared" si="124"/>
        <v>0</v>
      </c>
      <c r="T79">
        <f t="shared" si="124"/>
        <v>0</v>
      </c>
      <c r="U79">
        <f t="shared" si="124"/>
        <v>0</v>
      </c>
      <c r="V79">
        <f t="shared" ref="V79:AA79" si="125">V29/V$52</f>
        <v>3.8305827328470376E-4</v>
      </c>
      <c r="W79">
        <f t="shared" si="125"/>
        <v>0</v>
      </c>
      <c r="X79">
        <f t="shared" si="125"/>
        <v>0</v>
      </c>
      <c r="Y79">
        <f t="shared" si="125"/>
        <v>0</v>
      </c>
      <c r="Z79">
        <f t="shared" si="125"/>
        <v>0</v>
      </c>
      <c r="AA79">
        <f t="shared" si="125"/>
        <v>4.5086894364345243E-4</v>
      </c>
    </row>
    <row r="80" spans="1:27" x14ac:dyDescent="0.55000000000000004">
      <c r="A80" t="s">
        <v>284</v>
      </c>
      <c r="B80" t="s">
        <v>144</v>
      </c>
      <c r="C80">
        <f t="shared" si="5"/>
        <v>0</v>
      </c>
      <c r="D80">
        <f t="shared" si="5"/>
        <v>0</v>
      </c>
      <c r="E80">
        <f t="shared" ref="E80:H80" si="126">E30/E$52</f>
        <v>0</v>
      </c>
      <c r="F80">
        <f t="shared" si="126"/>
        <v>0</v>
      </c>
      <c r="G80">
        <f t="shared" si="126"/>
        <v>0</v>
      </c>
      <c r="H80">
        <f t="shared" si="126"/>
        <v>0</v>
      </c>
      <c r="I80">
        <f t="shared" ref="I80:L80" si="127">I30/I$52</f>
        <v>0</v>
      </c>
      <c r="J80">
        <f t="shared" si="127"/>
        <v>0</v>
      </c>
      <c r="K80">
        <f t="shared" si="127"/>
        <v>0</v>
      </c>
      <c r="L80">
        <f t="shared" si="127"/>
        <v>0</v>
      </c>
      <c r="M80">
        <f t="shared" ref="M80:P80" si="128">M30/M$52</f>
        <v>0</v>
      </c>
      <c r="N80">
        <f t="shared" si="128"/>
        <v>0</v>
      </c>
      <c r="O80">
        <f t="shared" si="128"/>
        <v>0</v>
      </c>
      <c r="P80">
        <f t="shared" si="128"/>
        <v>0</v>
      </c>
      <c r="Q80">
        <f t="shared" ref="Q80:U80" si="129">Q30/Q$52</f>
        <v>0</v>
      </c>
      <c r="R80">
        <f t="shared" si="129"/>
        <v>0</v>
      </c>
      <c r="S80">
        <f t="shared" si="129"/>
        <v>0</v>
      </c>
      <c r="T80">
        <f t="shared" si="129"/>
        <v>0</v>
      </c>
      <c r="U80">
        <f t="shared" si="129"/>
        <v>0</v>
      </c>
      <c r="V80">
        <f t="shared" ref="V80:AA80" si="130">V30/V$52</f>
        <v>0</v>
      </c>
      <c r="W80">
        <f t="shared" si="130"/>
        <v>0</v>
      </c>
      <c r="X80">
        <f t="shared" si="130"/>
        <v>0</v>
      </c>
      <c r="Y80">
        <f t="shared" si="130"/>
        <v>0</v>
      </c>
      <c r="Z80">
        <f t="shared" si="130"/>
        <v>0</v>
      </c>
      <c r="AA80">
        <f t="shared" si="130"/>
        <v>0</v>
      </c>
    </row>
    <row r="81" spans="1:27" x14ac:dyDescent="0.55000000000000004">
      <c r="A81" t="s">
        <v>285</v>
      </c>
      <c r="B81" t="s">
        <v>145</v>
      </c>
      <c r="C81">
        <f t="shared" si="5"/>
        <v>0.51544264280775365</v>
      </c>
      <c r="D81">
        <f t="shared" si="5"/>
        <v>0.12946214048617019</v>
      </c>
      <c r="E81">
        <f t="shared" ref="E81:H81" si="131">E31/E$52</f>
        <v>0.18148046230049533</v>
      </c>
      <c r="F81">
        <f t="shared" si="131"/>
        <v>1.1443884540085354</v>
      </c>
      <c r="G81">
        <f t="shared" si="131"/>
        <v>0.57714332307335725</v>
      </c>
      <c r="H81">
        <f t="shared" si="131"/>
        <v>0.47368526798153504</v>
      </c>
      <c r="I81">
        <f t="shared" ref="I81:L81" si="132">I31/I$52</f>
        <v>0.18625128866427457</v>
      </c>
      <c r="J81">
        <f t="shared" si="132"/>
        <v>0.7492393238304651</v>
      </c>
      <c r="K81">
        <f t="shared" si="132"/>
        <v>0.30303535172082807</v>
      </c>
      <c r="L81">
        <f t="shared" si="132"/>
        <v>0.21615315962980791</v>
      </c>
      <c r="M81">
        <f t="shared" ref="M81:P81" si="133">M31/M$52</f>
        <v>0.11522140146120445</v>
      </c>
      <c r="N81">
        <f t="shared" si="133"/>
        <v>0.18785510091324575</v>
      </c>
      <c r="O81">
        <f t="shared" si="133"/>
        <v>0.49871925064200273</v>
      </c>
      <c r="P81">
        <f t="shared" si="133"/>
        <v>1.1443884540085354</v>
      </c>
      <c r="Q81">
        <f t="shared" ref="Q81:U81" si="134">Q31/Q$52</f>
        <v>0.21003059651964573</v>
      </c>
      <c r="R81">
        <f t="shared" si="134"/>
        <v>0.4614688445493782</v>
      </c>
      <c r="S81">
        <f t="shared" si="134"/>
        <v>0.54747375328083991</v>
      </c>
      <c r="T81">
        <f t="shared" si="134"/>
        <v>0.83131192495153239</v>
      </c>
      <c r="U81">
        <f t="shared" si="134"/>
        <v>0.68017297211514349</v>
      </c>
      <c r="V81">
        <f t="shared" ref="V81:AA81" si="135">V31/V$52</f>
        <v>0.55488559048484076</v>
      </c>
      <c r="W81">
        <f t="shared" si="135"/>
        <v>0.56237499999999996</v>
      </c>
      <c r="X81">
        <f t="shared" si="135"/>
        <v>0.1664114961005288</v>
      </c>
      <c r="Y81">
        <f t="shared" si="135"/>
        <v>0.75003335773873425</v>
      </c>
      <c r="Z81">
        <f t="shared" si="135"/>
        <v>0.16939258661631357</v>
      </c>
      <c r="AA81">
        <f t="shared" si="135"/>
        <v>0.20571817803004094</v>
      </c>
    </row>
    <row r="82" spans="1:27" x14ac:dyDescent="0.55000000000000004">
      <c r="A82" t="s">
        <v>114</v>
      </c>
      <c r="B82" t="s">
        <v>146</v>
      </c>
      <c r="C82">
        <f t="shared" si="5"/>
        <v>2.6574137755078801E-3</v>
      </c>
      <c r="D82">
        <f t="shared" si="5"/>
        <v>1.9636585312987837E-3</v>
      </c>
      <c r="E82">
        <f t="shared" ref="E82:H82" si="136">E32/E$52</f>
        <v>3.6048431480462302E-3</v>
      </c>
      <c r="F82">
        <f t="shared" si="136"/>
        <v>4.2309008695933328E-4</v>
      </c>
      <c r="G82">
        <f t="shared" si="136"/>
        <v>4.3999280996409283E-3</v>
      </c>
      <c r="H82">
        <f t="shared" si="136"/>
        <v>1.1329487597549011E-3</v>
      </c>
      <c r="I82">
        <f t="shared" ref="I82:L82" si="137">I32/I$52</f>
        <v>2.4504294395575384E-3</v>
      </c>
      <c r="J82">
        <f t="shared" si="137"/>
        <v>1.8914036568516486E-3</v>
      </c>
      <c r="K82">
        <f t="shared" si="137"/>
        <v>7.5977361429804198E-5</v>
      </c>
      <c r="L82">
        <f t="shared" si="137"/>
        <v>3.5499735345093535E-3</v>
      </c>
      <c r="M82">
        <f t="shared" ref="M82:P82" si="138">M32/M$52</f>
        <v>1.4877810406231254E-3</v>
      </c>
      <c r="N82">
        <f t="shared" si="138"/>
        <v>3.7128725702856905E-3</v>
      </c>
      <c r="O82">
        <f t="shared" si="138"/>
        <v>1.1116328259646697E-3</v>
      </c>
      <c r="P82">
        <f t="shared" si="138"/>
        <v>4.2309008695933328E-4</v>
      </c>
      <c r="Q82">
        <f t="shared" ref="Q82:U82" si="139">Q32/Q$52</f>
        <v>1.8974523378734883E-3</v>
      </c>
      <c r="R82">
        <f t="shared" si="139"/>
        <v>5.6292117835489647E-3</v>
      </c>
      <c r="S82">
        <f t="shared" si="139"/>
        <v>4.8480617807389467E-4</v>
      </c>
      <c r="T82">
        <f t="shared" si="139"/>
        <v>2.4635682412212632E-3</v>
      </c>
      <c r="U82">
        <f t="shared" si="139"/>
        <v>2.974914964476705E-3</v>
      </c>
      <c r="V82">
        <f t="shared" ref="V82:AA82" si="140">V32/V$52</f>
        <v>2.9330578417172248E-3</v>
      </c>
      <c r="W82">
        <f t="shared" si="140"/>
        <v>4.5432315789473684E-3</v>
      </c>
      <c r="X82">
        <f t="shared" si="140"/>
        <v>3.4834982729345901E-3</v>
      </c>
      <c r="Y82">
        <f t="shared" si="140"/>
        <v>0</v>
      </c>
      <c r="Z82">
        <f t="shared" si="140"/>
        <v>9.8496679308449214E-5</v>
      </c>
      <c r="AA82">
        <f t="shared" si="140"/>
        <v>2.0179061823742488E-3</v>
      </c>
    </row>
    <row r="83" spans="1:27" x14ac:dyDescent="0.55000000000000004">
      <c r="A83" t="s">
        <v>113</v>
      </c>
      <c r="B83" t="s">
        <v>147</v>
      </c>
      <c r="C83">
        <f t="shared" si="5"/>
        <v>5.4561762685035866E-3</v>
      </c>
      <c r="D83">
        <f t="shared" si="5"/>
        <v>8.803918803032074E-4</v>
      </c>
      <c r="E83">
        <f t="shared" ref="E83:H83" si="141">E33/E$52</f>
        <v>2.971931755641167E-3</v>
      </c>
      <c r="F83">
        <f t="shared" si="141"/>
        <v>0</v>
      </c>
      <c r="G83">
        <f t="shared" si="141"/>
        <v>2.1929785517696625E-2</v>
      </c>
      <c r="H83">
        <f t="shared" si="141"/>
        <v>2.5040531467974227E-3</v>
      </c>
      <c r="I83">
        <f t="shared" ref="I83:L83" si="142">I33/I$52</f>
        <v>2.8321955223742827E-3</v>
      </c>
      <c r="J83">
        <f t="shared" si="142"/>
        <v>0</v>
      </c>
      <c r="K83">
        <f t="shared" si="142"/>
        <v>5.0050989172374244E-3</v>
      </c>
      <c r="L83">
        <f t="shared" si="142"/>
        <v>9.5301528270033003E-4</v>
      </c>
      <c r="M83">
        <f t="shared" ref="M83:P83" si="143">M33/M$52</f>
        <v>0</v>
      </c>
      <c r="N83">
        <f t="shared" si="143"/>
        <v>2.1062113489620682E-3</v>
      </c>
      <c r="O83">
        <f t="shared" si="143"/>
        <v>0</v>
      </c>
      <c r="P83">
        <f t="shared" si="143"/>
        <v>0</v>
      </c>
      <c r="Q83">
        <f t="shared" ref="Q83:U83" si="144">Q33/Q$52</f>
        <v>0</v>
      </c>
      <c r="R83">
        <f t="shared" si="144"/>
        <v>0</v>
      </c>
      <c r="S83">
        <f t="shared" si="144"/>
        <v>0</v>
      </c>
      <c r="T83">
        <f t="shared" si="144"/>
        <v>0</v>
      </c>
      <c r="U83">
        <f t="shared" si="144"/>
        <v>0</v>
      </c>
      <c r="V83">
        <f t="shared" ref="V83:AA83" si="145">V33/V$52</f>
        <v>1.4759903977673774E-3</v>
      </c>
      <c r="W83">
        <f t="shared" si="145"/>
        <v>0</v>
      </c>
      <c r="X83">
        <f t="shared" si="145"/>
        <v>0</v>
      </c>
      <c r="Y83">
        <f t="shared" si="145"/>
        <v>0</v>
      </c>
      <c r="Z83">
        <f t="shared" si="145"/>
        <v>6.5007808343576483E-3</v>
      </c>
      <c r="AA83">
        <f t="shared" si="145"/>
        <v>0</v>
      </c>
    </row>
    <row r="84" spans="1:27" x14ac:dyDescent="0.55000000000000004">
      <c r="A84" t="s">
        <v>182</v>
      </c>
      <c r="B84" t="s">
        <v>148</v>
      </c>
      <c r="C84">
        <f t="shared" si="5"/>
        <v>7.9266174635898973E-5</v>
      </c>
      <c r="D84">
        <f t="shared" si="5"/>
        <v>1.3338552858348272E-5</v>
      </c>
      <c r="E84">
        <f t="shared" ref="E84:H84" si="146">E34/E$52</f>
        <v>2.7517886626307103E-5</v>
      </c>
      <c r="F84">
        <f t="shared" si="146"/>
        <v>0</v>
      </c>
      <c r="G84">
        <f t="shared" si="146"/>
        <v>3.2019874665034843E-4</v>
      </c>
      <c r="H84">
        <f t="shared" si="146"/>
        <v>7.6700520490584437E-5</v>
      </c>
      <c r="I84">
        <f t="shared" ref="I84:L84" si="147">I34/I$52</f>
        <v>6.639918804689873E-5</v>
      </c>
      <c r="J84">
        <f t="shared" si="147"/>
        <v>0</v>
      </c>
      <c r="K84">
        <f t="shared" si="147"/>
        <v>0</v>
      </c>
      <c r="L84">
        <f t="shared" si="147"/>
        <v>0</v>
      </c>
      <c r="M84">
        <f t="shared" ref="M84:P84" si="148">M34/M$52</f>
        <v>0</v>
      </c>
      <c r="N84">
        <f t="shared" si="148"/>
        <v>0</v>
      </c>
      <c r="O84">
        <f t="shared" si="148"/>
        <v>0</v>
      </c>
      <c r="P84">
        <f t="shared" si="148"/>
        <v>0</v>
      </c>
      <c r="Q84">
        <f t="shared" ref="Q84:U84" si="149">Q34/Q$52</f>
        <v>0</v>
      </c>
      <c r="R84">
        <f t="shared" si="149"/>
        <v>0</v>
      </c>
      <c r="S84">
        <f t="shared" si="149"/>
        <v>0</v>
      </c>
      <c r="T84">
        <f t="shared" si="149"/>
        <v>0</v>
      </c>
      <c r="U84">
        <f t="shared" si="149"/>
        <v>0</v>
      </c>
      <c r="V84">
        <f t="shared" ref="V84:AA84" si="150">V34/V$52</f>
        <v>0</v>
      </c>
      <c r="W84">
        <f t="shared" si="150"/>
        <v>0</v>
      </c>
      <c r="X84">
        <f t="shared" si="150"/>
        <v>0</v>
      </c>
      <c r="Y84">
        <f t="shared" si="150"/>
        <v>0</v>
      </c>
      <c r="Z84">
        <f t="shared" si="150"/>
        <v>0</v>
      </c>
      <c r="AA84">
        <f t="shared" si="150"/>
        <v>0</v>
      </c>
    </row>
    <row r="85" spans="1:27" x14ac:dyDescent="0.55000000000000004">
      <c r="A85" t="s">
        <v>183</v>
      </c>
      <c r="B85" t="s">
        <v>149</v>
      </c>
      <c r="C85">
        <f t="shared" si="5"/>
        <v>1.2113903361309972E-2</v>
      </c>
      <c r="D85">
        <f t="shared" si="5"/>
        <v>1.6543891907982732E-2</v>
      </c>
      <c r="E85">
        <f t="shared" ref="E85:H85" si="151">E35/E$52</f>
        <v>2.2757292239955974E-2</v>
      </c>
      <c r="F85">
        <f t="shared" si="151"/>
        <v>3.1945979039062759E-2</v>
      </c>
      <c r="G85">
        <f t="shared" si="151"/>
        <v>7.172531759544667E-3</v>
      </c>
      <c r="H85">
        <f t="shared" si="151"/>
        <v>1.2320798757360437E-2</v>
      </c>
      <c r="I85">
        <f t="shared" ref="I85:L85" si="152">I35/I$52</f>
        <v>1.6704958989323292E-2</v>
      </c>
      <c r="J85">
        <f t="shared" si="152"/>
        <v>5.3337635319965345E-3</v>
      </c>
      <c r="K85">
        <f t="shared" si="152"/>
        <v>0</v>
      </c>
      <c r="L85">
        <f t="shared" si="152"/>
        <v>2.3179709185477137E-2</v>
      </c>
      <c r="M85">
        <f t="shared" ref="M85:P85" si="153">M35/M$52</f>
        <v>1.4828593094443215E-2</v>
      </c>
      <c r="N85">
        <f t="shared" si="153"/>
        <v>2.3443782333179394E-2</v>
      </c>
      <c r="O85">
        <f t="shared" si="153"/>
        <v>1.9323123769354224E-2</v>
      </c>
      <c r="P85">
        <f t="shared" si="153"/>
        <v>3.1945979039062759E-2</v>
      </c>
      <c r="Q85">
        <f t="shared" ref="Q85:U85" si="154">Q35/Q$52</f>
        <v>1.4261360330638264E-2</v>
      </c>
      <c r="R85">
        <f t="shared" si="154"/>
        <v>7.236867780164583E-4</v>
      </c>
      <c r="S85">
        <f t="shared" si="154"/>
        <v>1.4049633182899406E-2</v>
      </c>
      <c r="T85">
        <f t="shared" si="154"/>
        <v>1.7883910914303519E-3</v>
      </c>
      <c r="U85">
        <f t="shared" si="154"/>
        <v>4.0804098725260689E-3</v>
      </c>
      <c r="V85">
        <f t="shared" ref="V85:AA85" si="155">V35/V$52</f>
        <v>3.3909121056657165E-2</v>
      </c>
      <c r="W85">
        <f t="shared" si="155"/>
        <v>9.2739805081578947E-4</v>
      </c>
      <c r="X85">
        <f t="shared" si="155"/>
        <v>2.3342846367738385E-2</v>
      </c>
      <c r="Y85">
        <f t="shared" si="155"/>
        <v>0</v>
      </c>
      <c r="Z85">
        <f t="shared" si="155"/>
        <v>0</v>
      </c>
      <c r="AA85">
        <f t="shared" si="155"/>
        <v>3.0426048789654086E-2</v>
      </c>
    </row>
    <row r="86" spans="1:27" x14ac:dyDescent="0.55000000000000004">
      <c r="A86" t="s">
        <v>184</v>
      </c>
      <c r="B86" t="s">
        <v>150</v>
      </c>
      <c r="C86">
        <f t="shared" si="5"/>
        <v>2.8373557782541375E-3</v>
      </c>
      <c r="D86">
        <f t="shared" si="5"/>
        <v>1.1114869420548233E-3</v>
      </c>
      <c r="E86">
        <f t="shared" ref="E86:H86" si="156">E36/E$52</f>
        <v>4.9807374793615859E-3</v>
      </c>
      <c r="F86">
        <f t="shared" si="156"/>
        <v>9.0790880607469378E-3</v>
      </c>
      <c r="G86">
        <f t="shared" si="156"/>
        <v>5.5598848598064294E-3</v>
      </c>
      <c r="H86">
        <f t="shared" si="156"/>
        <v>8.5342576847386223E-4</v>
      </c>
      <c r="I86">
        <f t="shared" ref="I86:L86" si="157">I36/I$52</f>
        <v>3.2432180588620194E-3</v>
      </c>
      <c r="J86">
        <f t="shared" si="157"/>
        <v>5.6725755863091794E-4</v>
      </c>
      <c r="K86">
        <f t="shared" si="157"/>
        <v>0</v>
      </c>
      <c r="L86">
        <f t="shared" si="157"/>
        <v>2.9121432990872665E-3</v>
      </c>
      <c r="M86">
        <f t="shared" ref="M86:P86" si="158">M36/M$52</f>
        <v>0</v>
      </c>
      <c r="N86">
        <f t="shared" si="158"/>
        <v>5.2368933859234428E-3</v>
      </c>
      <c r="O86">
        <f t="shared" si="158"/>
        <v>1.961343057865962E-3</v>
      </c>
      <c r="P86">
        <f t="shared" si="158"/>
        <v>9.0790880607469378E-3</v>
      </c>
      <c r="Q86">
        <f t="shared" ref="Q86:U86" si="159">Q36/Q$52</f>
        <v>2.7681743423960191E-3</v>
      </c>
      <c r="R86">
        <f t="shared" si="159"/>
        <v>1.0404879087497823E-3</v>
      </c>
      <c r="S86">
        <f t="shared" si="159"/>
        <v>9.4447783970888922E-4</v>
      </c>
      <c r="T86">
        <f t="shared" si="159"/>
        <v>4.1381487968746608E-4</v>
      </c>
      <c r="U86">
        <f t="shared" si="159"/>
        <v>1.1040477393492319E-3</v>
      </c>
      <c r="V86">
        <f t="shared" ref="V86:AA86" si="160">V36/V$52</f>
        <v>7.2454126687822541E-3</v>
      </c>
      <c r="W86">
        <f t="shared" si="160"/>
        <v>2.1265883157894737E-4</v>
      </c>
      <c r="X86">
        <f t="shared" si="160"/>
        <v>0</v>
      </c>
      <c r="Y86">
        <f t="shared" si="160"/>
        <v>0</v>
      </c>
      <c r="Z86">
        <f t="shared" si="160"/>
        <v>0</v>
      </c>
      <c r="AA86">
        <f t="shared" si="160"/>
        <v>1.5290694114985541E-2</v>
      </c>
    </row>
    <row r="87" spans="1:27" x14ac:dyDescent="0.55000000000000004">
      <c r="A87" t="s">
        <v>185</v>
      </c>
      <c r="B87" t="s">
        <v>151</v>
      </c>
      <c r="C87">
        <f t="shared" si="5"/>
        <v>2.6444712021376761E-6</v>
      </c>
      <c r="D87">
        <f t="shared" si="5"/>
        <v>2.6006459099632083E-6</v>
      </c>
      <c r="E87">
        <f t="shared" ref="E87:H87" si="161">E37/E$52</f>
        <v>0</v>
      </c>
      <c r="F87">
        <f t="shared" si="161"/>
        <v>0</v>
      </c>
      <c r="G87">
        <f t="shared" si="161"/>
        <v>0</v>
      </c>
      <c r="H87">
        <f t="shared" si="161"/>
        <v>1.4954462978421511E-5</v>
      </c>
      <c r="I87">
        <f t="shared" ref="I87:L87" si="162">I37/I$52</f>
        <v>1.2945990367385954E-5</v>
      </c>
      <c r="J87">
        <f t="shared" si="162"/>
        <v>0</v>
      </c>
      <c r="K87">
        <f t="shared" si="162"/>
        <v>0</v>
      </c>
      <c r="L87">
        <f t="shared" si="162"/>
        <v>0</v>
      </c>
      <c r="M87">
        <f t="shared" ref="M87:P87" si="163">M37/M$52</f>
        <v>0</v>
      </c>
      <c r="N87">
        <f t="shared" si="163"/>
        <v>0</v>
      </c>
      <c r="O87">
        <f t="shared" si="163"/>
        <v>0</v>
      </c>
      <c r="P87">
        <f t="shared" si="163"/>
        <v>0</v>
      </c>
      <c r="Q87">
        <f t="shared" ref="Q87:U87" si="164">Q37/Q$52</f>
        <v>0</v>
      </c>
      <c r="R87">
        <f t="shared" si="164"/>
        <v>0</v>
      </c>
      <c r="S87">
        <f t="shared" si="164"/>
        <v>0</v>
      </c>
      <c r="T87">
        <f t="shared" si="164"/>
        <v>0</v>
      </c>
      <c r="U87">
        <f t="shared" si="164"/>
        <v>0</v>
      </c>
      <c r="V87">
        <f t="shared" ref="V87:AA87" si="165">V37/V$52</f>
        <v>0</v>
      </c>
      <c r="W87">
        <f t="shared" si="165"/>
        <v>0</v>
      </c>
      <c r="X87">
        <f t="shared" si="165"/>
        <v>0</v>
      </c>
      <c r="Y87">
        <f t="shared" si="165"/>
        <v>0</v>
      </c>
      <c r="Z87">
        <f t="shared" si="165"/>
        <v>0</v>
      </c>
      <c r="AA87">
        <f t="shared" si="165"/>
        <v>1.2301804470789184E-4</v>
      </c>
    </row>
    <row r="88" spans="1:27" x14ac:dyDescent="0.55000000000000004">
      <c r="A88" t="s">
        <v>186</v>
      </c>
      <c r="B88" t="s">
        <v>152</v>
      </c>
      <c r="C88">
        <f t="shared" si="5"/>
        <v>6.7294290607817314E-7</v>
      </c>
      <c r="D88">
        <f t="shared" si="5"/>
        <v>6.617906123977672E-7</v>
      </c>
      <c r="E88">
        <f t="shared" ref="E88:H88" si="166">E38/E$52</f>
        <v>0</v>
      </c>
      <c r="F88">
        <f t="shared" si="166"/>
        <v>0</v>
      </c>
      <c r="G88">
        <f t="shared" si="166"/>
        <v>0</v>
      </c>
      <c r="H88">
        <f t="shared" si="166"/>
        <v>3.8054866195564935E-6</v>
      </c>
      <c r="I88">
        <f t="shared" ref="I88:L88" si="167">I38/I$52</f>
        <v>3.2943873137458961E-6</v>
      </c>
      <c r="J88">
        <f t="shared" si="167"/>
        <v>0</v>
      </c>
      <c r="K88">
        <f t="shared" si="167"/>
        <v>0</v>
      </c>
      <c r="L88">
        <f t="shared" si="167"/>
        <v>0</v>
      </c>
      <c r="M88">
        <f t="shared" ref="M88:P88" si="168">M38/M$52</f>
        <v>0</v>
      </c>
      <c r="N88">
        <f t="shared" si="168"/>
        <v>0</v>
      </c>
      <c r="O88">
        <f t="shared" si="168"/>
        <v>0</v>
      </c>
      <c r="P88">
        <f t="shared" si="168"/>
        <v>0</v>
      </c>
      <c r="Q88">
        <f t="shared" ref="Q88:U88" si="169">Q38/Q$52</f>
        <v>0</v>
      </c>
      <c r="R88">
        <f t="shared" si="169"/>
        <v>0</v>
      </c>
      <c r="S88">
        <f t="shared" si="169"/>
        <v>0</v>
      </c>
      <c r="T88">
        <f t="shared" si="169"/>
        <v>0</v>
      </c>
      <c r="U88">
        <f t="shared" si="169"/>
        <v>0</v>
      </c>
      <c r="V88">
        <f t="shared" ref="V88:AA88" si="170">V38/V$52</f>
        <v>0</v>
      </c>
      <c r="W88">
        <f t="shared" si="170"/>
        <v>0</v>
      </c>
      <c r="X88">
        <f t="shared" si="170"/>
        <v>0</v>
      </c>
      <c r="Y88">
        <f t="shared" si="170"/>
        <v>0</v>
      </c>
      <c r="Z88">
        <f t="shared" si="170"/>
        <v>0</v>
      </c>
      <c r="AA88">
        <f t="shared" si="170"/>
        <v>0</v>
      </c>
    </row>
    <row r="89" spans="1:27" x14ac:dyDescent="0.55000000000000004">
      <c r="A89" t="s">
        <v>187</v>
      </c>
      <c r="B89" t="s">
        <v>153</v>
      </c>
      <c r="C89">
        <f t="shared" si="5"/>
        <v>2.9680312945775774E-6</v>
      </c>
      <c r="D89">
        <f t="shared" si="5"/>
        <v>1.7329050307040144E-6</v>
      </c>
      <c r="E89">
        <f t="shared" ref="E89:H89" si="171">E39/E$52</f>
        <v>0</v>
      </c>
      <c r="F89">
        <f t="shared" si="171"/>
        <v>0</v>
      </c>
      <c r="G89">
        <f t="shared" si="171"/>
        <v>3.3335585800796612E-6</v>
      </c>
      <c r="H89">
        <f t="shared" si="171"/>
        <v>9.9647030099342493E-6</v>
      </c>
      <c r="I89">
        <f t="shared" ref="I89:L89" si="172">I39/I$52</f>
        <v>8.6263846028182346E-6</v>
      </c>
      <c r="J89">
        <f t="shared" si="172"/>
        <v>0</v>
      </c>
      <c r="K89">
        <f t="shared" si="172"/>
        <v>0</v>
      </c>
      <c r="L89">
        <f t="shared" si="172"/>
        <v>5.1118072871507776E-6</v>
      </c>
      <c r="M89">
        <f t="shared" ref="M89:P89" si="173">M39/M$52</f>
        <v>0</v>
      </c>
      <c r="N89">
        <f t="shared" si="173"/>
        <v>0</v>
      </c>
      <c r="O89">
        <f t="shared" si="173"/>
        <v>0</v>
      </c>
      <c r="P89">
        <f t="shared" si="173"/>
        <v>0</v>
      </c>
      <c r="Q89">
        <f t="shared" ref="Q89:U89" si="174">Q39/Q$52</f>
        <v>0</v>
      </c>
      <c r="R89">
        <f t="shared" si="174"/>
        <v>0</v>
      </c>
      <c r="S89">
        <f t="shared" si="174"/>
        <v>0</v>
      </c>
      <c r="T89">
        <f t="shared" si="174"/>
        <v>0</v>
      </c>
      <c r="U89">
        <f t="shared" si="174"/>
        <v>4.7488811527552432E-6</v>
      </c>
      <c r="V89">
        <f t="shared" ref="V89:AA89" si="175">V39/V$52</f>
        <v>0</v>
      </c>
      <c r="W89">
        <f t="shared" si="175"/>
        <v>0</v>
      </c>
      <c r="X89">
        <f t="shared" si="175"/>
        <v>0</v>
      </c>
      <c r="Y89">
        <f t="shared" si="175"/>
        <v>0</v>
      </c>
      <c r="Z89">
        <f t="shared" si="175"/>
        <v>0</v>
      </c>
      <c r="AA89">
        <f t="shared" si="175"/>
        <v>0</v>
      </c>
    </row>
    <row r="90" spans="1:27" x14ac:dyDescent="0.55000000000000004">
      <c r="A90" t="s">
        <v>188</v>
      </c>
      <c r="B90" t="s">
        <v>154</v>
      </c>
      <c r="C90">
        <f t="shared" si="5"/>
        <v>2.7037567213030233E-3</v>
      </c>
      <c r="D90">
        <f t="shared" si="5"/>
        <v>2.5850497843260068E-3</v>
      </c>
      <c r="E90">
        <f t="shared" ref="E90:H90" si="176">E40/E$52</f>
        <v>2.2839845899834893E-3</v>
      </c>
      <c r="F90">
        <f t="shared" si="176"/>
        <v>1.2582007744391293E-3</v>
      </c>
      <c r="G90">
        <f t="shared" si="176"/>
        <v>2.9964381871597284E-3</v>
      </c>
      <c r="H90">
        <f t="shared" si="176"/>
        <v>2.8360150531010851E-3</v>
      </c>
      <c r="I90">
        <f t="shared" ref="I90:L90" si="177">I40/I$52</f>
        <v>2.5920630649270138E-3</v>
      </c>
      <c r="J90">
        <f t="shared" si="177"/>
        <v>2.9866262711852136E-3</v>
      </c>
      <c r="K90">
        <f t="shared" si="177"/>
        <v>0</v>
      </c>
      <c r="L90">
        <f t="shared" si="177"/>
        <v>2.8535320886427917E-3</v>
      </c>
      <c r="M90">
        <f t="shared" ref="M90:P90" si="178">M40/M$52</f>
        <v>2.7092843335997869E-3</v>
      </c>
      <c r="N90">
        <f t="shared" si="178"/>
        <v>2.3759848603512922E-3</v>
      </c>
      <c r="O90">
        <f t="shared" si="178"/>
        <v>4.1094445333856259E-3</v>
      </c>
      <c r="P90">
        <f t="shared" si="178"/>
        <v>1.2582007744391293E-3</v>
      </c>
      <c r="Q90">
        <f t="shared" ref="Q90:U90" si="179">Q40/Q$52</f>
        <v>3.161836623779622E-3</v>
      </c>
      <c r="R90">
        <f t="shared" si="179"/>
        <v>3.404491878491529E-3</v>
      </c>
      <c r="S90">
        <f t="shared" si="179"/>
        <v>3.1923565112399409E-3</v>
      </c>
      <c r="T90">
        <f t="shared" si="179"/>
        <v>2.9029409531968389E-3</v>
      </c>
      <c r="U90">
        <f t="shared" si="179"/>
        <v>3.1060552829592632E-3</v>
      </c>
      <c r="V90">
        <f t="shared" ref="V90:AA90" si="180">V40/V$52</f>
        <v>1.5647185718883898E-3</v>
      </c>
      <c r="W90">
        <f t="shared" si="180"/>
        <v>2.5238747368421053E-3</v>
      </c>
      <c r="X90">
        <f t="shared" si="180"/>
        <v>4.1995161817039691E-3</v>
      </c>
      <c r="Y90">
        <f t="shared" si="180"/>
        <v>0</v>
      </c>
      <c r="Z90">
        <f t="shared" si="180"/>
        <v>0</v>
      </c>
      <c r="AA90">
        <f t="shared" si="180"/>
        <v>1.6872037915721093E-3</v>
      </c>
    </row>
    <row r="91" spans="1:27" x14ac:dyDescent="0.55000000000000004">
      <c r="A91" t="s">
        <v>189</v>
      </c>
      <c r="B91" t="s">
        <v>155</v>
      </c>
      <c r="C91">
        <f t="shared" si="5"/>
        <v>1.2846949920872075E-4</v>
      </c>
      <c r="D91">
        <f t="shared" si="5"/>
        <v>0</v>
      </c>
      <c r="E91">
        <f t="shared" ref="E91:H91" si="181">E41/E$52</f>
        <v>0</v>
      </c>
      <c r="F91">
        <f t="shared" si="181"/>
        <v>0</v>
      </c>
      <c r="G91">
        <f t="shared" si="181"/>
        <v>2.8987202132960409E-4</v>
      </c>
      <c r="H91">
        <f t="shared" si="181"/>
        <v>1.5628295917366968E-4</v>
      </c>
      <c r="I91">
        <f t="shared" ref="I91:L91" si="182">I41/I$52</f>
        <v>3.5436422650552087E-5</v>
      </c>
      <c r="J91">
        <f t="shared" si="182"/>
        <v>1.5430603452267933E-4</v>
      </c>
      <c r="K91">
        <f t="shared" si="182"/>
        <v>1.2751033462132742E-4</v>
      </c>
      <c r="L91">
        <f t="shared" si="182"/>
        <v>0</v>
      </c>
      <c r="M91">
        <f t="shared" ref="M91:P91" si="183">M41/M$52</f>
        <v>0</v>
      </c>
      <c r="N91">
        <f t="shared" si="183"/>
        <v>0</v>
      </c>
      <c r="O91">
        <f t="shared" si="183"/>
        <v>0</v>
      </c>
      <c r="P91">
        <f t="shared" si="183"/>
        <v>0</v>
      </c>
      <c r="Q91">
        <f t="shared" ref="Q91:U91" si="184">Q41/Q$52</f>
        <v>6.2674572267404583E-5</v>
      </c>
      <c r="R91">
        <f t="shared" si="184"/>
        <v>8.3461272831437055E-5</v>
      </c>
      <c r="S91">
        <f t="shared" si="184"/>
        <v>1.9298437310720775E-4</v>
      </c>
      <c r="T91">
        <f t="shared" si="184"/>
        <v>1.3857276622508994E-4</v>
      </c>
      <c r="U91">
        <f t="shared" si="184"/>
        <v>4.1294242945936875E-4</v>
      </c>
      <c r="V91">
        <f t="shared" ref="V91:AA91" si="185">V41/V$52</f>
        <v>0</v>
      </c>
      <c r="W91">
        <f t="shared" si="185"/>
        <v>4.1250000000000007E-5</v>
      </c>
      <c r="X91">
        <f t="shared" si="185"/>
        <v>0</v>
      </c>
      <c r="Y91">
        <f t="shared" si="185"/>
        <v>0</v>
      </c>
      <c r="Z91">
        <f t="shared" si="185"/>
        <v>1.6561445701584223E-4</v>
      </c>
      <c r="AA91">
        <f t="shared" si="185"/>
        <v>1.4878675140233953E-4</v>
      </c>
    </row>
    <row r="92" spans="1:27" x14ac:dyDescent="0.55000000000000004">
      <c r="A92" t="s">
        <v>190</v>
      </c>
      <c r="B92" t="s">
        <v>156</v>
      </c>
      <c r="C92">
        <f t="shared" si="5"/>
        <v>4.6591984488129071E-4</v>
      </c>
      <c r="D92">
        <f t="shared" si="5"/>
        <v>3.274382598467615E-4</v>
      </c>
      <c r="E92">
        <f t="shared" ref="E92:H92" si="186">E42/E$52</f>
        <v>3.8525041276829937E-4</v>
      </c>
      <c r="F92">
        <f t="shared" si="186"/>
        <v>9.1212823594408892E-4</v>
      </c>
      <c r="G92">
        <f t="shared" si="186"/>
        <v>4.9741429222131903E-4</v>
      </c>
      <c r="H92">
        <f t="shared" si="186"/>
        <v>6.1008407995518765E-4</v>
      </c>
      <c r="I92">
        <f t="shared" ref="I92:L92" si="187">I42/I$52</f>
        <v>4.5725122969699519E-4</v>
      </c>
      <c r="J92">
        <f t="shared" si="187"/>
        <v>4.3265105423265883E-4</v>
      </c>
      <c r="K92">
        <f t="shared" si="187"/>
        <v>2.8281946803481784E-4</v>
      </c>
      <c r="L92">
        <f t="shared" si="187"/>
        <v>4.3685257227185463E-4</v>
      </c>
      <c r="M92">
        <f t="shared" ref="M92:P92" si="188">M42/M$52</f>
        <v>2.9574727512102764E-4</v>
      </c>
      <c r="N92">
        <f t="shared" si="188"/>
        <v>3.5931231351167775E-4</v>
      </c>
      <c r="O92">
        <f t="shared" si="188"/>
        <v>5.0521889169448028E-4</v>
      </c>
      <c r="P92">
        <f t="shared" si="188"/>
        <v>9.1212823594408892E-4</v>
      </c>
      <c r="Q92">
        <f t="shared" ref="Q92:U92" si="189">Q42/Q$52</f>
        <v>3.8512928500536881E-4</v>
      </c>
      <c r="R92">
        <f t="shared" si="189"/>
        <v>5.5730652687142207E-4</v>
      </c>
      <c r="S92">
        <f t="shared" si="189"/>
        <v>5.3619711141876492E-4</v>
      </c>
      <c r="T92">
        <f t="shared" si="189"/>
        <v>3.9053140901299085E-4</v>
      </c>
      <c r="U92">
        <f t="shared" si="189"/>
        <v>4.5613520153094881E-4</v>
      </c>
      <c r="V92">
        <f t="shared" ref="V92:AA92" si="190">V42/V$52</f>
        <v>4.172946344829471E-4</v>
      </c>
      <c r="W92">
        <f t="shared" si="190"/>
        <v>7.245526315789474E-4</v>
      </c>
      <c r="X92">
        <f t="shared" si="190"/>
        <v>5.4540085171449247E-4</v>
      </c>
      <c r="Y92">
        <f t="shared" si="190"/>
        <v>9.0686635513884313E-4</v>
      </c>
      <c r="Z92">
        <f t="shared" si="190"/>
        <v>9.6563131899305921E-5</v>
      </c>
      <c r="AA92">
        <f t="shared" si="190"/>
        <v>3.179262985822729E-4</v>
      </c>
    </row>
    <row r="93" spans="1:27" x14ac:dyDescent="0.55000000000000004">
      <c r="A93" t="s">
        <v>191</v>
      </c>
      <c r="B93" t="s">
        <v>157</v>
      </c>
      <c r="C93">
        <f t="shared" si="5"/>
        <v>1.0986042630945906E-3</v>
      </c>
      <c r="D93">
        <f t="shared" si="5"/>
        <v>8.2294963437592496E-4</v>
      </c>
      <c r="E93">
        <f t="shared" ref="E93:H93" si="191">E43/E$52</f>
        <v>6.8794716565767752E-4</v>
      </c>
      <c r="F93">
        <f t="shared" si="191"/>
        <v>1.4011967414495376E-3</v>
      </c>
      <c r="G93">
        <f t="shared" si="191"/>
        <v>2.9343768019440314E-3</v>
      </c>
      <c r="H93">
        <f t="shared" si="191"/>
        <v>2.6534581826704353E-4</v>
      </c>
      <c r="I93">
        <f t="shared" ref="I93:L93" si="192">I43/I$52</f>
        <v>5.9176613858274844E-4</v>
      </c>
      <c r="J93">
        <f t="shared" si="192"/>
        <v>4.2827853625298926E-4</v>
      </c>
      <c r="K93">
        <f t="shared" si="192"/>
        <v>2.6691106142549999E-3</v>
      </c>
      <c r="L93">
        <f t="shared" si="192"/>
        <v>6.3357836651035905E-4</v>
      </c>
      <c r="M93">
        <f t="shared" ref="M93:P93" si="193">M43/M$52</f>
        <v>8.4774417680051064E-4</v>
      </c>
      <c r="N93">
        <f t="shared" si="193"/>
        <v>6.3587824826518531E-4</v>
      </c>
      <c r="O93">
        <f t="shared" si="193"/>
        <v>1.9729173969093954E-3</v>
      </c>
      <c r="P93">
        <f t="shared" si="193"/>
        <v>1.4011967414495376E-3</v>
      </c>
      <c r="Q93">
        <f t="shared" ref="Q93:U93" si="194">Q43/Q$52</f>
        <v>3.3747846605525547E-4</v>
      </c>
      <c r="R93">
        <f t="shared" si="194"/>
        <v>3.660582141729695E-4</v>
      </c>
      <c r="S93">
        <f t="shared" si="194"/>
        <v>0</v>
      </c>
      <c r="T93">
        <f t="shared" si="194"/>
        <v>6.0249028793517376E-4</v>
      </c>
      <c r="U93">
        <f t="shared" si="194"/>
        <v>1.3661253305422769E-3</v>
      </c>
      <c r="V93">
        <f t="shared" ref="V93:AA93" si="195">V43/V$52</f>
        <v>1.1236376016351311E-3</v>
      </c>
      <c r="W93">
        <f t="shared" si="195"/>
        <v>4.7328947368421046E-4</v>
      </c>
      <c r="X93">
        <f t="shared" si="195"/>
        <v>0</v>
      </c>
      <c r="Y93">
        <f t="shared" si="195"/>
        <v>8.0341235562407971E-3</v>
      </c>
      <c r="Z93">
        <f t="shared" si="195"/>
        <v>1.0673131744555876E-3</v>
      </c>
      <c r="AA93">
        <f t="shared" si="195"/>
        <v>5.2901956054165014E-4</v>
      </c>
    </row>
    <row r="94" spans="1:27" x14ac:dyDescent="0.55000000000000004">
      <c r="A94" t="s">
        <v>286</v>
      </c>
      <c r="B94" t="s">
        <v>158</v>
      </c>
      <c r="C94">
        <f t="shared" si="5"/>
        <v>4.1110163337281767E-5</v>
      </c>
      <c r="D94">
        <f t="shared" si="5"/>
        <v>0</v>
      </c>
      <c r="E94">
        <f t="shared" ref="E94:H94" si="196">E44/E$52</f>
        <v>0</v>
      </c>
      <c r="F94">
        <f t="shared" si="196"/>
        <v>0</v>
      </c>
      <c r="G94">
        <f t="shared" si="196"/>
        <v>0</v>
      </c>
      <c r="H94">
        <f t="shared" si="196"/>
        <v>0</v>
      </c>
      <c r="I94">
        <f t="shared" ref="I94:L94" si="197">I44/I$52</f>
        <v>0</v>
      </c>
      <c r="J94">
        <f t="shared" si="197"/>
        <v>1.2236529607228264E-4</v>
      </c>
      <c r="K94">
        <f t="shared" si="197"/>
        <v>0</v>
      </c>
      <c r="L94">
        <f t="shared" si="197"/>
        <v>0</v>
      </c>
      <c r="M94">
        <f t="shared" ref="M94:P94" si="198">M44/M$52</f>
        <v>0</v>
      </c>
      <c r="N94">
        <f t="shared" si="198"/>
        <v>0</v>
      </c>
      <c r="O94">
        <f t="shared" si="198"/>
        <v>0</v>
      </c>
      <c r="P94">
        <f t="shared" si="198"/>
        <v>0</v>
      </c>
      <c r="Q94">
        <f t="shared" ref="Q94:U94" si="199">Q44/Q$52</f>
        <v>0</v>
      </c>
      <c r="R94">
        <f t="shared" si="199"/>
        <v>0</v>
      </c>
      <c r="S94">
        <f t="shared" si="199"/>
        <v>0</v>
      </c>
      <c r="T94">
        <f t="shared" si="199"/>
        <v>1.721400822671925E-4</v>
      </c>
      <c r="U94">
        <f t="shared" si="199"/>
        <v>0</v>
      </c>
      <c r="V94">
        <f t="shared" ref="V94:AA94" si="200">V44/V$52</f>
        <v>0</v>
      </c>
      <c r="W94">
        <f t="shared" si="200"/>
        <v>0</v>
      </c>
      <c r="X94">
        <f t="shared" si="200"/>
        <v>0</v>
      </c>
      <c r="Y94">
        <f t="shared" si="200"/>
        <v>0</v>
      </c>
      <c r="Z94">
        <f t="shared" si="200"/>
        <v>0</v>
      </c>
      <c r="AA94">
        <f t="shared" si="200"/>
        <v>0</v>
      </c>
    </row>
    <row r="95" spans="1:27" x14ac:dyDescent="0.55000000000000004">
      <c r="A95" t="s">
        <v>287</v>
      </c>
      <c r="B95" t="s">
        <v>159</v>
      </c>
      <c r="C95">
        <f t="shared" si="5"/>
        <v>1.3489416379818514E-6</v>
      </c>
      <c r="D95">
        <f t="shared" si="5"/>
        <v>1.326586408186545E-6</v>
      </c>
      <c r="E95">
        <f t="shared" ref="E95:H95" si="201">E45/E$52</f>
        <v>0</v>
      </c>
      <c r="F95">
        <f t="shared" si="201"/>
        <v>0</v>
      </c>
      <c r="G95">
        <f t="shared" si="201"/>
        <v>0</v>
      </c>
      <c r="H95">
        <f t="shared" si="201"/>
        <v>7.6282539091157977E-6</v>
      </c>
      <c r="I95">
        <f t="shared" ref="I95:L95" si="202">I45/I$52</f>
        <v>6.6037344015553069E-6</v>
      </c>
      <c r="J95">
        <f t="shared" si="202"/>
        <v>0</v>
      </c>
      <c r="K95">
        <f t="shared" si="202"/>
        <v>0</v>
      </c>
      <c r="L95">
        <f t="shared" si="202"/>
        <v>0</v>
      </c>
      <c r="M95">
        <f t="shared" ref="M95:P95" si="203">M45/M$52</f>
        <v>0</v>
      </c>
      <c r="N95">
        <f t="shared" si="203"/>
        <v>0</v>
      </c>
      <c r="O95">
        <f t="shared" si="203"/>
        <v>0</v>
      </c>
      <c r="P95">
        <f t="shared" si="203"/>
        <v>0</v>
      </c>
      <c r="Q95">
        <f t="shared" ref="Q95:U95" si="204">Q45/Q$52</f>
        <v>0</v>
      </c>
      <c r="R95">
        <f t="shared" si="204"/>
        <v>0</v>
      </c>
      <c r="S95">
        <f t="shared" si="204"/>
        <v>0</v>
      </c>
      <c r="T95">
        <f t="shared" si="204"/>
        <v>0</v>
      </c>
      <c r="U95">
        <f t="shared" si="204"/>
        <v>0</v>
      </c>
      <c r="V95">
        <f t="shared" ref="V95:AA95" si="205">V45/V$52</f>
        <v>0</v>
      </c>
      <c r="W95">
        <f t="shared" si="205"/>
        <v>0</v>
      </c>
      <c r="X95">
        <f t="shared" si="205"/>
        <v>0</v>
      </c>
      <c r="Y95">
        <f t="shared" si="205"/>
        <v>0</v>
      </c>
      <c r="Z95">
        <f t="shared" si="205"/>
        <v>0</v>
      </c>
      <c r="AA95">
        <f t="shared" si="205"/>
        <v>0</v>
      </c>
    </row>
    <row r="96" spans="1:27" x14ac:dyDescent="0.55000000000000004">
      <c r="A96" t="s">
        <v>192</v>
      </c>
      <c r="B96" t="s">
        <v>160</v>
      </c>
      <c r="C96">
        <f t="shared" si="5"/>
        <v>0.11934750816631501</v>
      </c>
      <c r="D96">
        <f t="shared" si="5"/>
        <v>7.6916955168771159E-2</v>
      </c>
      <c r="E96">
        <f t="shared" ref="E96:H96" si="206">E46/E$52</f>
        <v>8.7837094111172256E-2</v>
      </c>
      <c r="F96">
        <f t="shared" si="206"/>
        <v>0.10848020346085711</v>
      </c>
      <c r="G96">
        <f t="shared" si="206"/>
        <v>0.12300217753985077</v>
      </c>
      <c r="H96">
        <f t="shared" si="206"/>
        <v>9.4423019597742033E-2</v>
      </c>
      <c r="I96">
        <f t="shared" ref="I96:L96" si="207">I46/I$52</f>
        <v>9.3305416748271128E-2</v>
      </c>
      <c r="J96">
        <f t="shared" si="207"/>
        <v>0.14599294293423395</v>
      </c>
      <c r="K96">
        <f t="shared" si="207"/>
        <v>0.14072405001775148</v>
      </c>
      <c r="L96">
        <f t="shared" si="207"/>
        <v>0.11193014676483036</v>
      </c>
      <c r="M96">
        <f t="shared" ref="M96:P96" si="208">M46/M$52</f>
        <v>7.3946705556684311E-2</v>
      </c>
      <c r="N96">
        <f t="shared" si="208"/>
        <v>8.9262473358559843E-2</v>
      </c>
      <c r="O96">
        <f t="shared" si="208"/>
        <v>0.11337655821524109</v>
      </c>
      <c r="P96">
        <f t="shared" si="208"/>
        <v>0.10848020346085711</v>
      </c>
      <c r="Q96">
        <f t="shared" ref="Q96:U96" si="209">Q46/Q$52</f>
        <v>0.10197413629018946</v>
      </c>
      <c r="R96">
        <f t="shared" si="209"/>
        <v>0.14409868187320499</v>
      </c>
      <c r="S96">
        <f t="shared" si="209"/>
        <v>9.4085864089796467E-2</v>
      </c>
      <c r="T96">
        <f t="shared" si="209"/>
        <v>0.16710729344385908</v>
      </c>
      <c r="U96">
        <f t="shared" si="209"/>
        <v>0.13452520808269902</v>
      </c>
      <c r="V96">
        <f t="shared" ref="V96:AA96" si="210">V46/V$52</f>
        <v>9.9196449187758384E-2</v>
      </c>
      <c r="W96">
        <f t="shared" si="210"/>
        <v>0.26681894989766081</v>
      </c>
      <c r="X96">
        <f t="shared" si="210"/>
        <v>0.12794491638601413</v>
      </c>
      <c r="Y96">
        <f t="shared" si="210"/>
        <v>0.16333874391028397</v>
      </c>
      <c r="Z96">
        <f t="shared" si="210"/>
        <v>0.13397301441046586</v>
      </c>
      <c r="AA96">
        <f t="shared" si="210"/>
        <v>5.3088302499185752E-2</v>
      </c>
    </row>
    <row r="97" spans="1:27" x14ac:dyDescent="0.55000000000000004">
      <c r="A97" t="s">
        <v>288</v>
      </c>
      <c r="B97" t="s">
        <v>161</v>
      </c>
      <c r="C97">
        <f t="shared" si="5"/>
        <v>0</v>
      </c>
      <c r="D97">
        <f t="shared" si="5"/>
        <v>0</v>
      </c>
      <c r="E97">
        <f t="shared" ref="E97:H97" si="211">E47/E$52</f>
        <v>0</v>
      </c>
      <c r="F97">
        <f t="shared" si="211"/>
        <v>0</v>
      </c>
      <c r="G97">
        <f t="shared" si="211"/>
        <v>0</v>
      </c>
      <c r="H97">
        <f t="shared" si="211"/>
        <v>0</v>
      </c>
      <c r="I97">
        <f t="shared" ref="I97:L97" si="212">I47/I$52</f>
        <v>0</v>
      </c>
      <c r="J97">
        <f t="shared" si="212"/>
        <v>0</v>
      </c>
      <c r="K97">
        <f t="shared" si="212"/>
        <v>0</v>
      </c>
      <c r="L97">
        <f t="shared" si="212"/>
        <v>0</v>
      </c>
      <c r="M97">
        <f t="shared" ref="M97:P97" si="213">M47/M$52</f>
        <v>0</v>
      </c>
      <c r="N97">
        <f t="shared" si="213"/>
        <v>0</v>
      </c>
      <c r="O97">
        <f t="shared" si="213"/>
        <v>0</v>
      </c>
      <c r="P97">
        <f t="shared" si="213"/>
        <v>0</v>
      </c>
      <c r="Q97">
        <f t="shared" ref="Q97:U97" si="214">Q47/Q$52</f>
        <v>0</v>
      </c>
      <c r="R97">
        <f t="shared" si="214"/>
        <v>0</v>
      </c>
      <c r="S97">
        <f t="shared" si="214"/>
        <v>0</v>
      </c>
      <c r="T97">
        <f t="shared" si="214"/>
        <v>0</v>
      </c>
      <c r="U97">
        <f t="shared" si="214"/>
        <v>0</v>
      </c>
      <c r="V97">
        <f t="shared" ref="V97:AA97" si="215">V47/V$52</f>
        <v>0</v>
      </c>
      <c r="W97">
        <f t="shared" si="215"/>
        <v>0</v>
      </c>
      <c r="X97">
        <f t="shared" si="215"/>
        <v>0</v>
      </c>
      <c r="Y97">
        <f t="shared" si="215"/>
        <v>0</v>
      </c>
      <c r="Z97">
        <f t="shared" si="215"/>
        <v>0</v>
      </c>
      <c r="AA97">
        <f t="shared" si="215"/>
        <v>0</v>
      </c>
    </row>
    <row r="98" spans="1:27" x14ac:dyDescent="0.55000000000000004">
      <c r="A98" t="s">
        <v>193</v>
      </c>
      <c r="B98" t="s">
        <v>162</v>
      </c>
      <c r="C98">
        <f t="shared" si="5"/>
        <v>3.120596265955229E-3</v>
      </c>
      <c r="D98">
        <f t="shared" si="5"/>
        <v>2.9905776059833324E-3</v>
      </c>
      <c r="E98">
        <f t="shared" ref="E98:H98" si="216">E48/E$52</f>
        <v>3.7699504678040726E-3</v>
      </c>
      <c r="F98">
        <f t="shared" si="216"/>
        <v>7.5477409578457357E-4</v>
      </c>
      <c r="G98">
        <f t="shared" si="216"/>
        <v>5.2594465978712231E-3</v>
      </c>
      <c r="H98">
        <f t="shared" si="216"/>
        <v>2.8252528838560893E-3</v>
      </c>
      <c r="I98">
        <f t="shared" ref="I98:L98" si="217">I48/I$52</f>
        <v>1.535838356786212E-3</v>
      </c>
      <c r="J98">
        <f t="shared" si="217"/>
        <v>2.5569338040976161E-3</v>
      </c>
      <c r="K98">
        <f t="shared" si="217"/>
        <v>1.3304442635520664E-4</v>
      </c>
      <c r="L98">
        <f t="shared" si="217"/>
        <v>2.5004001580026473E-3</v>
      </c>
      <c r="M98">
        <f t="shared" ref="M98:P98" si="218">M48/M$52</f>
        <v>2.8093248662158427E-3</v>
      </c>
      <c r="N98">
        <f t="shared" si="218"/>
        <v>3.9855921586811538E-3</v>
      </c>
      <c r="O98">
        <f t="shared" si="218"/>
        <v>3.1532381393466024E-3</v>
      </c>
      <c r="P98">
        <f t="shared" si="218"/>
        <v>7.5477409578457357E-4</v>
      </c>
      <c r="Q98">
        <f t="shared" ref="Q98:U98" si="219">Q48/Q$52</f>
        <v>4.9255823308992825E-4</v>
      </c>
      <c r="R98">
        <f t="shared" si="219"/>
        <v>7.0088369581187467E-3</v>
      </c>
      <c r="S98">
        <f t="shared" si="219"/>
        <v>2.8268393403932685E-3</v>
      </c>
      <c r="T98">
        <f t="shared" si="219"/>
        <v>2.4471437672721266E-3</v>
      </c>
      <c r="U98">
        <f t="shared" si="219"/>
        <v>6.5847886817201129E-3</v>
      </c>
      <c r="V98">
        <f t="shared" ref="V98:AA98" si="220">V48/V$52</f>
        <v>5.509617151514175E-3</v>
      </c>
      <c r="W98">
        <f t="shared" si="220"/>
        <v>2.55109536E-3</v>
      </c>
      <c r="X98">
        <f t="shared" si="220"/>
        <v>5.7972970123170776E-4</v>
      </c>
      <c r="Y98">
        <f t="shared" si="220"/>
        <v>0</v>
      </c>
      <c r="Z98">
        <f t="shared" si="220"/>
        <v>1.7266478392183933E-4</v>
      </c>
      <c r="AA98">
        <f t="shared" si="220"/>
        <v>3.4154865475545667E-4</v>
      </c>
    </row>
    <row r="99" spans="1:27" x14ac:dyDescent="0.55000000000000004">
      <c r="A99" t="s">
        <v>194</v>
      </c>
      <c r="B99" t="s">
        <v>163</v>
      </c>
      <c r="C99">
        <f t="shared" si="5"/>
        <v>3.5312423539601818E-5</v>
      </c>
      <c r="D99">
        <f t="shared" si="5"/>
        <v>3.9298944613300708E-5</v>
      </c>
      <c r="E99">
        <f t="shared" ref="E99:H99" si="221">E49/E$52</f>
        <v>1.651073197578426E-4</v>
      </c>
      <c r="F99">
        <f t="shared" si="221"/>
        <v>0</v>
      </c>
      <c r="G99">
        <f t="shared" si="221"/>
        <v>1.1667534826515888E-5</v>
      </c>
      <c r="H99">
        <f t="shared" si="221"/>
        <v>0</v>
      </c>
      <c r="I99">
        <f t="shared" ref="I99:L99" si="222">I49/I$52</f>
        <v>5.8688930676389739E-5</v>
      </c>
      <c r="J99">
        <f t="shared" si="222"/>
        <v>0</v>
      </c>
      <c r="K99">
        <f t="shared" si="222"/>
        <v>0</v>
      </c>
      <c r="L99">
        <f t="shared" si="222"/>
        <v>6.7100834227862372E-5</v>
      </c>
      <c r="M99">
        <f t="shared" ref="M99:P99" si="223">M49/M$52</f>
        <v>0</v>
      </c>
      <c r="N99">
        <f t="shared" si="223"/>
        <v>1.8603508938561404E-4</v>
      </c>
      <c r="O99">
        <f t="shared" si="223"/>
        <v>7.0461808895833658E-5</v>
      </c>
      <c r="P99">
        <f t="shared" si="223"/>
        <v>0</v>
      </c>
      <c r="Q99">
        <f t="shared" ref="Q99:U99" si="224">Q49/Q$52</f>
        <v>0</v>
      </c>
      <c r="R99">
        <f t="shared" si="224"/>
        <v>0</v>
      </c>
      <c r="S99">
        <f t="shared" si="224"/>
        <v>0</v>
      </c>
      <c r="T99">
        <f t="shared" si="224"/>
        <v>0</v>
      </c>
      <c r="U99">
        <f t="shared" si="224"/>
        <v>0</v>
      </c>
      <c r="V99">
        <f t="shared" ref="V99:AA99" si="225">V49/V$52</f>
        <v>0</v>
      </c>
      <c r="W99">
        <f t="shared" si="225"/>
        <v>0</v>
      </c>
      <c r="X99">
        <f t="shared" si="225"/>
        <v>0</v>
      </c>
      <c r="Y99">
        <f t="shared" si="225"/>
        <v>0</v>
      </c>
      <c r="Z99">
        <f t="shared" si="225"/>
        <v>0</v>
      </c>
      <c r="AA99">
        <f t="shared" si="225"/>
        <v>0</v>
      </c>
    </row>
    <row r="100" spans="1:27" x14ac:dyDescent="0.55000000000000004">
      <c r="A100" t="s">
        <v>195</v>
      </c>
      <c r="B100" t="s">
        <v>164</v>
      </c>
      <c r="C100">
        <f t="shared" si="5"/>
        <v>2.7023325955324439E-4</v>
      </c>
      <c r="D100">
        <f t="shared" si="5"/>
        <v>3.4495422823393622E-4</v>
      </c>
      <c r="E100">
        <f t="shared" ref="E100:H100" si="226">E50/E$52</f>
        <v>6.6042927903137041E-4</v>
      </c>
      <c r="F100">
        <f t="shared" si="226"/>
        <v>0</v>
      </c>
      <c r="G100">
        <f t="shared" si="226"/>
        <v>1.3530109597191032E-4</v>
      </c>
      <c r="H100">
        <f t="shared" si="226"/>
        <v>0</v>
      </c>
      <c r="I100">
        <f t="shared" ref="I100:L100" si="227">I50/I$52</f>
        <v>2.1889775066094591E-4</v>
      </c>
      <c r="J100">
        <f t="shared" si="227"/>
        <v>0</v>
      </c>
      <c r="K100">
        <f t="shared" si="227"/>
        <v>0</v>
      </c>
      <c r="L100">
        <f t="shared" si="227"/>
        <v>1.3306099328580117E-3</v>
      </c>
      <c r="M100">
        <f t="shared" ref="M100:P100" si="228">M50/M$52</f>
        <v>2.593758882511784E-4</v>
      </c>
      <c r="N100">
        <f t="shared" si="228"/>
        <v>6.9387296959052289E-4</v>
      </c>
      <c r="O100">
        <f t="shared" si="228"/>
        <v>7.4762871093875716E-4</v>
      </c>
      <c r="P100">
        <f t="shared" si="228"/>
        <v>0</v>
      </c>
      <c r="Q100">
        <f t="shared" ref="Q100:U100" si="229">Q50/Q$52</f>
        <v>0</v>
      </c>
      <c r="R100">
        <f t="shared" si="229"/>
        <v>0</v>
      </c>
      <c r="S100">
        <f t="shared" si="229"/>
        <v>0</v>
      </c>
      <c r="T100">
        <f t="shared" si="229"/>
        <v>0</v>
      </c>
      <c r="U100">
        <f t="shared" si="229"/>
        <v>0</v>
      </c>
      <c r="V100">
        <f t="shared" ref="V100:AA100" si="230">V50/V$52</f>
        <v>1.7996985030028808E-3</v>
      </c>
      <c r="W100">
        <f t="shared" si="230"/>
        <v>0</v>
      </c>
      <c r="X100">
        <f t="shared" si="230"/>
        <v>1.9908283346601868E-3</v>
      </c>
      <c r="Y100">
        <f t="shared" si="230"/>
        <v>0</v>
      </c>
      <c r="Z100">
        <f t="shared" si="230"/>
        <v>0</v>
      </c>
      <c r="AA100">
        <f t="shared" si="230"/>
        <v>3.8089408358998807E-4</v>
      </c>
    </row>
    <row r="101" spans="1:27" x14ac:dyDescent="0.55000000000000004">
      <c r="B101" s="2" t="s">
        <v>117</v>
      </c>
      <c r="C101" s="2">
        <f t="shared" si="5"/>
        <v>1.9605073553516166</v>
      </c>
      <c r="D101" s="2">
        <f t="shared" si="5"/>
        <v>1.4740421513501105</v>
      </c>
      <c r="E101" s="2">
        <f t="shared" ref="E101:H101" si="231">E51/E$52</f>
        <v>1.6117776554760594</v>
      </c>
      <c r="F101" s="2">
        <f t="shared" si="231"/>
        <v>2.0036897847964457</v>
      </c>
      <c r="G101" s="2">
        <f t="shared" si="231"/>
        <v>2.0423223316712082</v>
      </c>
      <c r="H101" s="2">
        <f t="shared" si="231"/>
        <v>1.8655139056265679</v>
      </c>
      <c r="I101" s="2">
        <f t="shared" ref="I101:L101" si="232">I51/I$52</f>
        <v>1.7254699303118892</v>
      </c>
      <c r="J101" s="2">
        <f t="shared" si="232"/>
        <v>2.1298286737175074</v>
      </c>
      <c r="K101" s="2">
        <f t="shared" si="232"/>
        <v>2.1371880451010967</v>
      </c>
      <c r="L101" s="2">
        <f t="shared" si="232"/>
        <v>2.0075392517157087</v>
      </c>
      <c r="M101" s="2">
        <f t="shared" ref="M101:P101" si="233">M51/M$52</f>
        <v>1.4370037536948299</v>
      </c>
      <c r="N101" s="2">
        <f t="shared" si="233"/>
        <v>1.6311340864169803</v>
      </c>
      <c r="O101" s="2">
        <f t="shared" si="233"/>
        <v>2.2253839744523414</v>
      </c>
      <c r="P101" s="2">
        <f t="shared" si="233"/>
        <v>2.0036897847964457</v>
      </c>
      <c r="Q101" s="2">
        <f t="shared" ref="Q101:U101" si="234">Q51/Q$52</f>
        <v>1.8738407249963462</v>
      </c>
      <c r="R101" s="2">
        <f t="shared" si="234"/>
        <v>1.6957618397531087</v>
      </c>
      <c r="S101" s="2">
        <f t="shared" si="234"/>
        <v>1.992206269188606</v>
      </c>
      <c r="T101" s="2">
        <f t="shared" si="234"/>
        <v>2.1858096256780168</v>
      </c>
      <c r="U101" s="2">
        <f t="shared" si="234"/>
        <v>2.0369747698873093</v>
      </c>
      <c r="V101" s="2">
        <f t="shared" ref="V101:AA101" si="235">V51/V$52</f>
        <v>2.179387837478266</v>
      </c>
      <c r="W101" s="2">
        <f t="shared" si="235"/>
        <v>3.3921166686453184</v>
      </c>
      <c r="X101" s="2">
        <f t="shared" si="235"/>
        <v>2.3955975195560266</v>
      </c>
      <c r="Y101" s="2">
        <f t="shared" si="235"/>
        <v>3.2057494836986082</v>
      </c>
      <c r="Z101" s="2">
        <f t="shared" si="235"/>
        <v>1.8182438909986165</v>
      </c>
      <c r="AA101" s="2">
        <f t="shared" si="235"/>
        <v>1.3377802554428901</v>
      </c>
    </row>
    <row r="102" spans="1:27" x14ac:dyDescent="0.55000000000000004">
      <c r="A102" s="2" t="s">
        <v>201</v>
      </c>
    </row>
    <row r="103" spans="1:27" x14ac:dyDescent="0.55000000000000004">
      <c r="A103" t="s">
        <v>165</v>
      </c>
      <c r="B103" t="s">
        <v>119</v>
      </c>
      <c r="C103">
        <f>C5/C$53</f>
        <v>0.18034070757917769</v>
      </c>
      <c r="D103">
        <f>D5/D$53</f>
        <v>0.23085182339532329</v>
      </c>
      <c r="E103">
        <f>E5/E$53</f>
        <v>0.23096434923826462</v>
      </c>
      <c r="F103">
        <f t="shared" ref="F103:H103" si="236">F5/F$53</f>
        <v>9.4297524246219636E-2</v>
      </c>
      <c r="G103">
        <f t="shared" si="236"/>
        <v>0.15334797955902854</v>
      </c>
      <c r="H103">
        <f t="shared" si="236"/>
        <v>0.22837904339567283</v>
      </c>
      <c r="I103">
        <f t="shared" ref="I103:L103" si="237">I5/I$53</f>
        <v>0.23983528928144759</v>
      </c>
      <c r="J103">
        <f t="shared" si="237"/>
        <v>0.1536274633350784</v>
      </c>
      <c r="K103">
        <f t="shared" si="237"/>
        <v>0.55556584327906466</v>
      </c>
      <c r="L103">
        <f t="shared" si="237"/>
        <v>0.2562239245577882</v>
      </c>
      <c r="M103">
        <f t="shared" ref="M103:P103" si="238">M5/M$53</f>
        <v>0.23121075241120362</v>
      </c>
      <c r="N103">
        <f t="shared" si="238"/>
        <v>0.23222646839077235</v>
      </c>
      <c r="O103">
        <f t="shared" si="238"/>
        <v>0.25372593200320276</v>
      </c>
      <c r="P103">
        <f t="shared" si="238"/>
        <v>9.4297524246219636E-2</v>
      </c>
      <c r="Q103">
        <f t="shared" ref="Q103:U103" si="239">Q5/Q$53</f>
        <v>0.25044892617734954</v>
      </c>
      <c r="R103">
        <f t="shared" si="239"/>
        <v>0.19776134647031737</v>
      </c>
      <c r="S103">
        <f t="shared" si="239"/>
        <v>0.2348380712389774</v>
      </c>
      <c r="T103">
        <f t="shared" si="239"/>
        <v>0.13330823808235384</v>
      </c>
      <c r="U103">
        <f t="shared" si="239"/>
        <v>0.1442525834187085</v>
      </c>
      <c r="V103">
        <f t="shared" ref="V103:AA103" si="240">V5/V$53</f>
        <v>0.16219503616843173</v>
      </c>
      <c r="W103">
        <f t="shared" si="240"/>
        <v>0.22502839809646299</v>
      </c>
      <c r="X103">
        <f t="shared" si="240"/>
        <v>0.31404080079321794</v>
      </c>
      <c r="Y103">
        <f t="shared" si="240"/>
        <v>0.69930987331896177</v>
      </c>
      <c r="Z103">
        <f t="shared" si="240"/>
        <v>0.50684590251394024</v>
      </c>
      <c r="AA103">
        <f t="shared" si="240"/>
        <v>0.19724320917404894</v>
      </c>
    </row>
    <row r="104" spans="1:27" x14ac:dyDescent="0.55000000000000004">
      <c r="A104" t="s">
        <v>166</v>
      </c>
      <c r="B104" t="s">
        <v>120</v>
      </c>
      <c r="C104">
        <f t="shared" ref="C104:D149" si="241">C6/C$53</f>
        <v>1.799397448530268E-4</v>
      </c>
      <c r="D104">
        <f t="shared" si="241"/>
        <v>1.9095109514794906E-4</v>
      </c>
      <c r="E104">
        <f t="shared" ref="E104:H104" si="242">E6/E$53</f>
        <v>5.6453483875957004E-4</v>
      </c>
      <c r="F104">
        <f t="shared" si="242"/>
        <v>0</v>
      </c>
      <c r="G104">
        <f t="shared" si="242"/>
        <v>0</v>
      </c>
      <c r="H104">
        <f t="shared" si="242"/>
        <v>4.6694614784893799E-4</v>
      </c>
      <c r="I104">
        <f t="shared" ref="I104:L104" si="243">I6/I$53</f>
        <v>6.0680365835546926E-4</v>
      </c>
      <c r="J104">
        <f t="shared" si="243"/>
        <v>0</v>
      </c>
      <c r="K104">
        <f t="shared" si="243"/>
        <v>0</v>
      </c>
      <c r="L104">
        <f t="shared" si="243"/>
        <v>9.5549915832624909E-4</v>
      </c>
      <c r="M104">
        <f t="shared" ref="M104:P104" si="244">M6/M$53</f>
        <v>0</v>
      </c>
      <c r="N104">
        <f t="shared" si="244"/>
        <v>3.6413779284263307E-4</v>
      </c>
      <c r="O104">
        <f t="shared" si="244"/>
        <v>0</v>
      </c>
      <c r="P104">
        <f t="shared" si="244"/>
        <v>0</v>
      </c>
      <c r="Q104">
        <f t="shared" ref="Q104:U104" si="245">Q6/Q$53</f>
        <v>0</v>
      </c>
      <c r="R104">
        <f t="shared" si="245"/>
        <v>0</v>
      </c>
      <c r="S104">
        <f t="shared" si="245"/>
        <v>0</v>
      </c>
      <c r="T104">
        <f t="shared" si="245"/>
        <v>0</v>
      </c>
      <c r="U104">
        <f t="shared" si="245"/>
        <v>0</v>
      </c>
      <c r="V104">
        <f t="shared" ref="V104:AA104" si="246">V6/V$53</f>
        <v>1.5255619901221465E-4</v>
      </c>
      <c r="W104">
        <f t="shared" si="246"/>
        <v>0</v>
      </c>
      <c r="X104">
        <f t="shared" si="246"/>
        <v>0</v>
      </c>
      <c r="Y104">
        <f t="shared" si="246"/>
        <v>0</v>
      </c>
      <c r="Z104">
        <f t="shared" si="246"/>
        <v>0</v>
      </c>
      <c r="AA104">
        <f t="shared" si="246"/>
        <v>0</v>
      </c>
    </row>
    <row r="105" spans="1:27" x14ac:dyDescent="0.55000000000000004">
      <c r="A105" t="s">
        <v>167</v>
      </c>
      <c r="B105" t="s">
        <v>121</v>
      </c>
      <c r="C105">
        <f t="shared" si="241"/>
        <v>1.6342958087150753E-2</v>
      </c>
      <c r="D105">
        <f t="shared" si="241"/>
        <v>3.7217911064354688E-2</v>
      </c>
      <c r="E105">
        <f t="shared" ref="E105:H105" si="247">E7/E$53</f>
        <v>2.9773412729100612E-2</v>
      </c>
      <c r="F105">
        <f t="shared" si="247"/>
        <v>3.1549455642355577E-3</v>
      </c>
      <c r="G105">
        <f t="shared" si="247"/>
        <v>1.8323672113683739E-2</v>
      </c>
      <c r="H105">
        <f t="shared" si="247"/>
        <v>2.016052098472973E-2</v>
      </c>
      <c r="I105">
        <f t="shared" ref="I105:L105" si="248">I7/I$53</f>
        <v>4.1236408791639229E-2</v>
      </c>
      <c r="J105">
        <f t="shared" si="248"/>
        <v>7.1564427319089708E-3</v>
      </c>
      <c r="K105">
        <f t="shared" si="248"/>
        <v>1.9906574170117657E-3</v>
      </c>
      <c r="L105">
        <f t="shared" si="248"/>
        <v>3.2953708776509924E-2</v>
      </c>
      <c r="M105">
        <f t="shared" ref="M105:P105" si="249">M7/M$53</f>
        <v>3.9066052652466425E-2</v>
      </c>
      <c r="N105">
        <f t="shared" si="249"/>
        <v>2.7500096145160489E-2</v>
      </c>
      <c r="O105">
        <f t="shared" si="249"/>
        <v>4.6040849357603518E-2</v>
      </c>
      <c r="P105">
        <f t="shared" si="249"/>
        <v>3.1549455642355577E-3</v>
      </c>
      <c r="Q105">
        <f t="shared" ref="Q105:U105" si="250">Q7/Q$53</f>
        <v>4.2301383060073028E-2</v>
      </c>
      <c r="R105">
        <f t="shared" si="250"/>
        <v>4.9491199546168804E-3</v>
      </c>
      <c r="S105">
        <f t="shared" si="250"/>
        <v>1.4944084720724098E-2</v>
      </c>
      <c r="T105">
        <f t="shared" si="250"/>
        <v>5.2079429503833728E-3</v>
      </c>
      <c r="U105">
        <f t="shared" si="250"/>
        <v>4.2765735051651516E-3</v>
      </c>
      <c r="V105">
        <f t="shared" ref="V105:AA105" si="251">V7/V$53</f>
        <v>1.9329985604441446E-2</v>
      </c>
      <c r="W105">
        <f t="shared" si="251"/>
        <v>2.6411148553054662E-3</v>
      </c>
      <c r="X105">
        <f t="shared" si="251"/>
        <v>4.8637812575616335E-2</v>
      </c>
      <c r="Y105">
        <f t="shared" si="251"/>
        <v>6.1422079424650478E-4</v>
      </c>
      <c r="Z105">
        <f t="shared" si="251"/>
        <v>2.4582873456900772E-3</v>
      </c>
      <c r="AA105">
        <f t="shared" si="251"/>
        <v>2.5172571044219445E-2</v>
      </c>
    </row>
    <row r="106" spans="1:27" x14ac:dyDescent="0.55000000000000004">
      <c r="A106" t="s">
        <v>168</v>
      </c>
      <c r="B106" t="s">
        <v>122</v>
      </c>
      <c r="C106">
        <f t="shared" si="241"/>
        <v>0</v>
      </c>
      <c r="D106">
        <f t="shared" si="241"/>
        <v>0</v>
      </c>
      <c r="E106">
        <f t="shared" ref="E106:H106" si="252">E8/E$53</f>
        <v>0</v>
      </c>
      <c r="F106">
        <f t="shared" si="252"/>
        <v>0</v>
      </c>
      <c r="G106">
        <f t="shared" si="252"/>
        <v>0</v>
      </c>
      <c r="H106">
        <f t="shared" si="252"/>
        <v>0</v>
      </c>
      <c r="I106">
        <f t="shared" ref="I106:L106" si="253">I8/I$53</f>
        <v>0</v>
      </c>
      <c r="J106">
        <f t="shared" si="253"/>
        <v>0</v>
      </c>
      <c r="K106">
        <f t="shared" si="253"/>
        <v>0</v>
      </c>
      <c r="L106">
        <f t="shared" si="253"/>
        <v>0</v>
      </c>
      <c r="M106">
        <f t="shared" ref="M106:P106" si="254">M8/M$53</f>
        <v>0</v>
      </c>
      <c r="N106">
        <f t="shared" si="254"/>
        <v>0</v>
      </c>
      <c r="O106">
        <f t="shared" si="254"/>
        <v>0</v>
      </c>
      <c r="P106">
        <f t="shared" si="254"/>
        <v>0</v>
      </c>
      <c r="Q106">
        <f t="shared" ref="Q106:U106" si="255">Q8/Q$53</f>
        <v>0</v>
      </c>
      <c r="R106">
        <f t="shared" si="255"/>
        <v>0</v>
      </c>
      <c r="S106">
        <f t="shared" si="255"/>
        <v>0</v>
      </c>
      <c r="T106">
        <f t="shared" si="255"/>
        <v>0</v>
      </c>
      <c r="U106">
        <f t="shared" si="255"/>
        <v>0</v>
      </c>
      <c r="V106">
        <f t="shared" ref="V106:AA106" si="256">V8/V$53</f>
        <v>0</v>
      </c>
      <c r="W106">
        <f t="shared" si="256"/>
        <v>0</v>
      </c>
      <c r="X106">
        <f t="shared" si="256"/>
        <v>0</v>
      </c>
      <c r="Y106">
        <f t="shared" si="256"/>
        <v>0</v>
      </c>
      <c r="Z106">
        <f t="shared" si="256"/>
        <v>0</v>
      </c>
      <c r="AA106">
        <f t="shared" si="256"/>
        <v>0</v>
      </c>
    </row>
    <row r="107" spans="1:27" x14ac:dyDescent="0.55000000000000004">
      <c r="A107" t="s">
        <v>169</v>
      </c>
      <c r="B107" t="s">
        <v>123</v>
      </c>
      <c r="C107">
        <f t="shared" si="241"/>
        <v>6.1115382389906651E-4</v>
      </c>
      <c r="D107">
        <f t="shared" si="241"/>
        <v>1.4720748011899884E-3</v>
      </c>
      <c r="E107">
        <f t="shared" ref="E107:H107" si="257">E9/E$53</f>
        <v>1.0285360760962029E-3</v>
      </c>
      <c r="F107">
        <f t="shared" si="257"/>
        <v>1.1292519158511475E-3</v>
      </c>
      <c r="G107">
        <f t="shared" si="257"/>
        <v>2.3001730674488885E-4</v>
      </c>
      <c r="H107">
        <f t="shared" si="257"/>
        <v>1.0461718397671515E-3</v>
      </c>
      <c r="I107">
        <f t="shared" ref="I107:L107" si="258">I9/I$53</f>
        <v>9.3346149298944366E-4</v>
      </c>
      <c r="J107">
        <f t="shared" si="258"/>
        <v>2.2552562632128427E-4</v>
      </c>
      <c r="K107">
        <f t="shared" si="258"/>
        <v>0</v>
      </c>
      <c r="L107">
        <f t="shared" si="258"/>
        <v>2.246939572288022E-3</v>
      </c>
      <c r="M107">
        <f t="shared" ref="M107:P107" si="259">M9/M$53</f>
        <v>1.6196511699802486E-3</v>
      </c>
      <c r="N107">
        <f t="shared" si="259"/>
        <v>1.0150290539760872E-3</v>
      </c>
      <c r="O107">
        <f t="shared" si="259"/>
        <v>1.9788215701751813E-3</v>
      </c>
      <c r="P107">
        <f t="shared" si="259"/>
        <v>1.1292519158511475E-3</v>
      </c>
      <c r="Q107">
        <f t="shared" ref="Q107:U107" si="260">Q9/Q$53</f>
        <v>8.1055154155787186E-4</v>
      </c>
      <c r="R107">
        <f t="shared" si="260"/>
        <v>0</v>
      </c>
      <c r="S107">
        <f t="shared" si="260"/>
        <v>1.1268923361078011E-3</v>
      </c>
      <c r="T107">
        <f t="shared" si="260"/>
        <v>0</v>
      </c>
      <c r="U107">
        <f t="shared" si="260"/>
        <v>0</v>
      </c>
      <c r="V107">
        <f t="shared" ref="V107:AA107" si="261">V9/V$53</f>
        <v>1.3105797845265432E-3</v>
      </c>
      <c r="W107">
        <f t="shared" si="261"/>
        <v>0</v>
      </c>
      <c r="X107">
        <f t="shared" si="261"/>
        <v>3.9873208626871864E-3</v>
      </c>
      <c r="Y107">
        <f t="shared" si="261"/>
        <v>0</v>
      </c>
      <c r="Z107">
        <f t="shared" si="261"/>
        <v>0</v>
      </c>
      <c r="AA107">
        <f t="shared" si="261"/>
        <v>1.7957413420908108E-3</v>
      </c>
    </row>
    <row r="108" spans="1:27" x14ac:dyDescent="0.55000000000000004">
      <c r="A108" t="s">
        <v>276</v>
      </c>
      <c r="B108" t="s">
        <v>124</v>
      </c>
      <c r="C108">
        <f t="shared" si="241"/>
        <v>8.2293606477359019E-8</v>
      </c>
      <c r="D108">
        <f t="shared" si="241"/>
        <v>1.2961595733324811E-7</v>
      </c>
      <c r="E108">
        <f t="shared" ref="E108:H108" si="262">E10/E$53</f>
        <v>0</v>
      </c>
      <c r="F108">
        <f t="shared" si="262"/>
        <v>0</v>
      </c>
      <c r="G108">
        <f t="shared" si="262"/>
        <v>0</v>
      </c>
      <c r="H108">
        <f t="shared" si="262"/>
        <v>5.7728724472695127E-7</v>
      </c>
      <c r="I108">
        <f t="shared" ref="I108:L108" si="263">I10/I$53</f>
        <v>6.0188867713707462E-7</v>
      </c>
      <c r="J108">
        <f t="shared" si="263"/>
        <v>0</v>
      </c>
      <c r="K108">
        <f t="shared" si="263"/>
        <v>0</v>
      </c>
      <c r="L108">
        <f t="shared" si="263"/>
        <v>0</v>
      </c>
      <c r="M108">
        <f t="shared" ref="M108:P108" si="264">M10/M$53</f>
        <v>0</v>
      </c>
      <c r="N108">
        <f t="shared" si="264"/>
        <v>0</v>
      </c>
      <c r="O108">
        <f t="shared" si="264"/>
        <v>0</v>
      </c>
      <c r="P108">
        <f t="shared" si="264"/>
        <v>0</v>
      </c>
      <c r="Q108">
        <f t="shared" ref="Q108:U108" si="265">Q10/Q$53</f>
        <v>0</v>
      </c>
      <c r="R108">
        <f t="shared" si="265"/>
        <v>0</v>
      </c>
      <c r="S108">
        <f t="shared" si="265"/>
        <v>0</v>
      </c>
      <c r="T108">
        <f t="shared" si="265"/>
        <v>0</v>
      </c>
      <c r="U108">
        <f t="shared" si="265"/>
        <v>0</v>
      </c>
      <c r="V108">
        <f t="shared" ref="V108:AA108" si="266">V10/V$53</f>
        <v>0</v>
      </c>
      <c r="W108">
        <f t="shared" si="266"/>
        <v>0</v>
      </c>
      <c r="X108">
        <f t="shared" si="266"/>
        <v>0</v>
      </c>
      <c r="Y108">
        <f t="shared" si="266"/>
        <v>0</v>
      </c>
      <c r="Z108">
        <f t="shared" si="266"/>
        <v>0</v>
      </c>
      <c r="AA108">
        <f t="shared" si="266"/>
        <v>0</v>
      </c>
    </row>
    <row r="109" spans="1:27" x14ac:dyDescent="0.55000000000000004">
      <c r="A109" t="s">
        <v>280</v>
      </c>
      <c r="B109" t="s">
        <v>125</v>
      </c>
      <c r="C109">
        <f t="shared" si="241"/>
        <v>0</v>
      </c>
      <c r="D109">
        <f t="shared" si="241"/>
        <v>0</v>
      </c>
      <c r="E109">
        <f t="shared" ref="E109:H109" si="267">E11/E$53</f>
        <v>0</v>
      </c>
      <c r="F109">
        <f t="shared" si="267"/>
        <v>0</v>
      </c>
      <c r="G109">
        <f t="shared" si="267"/>
        <v>0</v>
      </c>
      <c r="H109">
        <f t="shared" si="267"/>
        <v>0</v>
      </c>
      <c r="I109">
        <f t="shared" ref="I109:L109" si="268">I11/I$53</f>
        <v>0</v>
      </c>
      <c r="J109">
        <f t="shared" si="268"/>
        <v>0</v>
      </c>
      <c r="K109">
        <f t="shared" si="268"/>
        <v>0</v>
      </c>
      <c r="L109">
        <f t="shared" si="268"/>
        <v>0</v>
      </c>
      <c r="M109">
        <f t="shared" ref="M109:P109" si="269">M11/M$53</f>
        <v>0</v>
      </c>
      <c r="N109">
        <f t="shared" si="269"/>
        <v>0</v>
      </c>
      <c r="O109">
        <f t="shared" si="269"/>
        <v>0</v>
      </c>
      <c r="P109">
        <f t="shared" si="269"/>
        <v>0</v>
      </c>
      <c r="Q109">
        <f t="shared" ref="Q109:U109" si="270">Q11/Q$53</f>
        <v>0</v>
      </c>
      <c r="R109">
        <f t="shared" si="270"/>
        <v>0</v>
      </c>
      <c r="S109">
        <f t="shared" si="270"/>
        <v>0</v>
      </c>
      <c r="T109">
        <f t="shared" si="270"/>
        <v>0</v>
      </c>
      <c r="U109">
        <f t="shared" si="270"/>
        <v>0</v>
      </c>
      <c r="V109">
        <f t="shared" ref="V109:AA109" si="271">V11/V$53</f>
        <v>0</v>
      </c>
      <c r="W109">
        <f t="shared" si="271"/>
        <v>0</v>
      </c>
      <c r="X109">
        <f t="shared" si="271"/>
        <v>0</v>
      </c>
      <c r="Y109">
        <f t="shared" si="271"/>
        <v>0</v>
      </c>
      <c r="Z109">
        <f t="shared" si="271"/>
        <v>0</v>
      </c>
      <c r="AA109">
        <f t="shared" si="271"/>
        <v>0</v>
      </c>
    </row>
    <row r="110" spans="1:27" x14ac:dyDescent="0.55000000000000004">
      <c r="A110" t="s">
        <v>281</v>
      </c>
      <c r="B110" t="s">
        <v>126</v>
      </c>
      <c r="C110">
        <f t="shared" si="241"/>
        <v>7.4264375653398081E-3</v>
      </c>
      <c r="D110">
        <f t="shared" si="241"/>
        <v>1.7313650013573559E-2</v>
      </c>
      <c r="E110">
        <f t="shared" ref="E110:H110" si="272">E12/E$53</f>
        <v>1.4994973319928854E-2</v>
      </c>
      <c r="F110">
        <f t="shared" si="272"/>
        <v>7.779317829621923E-4</v>
      </c>
      <c r="G110">
        <f t="shared" si="272"/>
        <v>8.6114917037748429E-3</v>
      </c>
      <c r="H110">
        <f t="shared" si="272"/>
        <v>8.6935681920315908E-3</v>
      </c>
      <c r="I110">
        <f t="shared" ref="I110:L110" si="273">I12/I$53</f>
        <v>2.3397916533737951E-2</v>
      </c>
      <c r="J110">
        <f t="shared" si="273"/>
        <v>2.6988956108968082E-3</v>
      </c>
      <c r="K110">
        <f t="shared" si="273"/>
        <v>3.0236325050955973E-3</v>
      </c>
      <c r="L110">
        <f t="shared" si="273"/>
        <v>1.3870827241918756E-2</v>
      </c>
      <c r="M110">
        <f t="shared" ref="M110:P110" si="274">M12/M$53</f>
        <v>1.7781978032554262E-2</v>
      </c>
      <c r="N110">
        <f t="shared" si="274"/>
        <v>1.3940369503466372E-2</v>
      </c>
      <c r="O110">
        <f t="shared" si="274"/>
        <v>1.4159456702725202E-2</v>
      </c>
      <c r="P110">
        <f t="shared" si="274"/>
        <v>7.779317829621923E-4</v>
      </c>
      <c r="Q110">
        <f t="shared" ref="Q110:U110" si="275">Q12/Q$53</f>
        <v>2.618778656161384E-2</v>
      </c>
      <c r="R110">
        <f t="shared" si="275"/>
        <v>2.1134826788021355E-3</v>
      </c>
      <c r="S110">
        <f t="shared" si="275"/>
        <v>6.0269758697860014E-3</v>
      </c>
      <c r="T110">
        <f t="shared" si="275"/>
        <v>1.866196359100322E-3</v>
      </c>
      <c r="U110">
        <f t="shared" si="275"/>
        <v>1.8388704367992496E-3</v>
      </c>
      <c r="V110">
        <f t="shared" ref="V110:AA110" si="276">V12/V$53</f>
        <v>4.5814686358465403E-3</v>
      </c>
      <c r="W110">
        <f t="shared" si="276"/>
        <v>5.8490855305466237E-4</v>
      </c>
      <c r="X110">
        <f t="shared" si="276"/>
        <v>1.7964564769668619E-2</v>
      </c>
      <c r="Y110">
        <f t="shared" si="276"/>
        <v>1.4415567571435981E-3</v>
      </c>
      <c r="Z110">
        <f t="shared" si="276"/>
        <v>3.5613642726541736E-3</v>
      </c>
      <c r="AA110">
        <f t="shared" si="276"/>
        <v>1.2420112931023632E-2</v>
      </c>
    </row>
    <row r="111" spans="1:27" x14ac:dyDescent="0.55000000000000004">
      <c r="A111" t="s">
        <v>170</v>
      </c>
      <c r="B111" t="s">
        <v>127</v>
      </c>
      <c r="C111">
        <f t="shared" si="241"/>
        <v>1.8600160315542625E-4</v>
      </c>
      <c r="D111">
        <f t="shared" si="241"/>
        <v>2.6194559279009991E-4</v>
      </c>
      <c r="E111">
        <f t="shared" ref="E111:H111" si="277">E13/E$53</f>
        <v>5.3360142293712789E-4</v>
      </c>
      <c r="F111">
        <f t="shared" si="277"/>
        <v>0</v>
      </c>
      <c r="G111">
        <f t="shared" si="277"/>
        <v>6.1059809080275974E-5</v>
      </c>
      <c r="H111">
        <f t="shared" si="277"/>
        <v>1.1666607464185714E-3</v>
      </c>
      <c r="I111">
        <f t="shared" ref="I111:L111" si="278">I13/I$53</f>
        <v>1.2163786741239309E-3</v>
      </c>
      <c r="J111">
        <f t="shared" si="278"/>
        <v>0</v>
      </c>
      <c r="K111">
        <f t="shared" si="278"/>
        <v>7.15364120666938E-7</v>
      </c>
      <c r="L111">
        <f t="shared" si="278"/>
        <v>6.6146395755774086E-5</v>
      </c>
      <c r="M111">
        <f t="shared" ref="M111:P111" si="279">M13/M$53</f>
        <v>0</v>
      </c>
      <c r="N111">
        <f t="shared" si="279"/>
        <v>0</v>
      </c>
      <c r="O111">
        <f t="shared" si="279"/>
        <v>0</v>
      </c>
      <c r="P111">
        <f t="shared" si="279"/>
        <v>0</v>
      </c>
      <c r="Q111">
        <f t="shared" ref="Q111:U111" si="280">Q13/Q$53</f>
        <v>0</v>
      </c>
      <c r="R111">
        <f t="shared" si="280"/>
        <v>0</v>
      </c>
      <c r="S111">
        <f t="shared" si="280"/>
        <v>0</v>
      </c>
      <c r="T111">
        <f t="shared" si="280"/>
        <v>0</v>
      </c>
      <c r="U111">
        <f t="shared" si="280"/>
        <v>0</v>
      </c>
      <c r="V111">
        <f t="shared" ref="V111:AA111" si="281">V13/V$53</f>
        <v>0</v>
      </c>
      <c r="W111">
        <f t="shared" si="281"/>
        <v>0</v>
      </c>
      <c r="X111">
        <f t="shared" si="281"/>
        <v>0</v>
      </c>
      <c r="Y111">
        <f t="shared" si="281"/>
        <v>0</v>
      </c>
      <c r="Z111">
        <f t="shared" si="281"/>
        <v>0</v>
      </c>
      <c r="AA111">
        <f t="shared" si="281"/>
        <v>0</v>
      </c>
    </row>
    <row r="112" spans="1:27" x14ac:dyDescent="0.55000000000000004">
      <c r="A112" t="s">
        <v>279</v>
      </c>
      <c r="B112" t="s">
        <v>128</v>
      </c>
      <c r="C112">
        <f t="shared" si="241"/>
        <v>0</v>
      </c>
      <c r="D112">
        <f t="shared" si="241"/>
        <v>0</v>
      </c>
      <c r="E112">
        <f t="shared" ref="E112:H112" si="282">E14/E$53</f>
        <v>0</v>
      </c>
      <c r="F112">
        <f t="shared" si="282"/>
        <v>0</v>
      </c>
      <c r="G112">
        <f t="shared" si="282"/>
        <v>0</v>
      </c>
      <c r="H112">
        <f t="shared" si="282"/>
        <v>0</v>
      </c>
      <c r="I112">
        <f t="shared" ref="I112:L112" si="283">I14/I$53</f>
        <v>0</v>
      </c>
      <c r="J112">
        <f t="shared" si="283"/>
        <v>0</v>
      </c>
      <c r="K112">
        <f t="shared" si="283"/>
        <v>0</v>
      </c>
      <c r="L112">
        <f t="shared" si="283"/>
        <v>0</v>
      </c>
      <c r="M112">
        <f t="shared" ref="M112:P112" si="284">M14/M$53</f>
        <v>0</v>
      </c>
      <c r="N112">
        <f t="shared" si="284"/>
        <v>0</v>
      </c>
      <c r="O112">
        <f t="shared" si="284"/>
        <v>0</v>
      </c>
      <c r="P112">
        <f t="shared" si="284"/>
        <v>0</v>
      </c>
      <c r="Q112">
        <f t="shared" ref="Q112:U112" si="285">Q14/Q$53</f>
        <v>0</v>
      </c>
      <c r="R112">
        <f t="shared" si="285"/>
        <v>0</v>
      </c>
      <c r="S112">
        <f t="shared" si="285"/>
        <v>0</v>
      </c>
      <c r="T112">
        <f t="shared" si="285"/>
        <v>0</v>
      </c>
      <c r="U112">
        <f t="shared" si="285"/>
        <v>0</v>
      </c>
      <c r="V112">
        <f t="shared" ref="V112:AA112" si="286">V14/V$53</f>
        <v>0</v>
      </c>
      <c r="W112">
        <f t="shared" si="286"/>
        <v>0</v>
      </c>
      <c r="X112">
        <f t="shared" si="286"/>
        <v>0</v>
      </c>
      <c r="Y112">
        <f t="shared" si="286"/>
        <v>0</v>
      </c>
      <c r="Z112">
        <f t="shared" si="286"/>
        <v>0</v>
      </c>
      <c r="AA112">
        <f t="shared" si="286"/>
        <v>0</v>
      </c>
    </row>
    <row r="113" spans="1:27" x14ac:dyDescent="0.55000000000000004">
      <c r="A113" t="s">
        <v>171</v>
      </c>
      <c r="B113" t="s">
        <v>129</v>
      </c>
      <c r="C113">
        <f t="shared" si="241"/>
        <v>0</v>
      </c>
      <c r="D113">
        <f t="shared" si="241"/>
        <v>0</v>
      </c>
      <c r="E113">
        <f t="shared" ref="E113:H113" si="287">E15/E$53</f>
        <v>0</v>
      </c>
      <c r="F113">
        <f t="shared" si="287"/>
        <v>0</v>
      </c>
      <c r="G113">
        <f t="shared" si="287"/>
        <v>0</v>
      </c>
      <c r="H113">
        <f t="shared" si="287"/>
        <v>0</v>
      </c>
      <c r="I113">
        <f t="shared" ref="I113:L113" si="288">I15/I$53</f>
        <v>0</v>
      </c>
      <c r="J113">
        <f t="shared" si="288"/>
        <v>0</v>
      </c>
      <c r="K113">
        <f t="shared" si="288"/>
        <v>0</v>
      </c>
      <c r="L113">
        <f t="shared" si="288"/>
        <v>0</v>
      </c>
      <c r="M113">
        <f t="shared" ref="M113:P113" si="289">M15/M$53</f>
        <v>0</v>
      </c>
      <c r="N113">
        <f t="shared" si="289"/>
        <v>0</v>
      </c>
      <c r="O113">
        <f t="shared" si="289"/>
        <v>0</v>
      </c>
      <c r="P113">
        <f t="shared" si="289"/>
        <v>0</v>
      </c>
      <c r="Q113">
        <f t="shared" ref="Q113:U113" si="290">Q15/Q$53</f>
        <v>0</v>
      </c>
      <c r="R113">
        <f t="shared" si="290"/>
        <v>0</v>
      </c>
      <c r="S113">
        <f t="shared" si="290"/>
        <v>0</v>
      </c>
      <c r="T113">
        <f t="shared" si="290"/>
        <v>0</v>
      </c>
      <c r="U113">
        <f t="shared" si="290"/>
        <v>0</v>
      </c>
      <c r="V113">
        <f t="shared" ref="V113:AA113" si="291">V15/V$53</f>
        <v>0</v>
      </c>
      <c r="W113">
        <f t="shared" si="291"/>
        <v>0</v>
      </c>
      <c r="X113">
        <f t="shared" si="291"/>
        <v>0</v>
      </c>
      <c r="Y113">
        <f t="shared" si="291"/>
        <v>0</v>
      </c>
      <c r="Z113">
        <f t="shared" si="291"/>
        <v>0</v>
      </c>
      <c r="AA113">
        <f t="shared" si="291"/>
        <v>0</v>
      </c>
    </row>
    <row r="114" spans="1:27" x14ac:dyDescent="0.55000000000000004">
      <c r="A114" t="s">
        <v>278</v>
      </c>
      <c r="B114" t="s">
        <v>130</v>
      </c>
      <c r="C114">
        <f t="shared" si="241"/>
        <v>2.2203388940410636E-2</v>
      </c>
      <c r="D114">
        <f t="shared" si="241"/>
        <v>3.736012226052117E-2</v>
      </c>
      <c r="E114">
        <f t="shared" ref="E114:H114" si="292">E16/E$53</f>
        <v>3.1490217307246153E-2</v>
      </c>
      <c r="F114">
        <f t="shared" si="292"/>
        <v>7.6105419576708304E-4</v>
      </c>
      <c r="G114">
        <f t="shared" si="292"/>
        <v>2.1523968327843677E-2</v>
      </c>
      <c r="H114">
        <f t="shared" si="292"/>
        <v>3.3183092230086177E-2</v>
      </c>
      <c r="I114">
        <f t="shared" ref="I114:L114" si="293">I16/I$53</f>
        <v>3.941374702176427E-2</v>
      </c>
      <c r="J114">
        <f t="shared" si="293"/>
        <v>1.5237493265825089E-2</v>
      </c>
      <c r="K114">
        <f t="shared" si="293"/>
        <v>5.025020202364712E-2</v>
      </c>
      <c r="L114">
        <f t="shared" si="293"/>
        <v>3.7466732486597251E-2</v>
      </c>
      <c r="M114">
        <f t="shared" ref="M114:P114" si="294">M16/M$53</f>
        <v>3.9576535354397042E-2</v>
      </c>
      <c r="N114">
        <f t="shared" si="294"/>
        <v>3.2077412906640471E-2</v>
      </c>
      <c r="O114">
        <f t="shared" si="294"/>
        <v>2.6956187321125997E-2</v>
      </c>
      <c r="P114">
        <f t="shared" si="294"/>
        <v>7.6105419576708304E-4</v>
      </c>
      <c r="Q114">
        <f t="shared" ref="Q114:U114" si="295">Q16/Q$53</f>
        <v>4.7161012295161911E-2</v>
      </c>
      <c r="R114">
        <f t="shared" si="295"/>
        <v>2.8919996239657769E-2</v>
      </c>
      <c r="S114">
        <f t="shared" si="295"/>
        <v>3.5375922838332442E-2</v>
      </c>
      <c r="T114">
        <f t="shared" si="295"/>
        <v>1.0198776067646666E-2</v>
      </c>
      <c r="U114">
        <f t="shared" si="295"/>
        <v>1.9461065033754166E-2</v>
      </c>
      <c r="V114">
        <f t="shared" ref="V114:AA114" si="296">V16/V$53</f>
        <v>2.2549971399335872E-2</v>
      </c>
      <c r="W114">
        <f t="shared" si="296"/>
        <v>1.174163344051447E-2</v>
      </c>
      <c r="X114">
        <f t="shared" si="296"/>
        <v>5.2415302890078591E-2</v>
      </c>
      <c r="Y114">
        <f t="shared" si="296"/>
        <v>6.7035780279986343E-2</v>
      </c>
      <c r="Z114">
        <f t="shared" si="296"/>
        <v>4.4571601203920418E-2</v>
      </c>
      <c r="AA114">
        <f t="shared" si="296"/>
        <v>3.503571209941491E-2</v>
      </c>
    </row>
    <row r="115" spans="1:27" x14ac:dyDescent="0.55000000000000004">
      <c r="A115" t="s">
        <v>172</v>
      </c>
      <c r="B115" t="s">
        <v>131</v>
      </c>
      <c r="C115">
        <f t="shared" si="241"/>
        <v>1.4306479337653677E-3</v>
      </c>
      <c r="D115">
        <f t="shared" si="241"/>
        <v>1.2680806755341867E-3</v>
      </c>
      <c r="E115">
        <f t="shared" ref="E115:H115" si="297">E17/E$53</f>
        <v>4.918413115768309E-3</v>
      </c>
      <c r="F115">
        <f t="shared" si="297"/>
        <v>0</v>
      </c>
      <c r="G115">
        <f t="shared" si="297"/>
        <v>1.8404798121617718E-3</v>
      </c>
      <c r="H115">
        <f t="shared" si="297"/>
        <v>9.9056352567997814E-4</v>
      </c>
      <c r="I115">
        <f t="shared" ref="I115:L115" si="298">I17/I$53</f>
        <v>2.1171057163590803E-3</v>
      </c>
      <c r="J115">
        <f t="shared" si="298"/>
        <v>5.519516996113199E-4</v>
      </c>
      <c r="K115">
        <f t="shared" si="298"/>
        <v>0</v>
      </c>
      <c r="L115">
        <f t="shared" si="298"/>
        <v>2.3273623315431574E-3</v>
      </c>
      <c r="M115">
        <f t="shared" ref="M115:P115" si="299">M17/M$53</f>
        <v>0</v>
      </c>
      <c r="N115">
        <f t="shared" si="299"/>
        <v>4.9063706956785965E-3</v>
      </c>
      <c r="O115">
        <f t="shared" si="299"/>
        <v>6.4873714986719922E-3</v>
      </c>
      <c r="P115">
        <f t="shared" si="299"/>
        <v>0</v>
      </c>
      <c r="Q115">
        <f t="shared" ref="Q115:U115" si="300">Q17/Q$53</f>
        <v>0</v>
      </c>
      <c r="R115">
        <f t="shared" si="300"/>
        <v>5.4676541592888856E-3</v>
      </c>
      <c r="S115">
        <f t="shared" si="300"/>
        <v>0</v>
      </c>
      <c r="T115">
        <f t="shared" si="300"/>
        <v>6.9005226556568091E-4</v>
      </c>
      <c r="U115">
        <f t="shared" si="300"/>
        <v>1.4000353035937938E-3</v>
      </c>
      <c r="V115">
        <f t="shared" ref="V115:AA115" si="301">V17/V$53</f>
        <v>1.415184345108463E-3</v>
      </c>
      <c r="W115">
        <f t="shared" si="301"/>
        <v>1.6935048231511254E-3</v>
      </c>
      <c r="X115">
        <f t="shared" si="301"/>
        <v>0</v>
      </c>
      <c r="Y115">
        <f t="shared" si="301"/>
        <v>0</v>
      </c>
      <c r="Z115">
        <f t="shared" si="301"/>
        <v>0</v>
      </c>
      <c r="AA115">
        <f t="shared" si="301"/>
        <v>1.5365153042314948E-3</v>
      </c>
    </row>
    <row r="116" spans="1:27" x14ac:dyDescent="0.55000000000000004">
      <c r="A116" t="s">
        <v>173</v>
      </c>
      <c r="B116" t="s">
        <v>132</v>
      </c>
      <c r="C116">
        <f t="shared" si="241"/>
        <v>0</v>
      </c>
      <c r="D116">
        <f t="shared" si="241"/>
        <v>0</v>
      </c>
      <c r="E116">
        <f t="shared" ref="E116:H116" si="302">E18/E$53</f>
        <v>0</v>
      </c>
      <c r="F116">
        <f t="shared" si="302"/>
        <v>0</v>
      </c>
      <c r="G116">
        <f t="shared" si="302"/>
        <v>0</v>
      </c>
      <c r="H116">
        <f t="shared" si="302"/>
        <v>0</v>
      </c>
      <c r="I116">
        <f t="shared" ref="I116:L116" si="303">I18/I$53</f>
        <v>0</v>
      </c>
      <c r="J116">
        <f t="shared" si="303"/>
        <v>0</v>
      </c>
      <c r="K116">
        <f t="shared" si="303"/>
        <v>0</v>
      </c>
      <c r="L116">
        <f t="shared" si="303"/>
        <v>0</v>
      </c>
      <c r="M116">
        <f t="shared" ref="M116:P116" si="304">M18/M$53</f>
        <v>0</v>
      </c>
      <c r="N116">
        <f t="shared" si="304"/>
        <v>0</v>
      </c>
      <c r="O116">
        <f t="shared" si="304"/>
        <v>0</v>
      </c>
      <c r="P116">
        <f t="shared" si="304"/>
        <v>0</v>
      </c>
      <c r="Q116">
        <f t="shared" ref="Q116:U116" si="305">Q18/Q$53</f>
        <v>0</v>
      </c>
      <c r="R116">
        <f t="shared" si="305"/>
        <v>0</v>
      </c>
      <c r="S116">
        <f t="shared" si="305"/>
        <v>0</v>
      </c>
      <c r="T116">
        <f t="shared" si="305"/>
        <v>0</v>
      </c>
      <c r="U116">
        <f t="shared" si="305"/>
        <v>0</v>
      </c>
      <c r="V116">
        <f t="shared" ref="V116:AA116" si="306">V18/V$53</f>
        <v>0</v>
      </c>
      <c r="W116">
        <f t="shared" si="306"/>
        <v>0</v>
      </c>
      <c r="X116">
        <f t="shared" si="306"/>
        <v>0</v>
      </c>
      <c r="Y116">
        <f t="shared" si="306"/>
        <v>0</v>
      </c>
      <c r="Z116">
        <f t="shared" si="306"/>
        <v>0</v>
      </c>
      <c r="AA116">
        <f t="shared" si="306"/>
        <v>0</v>
      </c>
    </row>
    <row r="117" spans="1:27" x14ac:dyDescent="0.55000000000000004">
      <c r="A117" t="s">
        <v>174</v>
      </c>
      <c r="B117" t="s">
        <v>133</v>
      </c>
      <c r="C117">
        <f t="shared" si="241"/>
        <v>2.0766475844942942E-3</v>
      </c>
      <c r="D117">
        <f t="shared" si="241"/>
        <v>1.8563763781471688E-3</v>
      </c>
      <c r="E117">
        <f t="shared" ref="E117:H117" si="307">E19/E$53</f>
        <v>7.5245533988090637E-3</v>
      </c>
      <c r="F117">
        <f t="shared" si="307"/>
        <v>0</v>
      </c>
      <c r="G117">
        <f t="shared" si="307"/>
        <v>2.0931785588347899E-3</v>
      </c>
      <c r="H117">
        <f t="shared" si="307"/>
        <v>6.997555681272522E-4</v>
      </c>
      <c r="I117">
        <f t="shared" ref="I117:L117" si="308">I19/I$53</f>
        <v>2.5860980673208375E-3</v>
      </c>
      <c r="J117">
        <f t="shared" si="308"/>
        <v>7.5696233089552454E-4</v>
      </c>
      <c r="K117">
        <f t="shared" si="308"/>
        <v>1.8232311970375437E-2</v>
      </c>
      <c r="L117">
        <f t="shared" si="308"/>
        <v>2.8891967372606238E-3</v>
      </c>
      <c r="M117">
        <f t="shared" ref="M117:P117" si="309">M19/M$53</f>
        <v>0</v>
      </c>
      <c r="N117">
        <f t="shared" si="309"/>
        <v>7.8501931130857683E-3</v>
      </c>
      <c r="O117">
        <f t="shared" si="309"/>
        <v>5.1898971989375936E-3</v>
      </c>
      <c r="P117">
        <f t="shared" si="309"/>
        <v>0</v>
      </c>
      <c r="Q117">
        <f t="shared" ref="Q117:U117" si="310">Q19/Q$53</f>
        <v>0</v>
      </c>
      <c r="R117">
        <f t="shared" si="310"/>
        <v>7.4984971327390435E-3</v>
      </c>
      <c r="S117">
        <f t="shared" si="310"/>
        <v>0</v>
      </c>
      <c r="T117">
        <f t="shared" si="310"/>
        <v>9.4635739277579105E-4</v>
      </c>
      <c r="U117">
        <f t="shared" si="310"/>
        <v>1.9200484163572032E-3</v>
      </c>
      <c r="V117">
        <f t="shared" ref="V117:AA117" si="311">V19/V$53</f>
        <v>2.1059526478257409E-3</v>
      </c>
      <c r="W117">
        <f t="shared" si="311"/>
        <v>2.3225209003215437E-3</v>
      </c>
      <c r="X117">
        <f t="shared" si="311"/>
        <v>0</v>
      </c>
      <c r="Y117">
        <f t="shared" si="311"/>
        <v>0</v>
      </c>
      <c r="Z117">
        <f t="shared" si="311"/>
        <v>2.4423915472904106E-2</v>
      </c>
      <c r="AA117">
        <f t="shared" si="311"/>
        <v>0</v>
      </c>
    </row>
    <row r="118" spans="1:27" x14ac:dyDescent="0.55000000000000004">
      <c r="A118" t="s">
        <v>277</v>
      </c>
      <c r="B118" t="s">
        <v>134</v>
      </c>
      <c r="C118">
        <f t="shared" si="241"/>
        <v>1.2772751800409323E-2</v>
      </c>
      <c r="D118">
        <f t="shared" si="241"/>
        <v>4.782858196106482E-2</v>
      </c>
      <c r="E118">
        <f t="shared" ref="E118:H118" si="312">E20/E$53</f>
        <v>3.4119557652153736E-2</v>
      </c>
      <c r="F118">
        <f t="shared" si="312"/>
        <v>0</v>
      </c>
      <c r="G118">
        <f t="shared" si="312"/>
        <v>6.8914782390687105E-3</v>
      </c>
      <c r="H118">
        <f t="shared" si="312"/>
        <v>4.0454191921698605E-3</v>
      </c>
      <c r="I118">
        <f t="shared" ref="I118:L118" si="313">I20/I$53</f>
        <v>4.4299264050682671E-2</v>
      </c>
      <c r="J118">
        <f t="shared" si="313"/>
        <v>3.8252943890101487E-3</v>
      </c>
      <c r="K118">
        <f t="shared" si="313"/>
        <v>1.1000125903358401E-2</v>
      </c>
      <c r="L118">
        <f t="shared" si="313"/>
        <v>4.2488686276315163E-2</v>
      </c>
      <c r="M118">
        <f t="shared" ref="M118:P118" si="314">M20/M$53</f>
        <v>5.2631886366686378E-2</v>
      </c>
      <c r="N118">
        <f t="shared" si="314"/>
        <v>3.4324715040336184E-2</v>
      </c>
      <c r="O118">
        <f t="shared" si="314"/>
        <v>1.3957450421943362E-2</v>
      </c>
      <c r="P118">
        <f t="shared" si="314"/>
        <v>0</v>
      </c>
      <c r="Q118">
        <f t="shared" ref="Q118:U118" si="315">Q20/Q$53</f>
        <v>5.2458007886277289E-2</v>
      </c>
      <c r="R118">
        <f t="shared" si="315"/>
        <v>1.5655427250386188E-3</v>
      </c>
      <c r="S118">
        <f t="shared" si="315"/>
        <v>1.4873856085728637E-3</v>
      </c>
      <c r="T118">
        <f t="shared" si="315"/>
        <v>4.4102486992431203E-3</v>
      </c>
      <c r="U118">
        <f t="shared" si="315"/>
        <v>5.7410955670270042E-3</v>
      </c>
      <c r="V118">
        <f t="shared" ref="V118:AA118" si="316">V20/V$53</f>
        <v>2.1681686070969534E-2</v>
      </c>
      <c r="W118">
        <f t="shared" si="316"/>
        <v>4.6034469453376204E-3</v>
      </c>
      <c r="X118">
        <f t="shared" si="316"/>
        <v>6.541123015751836E-2</v>
      </c>
      <c r="Y118">
        <f t="shared" si="316"/>
        <v>1.5756327179583255E-2</v>
      </c>
      <c r="Z118">
        <f t="shared" si="316"/>
        <v>9.3900435507799345E-3</v>
      </c>
      <c r="AA118">
        <f t="shared" si="316"/>
        <v>4.4443292805147569E-2</v>
      </c>
    </row>
    <row r="119" spans="1:27" x14ac:dyDescent="0.55000000000000004">
      <c r="A119" t="s">
        <v>282</v>
      </c>
      <c r="B119" t="s">
        <v>135</v>
      </c>
      <c r="C119">
        <f t="shared" si="241"/>
        <v>3.7866392464849402E-3</v>
      </c>
      <c r="D119">
        <f t="shared" si="241"/>
        <v>2.5488789293323603E-3</v>
      </c>
      <c r="E119">
        <f t="shared" ref="E119:H119" si="317">E21/E$53</f>
        <v>3.6269430051813472E-3</v>
      </c>
      <c r="F119">
        <f t="shared" si="317"/>
        <v>1.3521195275295252E-3</v>
      </c>
      <c r="G119">
        <f t="shared" si="317"/>
        <v>2.8285055219521064E-3</v>
      </c>
      <c r="H119">
        <f t="shared" si="317"/>
        <v>3.1860321495957864E-3</v>
      </c>
      <c r="I119">
        <f t="shared" ref="I119:L119" si="318">I21/I$53</f>
        <v>7.6474507955553769E-3</v>
      </c>
      <c r="J119">
        <f t="shared" si="318"/>
        <v>5.0399083861621388E-3</v>
      </c>
      <c r="K119">
        <f t="shared" si="318"/>
        <v>0</v>
      </c>
      <c r="L119">
        <f t="shared" si="318"/>
        <v>1.6852994410017968E-3</v>
      </c>
      <c r="M119">
        <f t="shared" ref="M119:P119" si="319">M21/M$53</f>
        <v>2.1990788715274372E-3</v>
      </c>
      <c r="N119">
        <f t="shared" si="319"/>
        <v>3.6997276333360033E-3</v>
      </c>
      <c r="O119">
        <f t="shared" si="319"/>
        <v>3.4543993079183132E-3</v>
      </c>
      <c r="P119">
        <f t="shared" si="319"/>
        <v>1.3521195275295252E-3</v>
      </c>
      <c r="Q119">
        <f t="shared" ref="Q119:U119" si="320">Q21/Q$53</f>
        <v>1.0847789062646862E-2</v>
      </c>
      <c r="R119">
        <f t="shared" si="320"/>
        <v>3.5916976054135991E-3</v>
      </c>
      <c r="S119">
        <f t="shared" si="320"/>
        <v>3.2776039826908584E-3</v>
      </c>
      <c r="T119">
        <f t="shared" si="320"/>
        <v>5.4808441341173009E-3</v>
      </c>
      <c r="U119">
        <f t="shared" si="320"/>
        <v>3.1276412693002566E-3</v>
      </c>
      <c r="V119">
        <f t="shared" ref="V119:AA119" si="321">V21/V$53</f>
        <v>2.2081936758043966E-3</v>
      </c>
      <c r="W119">
        <f t="shared" si="321"/>
        <v>3.0249159614147912E-4</v>
      </c>
      <c r="X119">
        <f t="shared" si="321"/>
        <v>0</v>
      </c>
      <c r="Y119">
        <f t="shared" si="321"/>
        <v>0</v>
      </c>
      <c r="Z119">
        <f t="shared" si="321"/>
        <v>0</v>
      </c>
      <c r="AA119">
        <f t="shared" si="321"/>
        <v>2.1334604521364409E-3</v>
      </c>
    </row>
    <row r="120" spans="1:27" x14ac:dyDescent="0.55000000000000004">
      <c r="A120" t="s">
        <v>175</v>
      </c>
      <c r="B120" t="s">
        <v>136</v>
      </c>
      <c r="C120">
        <f t="shared" si="241"/>
        <v>1.1997420596297862E-4</v>
      </c>
      <c r="D120">
        <f t="shared" si="241"/>
        <v>0</v>
      </c>
      <c r="E120">
        <f t="shared" ref="E120:H120" si="322">E22/E$53</f>
        <v>0</v>
      </c>
      <c r="F120">
        <f t="shared" si="322"/>
        <v>0</v>
      </c>
      <c r="G120">
        <f t="shared" si="322"/>
        <v>3.6420887863068587E-4</v>
      </c>
      <c r="H120">
        <f t="shared" si="322"/>
        <v>0</v>
      </c>
      <c r="I120">
        <f t="shared" ref="I120:L120" si="323">I22/I$53</f>
        <v>0</v>
      </c>
      <c r="J120">
        <f t="shared" si="323"/>
        <v>0</v>
      </c>
      <c r="K120">
        <f t="shared" si="323"/>
        <v>2.8182103104438519E-3</v>
      </c>
      <c r="L120">
        <f t="shared" si="323"/>
        <v>0</v>
      </c>
      <c r="M120">
        <f t="shared" ref="M120:P120" si="324">M22/M$53</f>
        <v>0</v>
      </c>
      <c r="N120">
        <f t="shared" si="324"/>
        <v>0</v>
      </c>
      <c r="O120">
        <f t="shared" si="324"/>
        <v>3.1332615588054295E-3</v>
      </c>
      <c r="P120">
        <f t="shared" si="324"/>
        <v>0</v>
      </c>
      <c r="Q120">
        <f t="shared" ref="Q120:U120" si="325">Q22/Q$53</f>
        <v>0</v>
      </c>
      <c r="R120">
        <f t="shared" si="325"/>
        <v>0</v>
      </c>
      <c r="S120">
        <f t="shared" si="325"/>
        <v>0</v>
      </c>
      <c r="T120">
        <f t="shared" si="325"/>
        <v>0</v>
      </c>
      <c r="U120">
        <f t="shared" si="325"/>
        <v>0</v>
      </c>
      <c r="V120">
        <f t="shared" ref="V120:AA120" si="326">V22/V$53</f>
        <v>0</v>
      </c>
      <c r="W120">
        <f t="shared" si="326"/>
        <v>0</v>
      </c>
      <c r="X120">
        <f t="shared" si="326"/>
        <v>0</v>
      </c>
      <c r="Y120">
        <f t="shared" si="326"/>
        <v>6.3297701380152002E-3</v>
      </c>
      <c r="Z120">
        <f t="shared" si="326"/>
        <v>1.6277507618398881E-3</v>
      </c>
      <c r="AA120">
        <f t="shared" si="326"/>
        <v>0</v>
      </c>
    </row>
    <row r="121" spans="1:27" x14ac:dyDescent="0.55000000000000004">
      <c r="A121" t="s">
        <v>283</v>
      </c>
      <c r="B121" t="s">
        <v>137</v>
      </c>
      <c r="C121">
        <f t="shared" si="241"/>
        <v>0</v>
      </c>
      <c r="D121">
        <f t="shared" si="241"/>
        <v>0</v>
      </c>
      <c r="E121">
        <f t="shared" ref="E121:H121" si="327">E23/E$53</f>
        <v>0</v>
      </c>
      <c r="F121">
        <f t="shared" si="327"/>
        <v>0</v>
      </c>
      <c r="G121">
        <f t="shared" si="327"/>
        <v>0</v>
      </c>
      <c r="H121">
        <f t="shared" si="327"/>
        <v>0</v>
      </c>
      <c r="I121">
        <f t="shared" ref="I121:L121" si="328">I23/I$53</f>
        <v>0</v>
      </c>
      <c r="J121">
        <f t="shared" si="328"/>
        <v>0</v>
      </c>
      <c r="K121">
        <f t="shared" si="328"/>
        <v>0</v>
      </c>
      <c r="L121">
        <f t="shared" si="328"/>
        <v>0</v>
      </c>
      <c r="M121">
        <f t="shared" ref="M121:P121" si="329">M23/M$53</f>
        <v>0</v>
      </c>
      <c r="N121">
        <f t="shared" si="329"/>
        <v>0</v>
      </c>
      <c r="O121">
        <f t="shared" si="329"/>
        <v>0</v>
      </c>
      <c r="P121">
        <f t="shared" si="329"/>
        <v>0</v>
      </c>
      <c r="Q121">
        <f t="shared" ref="Q121:U121" si="330">Q23/Q$53</f>
        <v>0</v>
      </c>
      <c r="R121">
        <f t="shared" si="330"/>
        <v>0</v>
      </c>
      <c r="S121">
        <f t="shared" si="330"/>
        <v>0</v>
      </c>
      <c r="T121">
        <f t="shared" si="330"/>
        <v>0</v>
      </c>
      <c r="U121">
        <f t="shared" si="330"/>
        <v>0</v>
      </c>
      <c r="V121">
        <f t="shared" ref="V121:AA121" si="331">V23/V$53</f>
        <v>0</v>
      </c>
      <c r="W121">
        <f t="shared" si="331"/>
        <v>0</v>
      </c>
      <c r="X121">
        <f t="shared" si="331"/>
        <v>0</v>
      </c>
      <c r="Y121">
        <f t="shared" si="331"/>
        <v>0</v>
      </c>
      <c r="Z121">
        <f t="shared" si="331"/>
        <v>0</v>
      </c>
      <c r="AA121">
        <f t="shared" si="331"/>
        <v>0</v>
      </c>
    </row>
    <row r="122" spans="1:27" x14ac:dyDescent="0.55000000000000004">
      <c r="A122" t="s">
        <v>176</v>
      </c>
      <c r="B122" t="s">
        <v>138</v>
      </c>
      <c r="C122">
        <f t="shared" si="241"/>
        <v>1.3159438502278519E-3</v>
      </c>
      <c r="D122">
        <f t="shared" si="241"/>
        <v>4.0012739289674373E-3</v>
      </c>
      <c r="E122">
        <f t="shared" ref="E122:H122" si="332">E24/E$53</f>
        <v>2.737607300286134E-3</v>
      </c>
      <c r="F122">
        <f t="shared" si="332"/>
        <v>6.5781416460084093E-4</v>
      </c>
      <c r="G122">
        <f t="shared" si="332"/>
        <v>1.3859811732892771E-3</v>
      </c>
      <c r="H122">
        <f t="shared" si="332"/>
        <v>9.4950871595976766E-4</v>
      </c>
      <c r="I122">
        <f t="shared" ref="I122:L122" si="333">I24/I$53</f>
        <v>2.9438825566760825E-3</v>
      </c>
      <c r="J122">
        <f t="shared" si="333"/>
        <v>6.7289646578981837E-4</v>
      </c>
      <c r="K122">
        <f t="shared" si="333"/>
        <v>0</v>
      </c>
      <c r="L122">
        <f t="shared" si="333"/>
        <v>2.1673831961688244E-3</v>
      </c>
      <c r="M122">
        <f t="shared" ref="M122:P122" si="334">M24/M$53</f>
        <v>4.4702146012492918E-3</v>
      </c>
      <c r="N122">
        <f t="shared" si="334"/>
        <v>2.8417542997338156E-3</v>
      </c>
      <c r="O122">
        <f t="shared" si="334"/>
        <v>3.2999448351037465E-3</v>
      </c>
      <c r="P122">
        <f t="shared" si="334"/>
        <v>6.5781416460084093E-4</v>
      </c>
      <c r="Q122">
        <f t="shared" ref="Q122:U122" si="335">Q24/Q$53</f>
        <v>3.4268213001088883E-3</v>
      </c>
      <c r="R122">
        <f t="shared" si="335"/>
        <v>2.7070313721468059E-3</v>
      </c>
      <c r="S122">
        <f t="shared" si="335"/>
        <v>8.1277902107806759E-4</v>
      </c>
      <c r="T122">
        <f t="shared" si="335"/>
        <v>6.3789728005299697E-4</v>
      </c>
      <c r="U122">
        <f t="shared" si="335"/>
        <v>1.2748322008962621E-3</v>
      </c>
      <c r="V122">
        <f t="shared" ref="V122:AA122" si="336">V24/V$53</f>
        <v>1.5540255551380262E-3</v>
      </c>
      <c r="W122">
        <f t="shared" si="336"/>
        <v>1.0109530546623795E-4</v>
      </c>
      <c r="X122">
        <f t="shared" si="336"/>
        <v>1.9160809919698777E-3</v>
      </c>
      <c r="Y122">
        <f t="shared" si="336"/>
        <v>0</v>
      </c>
      <c r="Z122">
        <f t="shared" si="336"/>
        <v>0</v>
      </c>
      <c r="AA122">
        <f t="shared" si="336"/>
        <v>3.2001219514026136E-3</v>
      </c>
    </row>
    <row r="123" spans="1:27" x14ac:dyDescent="0.55000000000000004">
      <c r="A123" t="s">
        <v>177</v>
      </c>
      <c r="B123" t="s">
        <v>139</v>
      </c>
      <c r="C123">
        <f t="shared" si="241"/>
        <v>1.6298911962792949E-4</v>
      </c>
      <c r="D123">
        <f t="shared" si="241"/>
        <v>2.1926625700952675E-4</v>
      </c>
      <c r="E123">
        <f t="shared" ref="E123:H123" si="337">E25/E$53</f>
        <v>3.0160080426881139E-4</v>
      </c>
      <c r="F123">
        <f t="shared" si="337"/>
        <v>2.3560935034425256E-4</v>
      </c>
      <c r="G123">
        <f t="shared" si="337"/>
        <v>4.0678858862065051E-5</v>
      </c>
      <c r="H123">
        <f t="shared" si="337"/>
        <v>2.7712900382264146E-4</v>
      </c>
      <c r="I123">
        <f t="shared" ref="I123:L123" si="338">I25/I$53</f>
        <v>6.6006309617728566E-4</v>
      </c>
      <c r="J123">
        <f t="shared" si="338"/>
        <v>1.0813847385198821E-4</v>
      </c>
      <c r="K123">
        <f t="shared" si="338"/>
        <v>0</v>
      </c>
      <c r="L123">
        <f t="shared" si="338"/>
        <v>3.1975384819796568E-4</v>
      </c>
      <c r="M123">
        <f t="shared" ref="M123:P123" si="339">M25/M$53</f>
        <v>1.8550920991583384E-4</v>
      </c>
      <c r="N123">
        <f t="shared" si="339"/>
        <v>2.9220933993544636E-4</v>
      </c>
      <c r="O123">
        <f t="shared" si="339"/>
        <v>2.9559217784404197E-4</v>
      </c>
      <c r="P123">
        <f t="shared" si="339"/>
        <v>2.3560935034425256E-4</v>
      </c>
      <c r="Q123">
        <f t="shared" ref="Q123:U123" si="340">Q25/Q$53</f>
        <v>8.8020888504121138E-4</v>
      </c>
      <c r="R123">
        <f t="shared" si="340"/>
        <v>1.772919848513249E-5</v>
      </c>
      <c r="S123">
        <f t="shared" si="340"/>
        <v>2.7049492342411856E-4</v>
      </c>
      <c r="T123">
        <f t="shared" si="340"/>
        <v>6.7516228122803168E-5</v>
      </c>
      <c r="U123">
        <f t="shared" si="340"/>
        <v>8.1437804662692793E-6</v>
      </c>
      <c r="V123">
        <f t="shared" ref="V123:AA123" si="341">V25/V$53</f>
        <v>3.2519188871841083E-4</v>
      </c>
      <c r="W123">
        <f t="shared" si="341"/>
        <v>0</v>
      </c>
      <c r="X123">
        <f t="shared" si="341"/>
        <v>3.3428002150010688E-4</v>
      </c>
      <c r="Y123">
        <f t="shared" si="341"/>
        <v>0</v>
      </c>
      <c r="Z123">
        <f t="shared" si="341"/>
        <v>0</v>
      </c>
      <c r="AA123">
        <f t="shared" si="341"/>
        <v>1.3366066382030787E-3</v>
      </c>
    </row>
    <row r="124" spans="1:27" x14ac:dyDescent="0.55000000000000004">
      <c r="A124" t="s">
        <v>178</v>
      </c>
      <c r="B124" t="s">
        <v>140</v>
      </c>
      <c r="C124">
        <f t="shared" si="241"/>
        <v>1.8151167251819506E-3</v>
      </c>
      <c r="D124">
        <f t="shared" si="241"/>
        <v>2.7799360990396257E-3</v>
      </c>
      <c r="E124">
        <f t="shared" ref="E124:H124" si="342">E26/E$53</f>
        <v>2.7917407779754081E-3</v>
      </c>
      <c r="F124">
        <f t="shared" si="342"/>
        <v>5.1967891537704921E-4</v>
      </c>
      <c r="G124">
        <f t="shared" si="342"/>
        <v>1.5184998859131325E-3</v>
      </c>
      <c r="H124">
        <f t="shared" si="342"/>
        <v>1.7077266162002754E-3</v>
      </c>
      <c r="I124">
        <f t="shared" ref="I124:L124" si="343">I26/I$53</f>
        <v>2.6910011046779579E-3</v>
      </c>
      <c r="J124">
        <f t="shared" si="343"/>
        <v>1.500366225774908E-3</v>
      </c>
      <c r="K124">
        <f t="shared" si="343"/>
        <v>0</v>
      </c>
      <c r="L124">
        <f t="shared" si="343"/>
        <v>3.6850079636206027E-3</v>
      </c>
      <c r="M124">
        <f t="shared" ref="M124:P124" si="344">M26/M$53</f>
        <v>2.7795765567974777E-3</v>
      </c>
      <c r="N124">
        <f t="shared" si="344"/>
        <v>2.80751465554256E-3</v>
      </c>
      <c r="O124">
        <f t="shared" si="344"/>
        <v>2.8305747678371903E-3</v>
      </c>
      <c r="P124">
        <f t="shared" si="344"/>
        <v>5.1967891537704921E-4</v>
      </c>
      <c r="Q124">
        <f t="shared" ref="Q124:U124" si="345">Q26/Q$53</f>
        <v>2.6600857563750225E-3</v>
      </c>
      <c r="R124">
        <f t="shared" si="345"/>
        <v>1.275437006824929E-3</v>
      </c>
      <c r="S124">
        <f t="shared" si="345"/>
        <v>1.6714975018951063E-3</v>
      </c>
      <c r="T124">
        <f t="shared" si="345"/>
        <v>1.457548482661993E-3</v>
      </c>
      <c r="U124">
        <f t="shared" si="345"/>
        <v>1.4599577440924209E-3</v>
      </c>
      <c r="V124">
        <f t="shared" ref="V124:AA124" si="346">V26/V$53</f>
        <v>3.4130113886571248E-3</v>
      </c>
      <c r="W124">
        <f t="shared" si="346"/>
        <v>3.3178963138263663E-4</v>
      </c>
      <c r="X124">
        <f t="shared" si="346"/>
        <v>3.9104035125912652E-3</v>
      </c>
      <c r="Y124">
        <f t="shared" si="346"/>
        <v>0</v>
      </c>
      <c r="Z124">
        <f t="shared" si="346"/>
        <v>0</v>
      </c>
      <c r="AA124">
        <f t="shared" si="346"/>
        <v>6.3022366070595694E-3</v>
      </c>
    </row>
    <row r="125" spans="1:27" x14ac:dyDescent="0.55000000000000004">
      <c r="A125" t="s">
        <v>179</v>
      </c>
      <c r="B125" t="s">
        <v>141</v>
      </c>
      <c r="C125">
        <f t="shared" si="241"/>
        <v>3.0025558803318034E-4</v>
      </c>
      <c r="D125">
        <f t="shared" si="241"/>
        <v>0</v>
      </c>
      <c r="E125">
        <f t="shared" ref="E125:H125" si="347">E27/E$53</f>
        <v>0</v>
      </c>
      <c r="F125">
        <f t="shared" si="347"/>
        <v>0</v>
      </c>
      <c r="G125">
        <f t="shared" si="347"/>
        <v>1.1071121068675796E-4</v>
      </c>
      <c r="H125">
        <f t="shared" si="347"/>
        <v>1.492870060493711E-3</v>
      </c>
      <c r="I125">
        <f t="shared" ref="I125:L125" si="348">I27/I$53</f>
        <v>4.3302265768897525E-4</v>
      </c>
      <c r="J125">
        <f t="shared" si="348"/>
        <v>3.6635385075746402E-4</v>
      </c>
      <c r="K125">
        <f t="shared" si="348"/>
        <v>0</v>
      </c>
      <c r="L125">
        <f t="shared" si="348"/>
        <v>1.6370346739814096E-4</v>
      </c>
      <c r="M125">
        <f t="shared" ref="M125:P125" si="349">M27/M$53</f>
        <v>0</v>
      </c>
      <c r="N125">
        <f t="shared" si="349"/>
        <v>0</v>
      </c>
      <c r="O125">
        <f t="shared" si="349"/>
        <v>9.5244020924975157E-4</v>
      </c>
      <c r="P125">
        <f t="shared" si="349"/>
        <v>0</v>
      </c>
      <c r="Q125">
        <f t="shared" ref="Q125:U125" si="350">Q27/Q$53</f>
        <v>7.5239768492546576E-4</v>
      </c>
      <c r="R125">
        <f t="shared" si="350"/>
        <v>0</v>
      </c>
      <c r="S125">
        <f t="shared" si="350"/>
        <v>1.8305739948773388E-3</v>
      </c>
      <c r="T125">
        <f t="shared" si="350"/>
        <v>0</v>
      </c>
      <c r="U125">
        <f t="shared" si="350"/>
        <v>0</v>
      </c>
      <c r="V125">
        <f t="shared" ref="V125:AA125" si="351">V27/V$53</f>
        <v>8.5158561999013223E-4</v>
      </c>
      <c r="W125">
        <f t="shared" si="351"/>
        <v>0</v>
      </c>
      <c r="X125">
        <f t="shared" si="351"/>
        <v>0</v>
      </c>
      <c r="Y125">
        <f t="shared" si="351"/>
        <v>0</v>
      </c>
      <c r="Z125">
        <f t="shared" si="351"/>
        <v>0</v>
      </c>
      <c r="AA125">
        <f t="shared" si="351"/>
        <v>0</v>
      </c>
    </row>
    <row r="126" spans="1:27" x14ac:dyDescent="0.55000000000000004">
      <c r="A126" t="s">
        <v>180</v>
      </c>
      <c r="B126" t="s">
        <v>142</v>
      </c>
      <c r="C126">
        <f t="shared" si="241"/>
        <v>0</v>
      </c>
      <c r="D126">
        <f t="shared" si="241"/>
        <v>0</v>
      </c>
      <c r="E126">
        <f t="shared" ref="E126:H126" si="352">E28/E$53</f>
        <v>0</v>
      </c>
      <c r="F126">
        <f t="shared" si="352"/>
        <v>0</v>
      </c>
      <c r="G126">
        <f t="shared" si="352"/>
        <v>0</v>
      </c>
      <c r="H126">
        <f t="shared" si="352"/>
        <v>0</v>
      </c>
      <c r="I126">
        <f t="shared" ref="I126:L126" si="353">I28/I$53</f>
        <v>0</v>
      </c>
      <c r="J126">
        <f t="shared" si="353"/>
        <v>0</v>
      </c>
      <c r="K126">
        <f t="shared" si="353"/>
        <v>0</v>
      </c>
      <c r="L126">
        <f t="shared" si="353"/>
        <v>0</v>
      </c>
      <c r="M126">
        <f t="shared" ref="M126:P126" si="354">M28/M$53</f>
        <v>0</v>
      </c>
      <c r="N126">
        <f t="shared" si="354"/>
        <v>0</v>
      </c>
      <c r="O126">
        <f t="shared" si="354"/>
        <v>0</v>
      </c>
      <c r="P126">
        <f t="shared" si="354"/>
        <v>0</v>
      </c>
      <c r="Q126">
        <f t="shared" ref="Q126:U126" si="355">Q28/Q$53</f>
        <v>0</v>
      </c>
      <c r="R126">
        <f t="shared" si="355"/>
        <v>0</v>
      </c>
      <c r="S126">
        <f t="shared" si="355"/>
        <v>0</v>
      </c>
      <c r="T126">
        <f t="shared" si="355"/>
        <v>0</v>
      </c>
      <c r="U126">
        <f t="shared" si="355"/>
        <v>0</v>
      </c>
      <c r="V126">
        <f t="shared" ref="V126:AA126" si="356">V28/V$53</f>
        <v>0</v>
      </c>
      <c r="W126">
        <f t="shared" si="356"/>
        <v>0</v>
      </c>
      <c r="X126">
        <f t="shared" si="356"/>
        <v>0</v>
      </c>
      <c r="Y126">
        <f t="shared" si="356"/>
        <v>0</v>
      </c>
      <c r="Z126">
        <f t="shared" si="356"/>
        <v>0</v>
      </c>
      <c r="AA126">
        <f t="shared" si="356"/>
        <v>0</v>
      </c>
    </row>
    <row r="127" spans="1:27" x14ac:dyDescent="0.55000000000000004">
      <c r="A127" t="s">
        <v>181</v>
      </c>
      <c r="B127" t="s">
        <v>143</v>
      </c>
      <c r="C127">
        <f t="shared" si="241"/>
        <v>2.5324468849391856E-5</v>
      </c>
      <c r="D127">
        <f t="shared" si="241"/>
        <v>1.522779733038109E-6</v>
      </c>
      <c r="E127">
        <f t="shared" ref="E127:H127" si="357">E29/E$53</f>
        <v>0</v>
      </c>
      <c r="F127">
        <f t="shared" si="357"/>
        <v>0</v>
      </c>
      <c r="G127">
        <f t="shared" si="357"/>
        <v>9.9743004490200282E-5</v>
      </c>
      <c r="H127">
        <f t="shared" si="357"/>
        <v>6.7821997730685139E-6</v>
      </c>
      <c r="I127">
        <f t="shared" ref="I127:L127" si="358">I29/I$53</f>
        <v>7.0712271694524748E-6</v>
      </c>
      <c r="J127">
        <f t="shared" si="358"/>
        <v>0</v>
      </c>
      <c r="K127">
        <f t="shared" si="358"/>
        <v>0</v>
      </c>
      <c r="L127">
        <f t="shared" si="358"/>
        <v>1.2215157373322237E-5</v>
      </c>
      <c r="M127">
        <f t="shared" ref="M127:P127" si="359">M29/M$53</f>
        <v>0</v>
      </c>
      <c r="N127">
        <f t="shared" si="359"/>
        <v>0</v>
      </c>
      <c r="O127">
        <f t="shared" si="359"/>
        <v>0</v>
      </c>
      <c r="P127">
        <f t="shared" si="359"/>
        <v>0</v>
      </c>
      <c r="Q127">
        <f t="shared" ref="Q127:U127" si="360">Q29/Q$53</f>
        <v>0</v>
      </c>
      <c r="R127">
        <f t="shared" si="360"/>
        <v>0</v>
      </c>
      <c r="S127">
        <f t="shared" si="360"/>
        <v>0</v>
      </c>
      <c r="T127">
        <f t="shared" si="360"/>
        <v>0</v>
      </c>
      <c r="U127">
        <f t="shared" si="360"/>
        <v>0</v>
      </c>
      <c r="V127">
        <f t="shared" ref="V127:AA127" si="361">V29/V$53</f>
        <v>6.3543262280074637E-5</v>
      </c>
      <c r="W127">
        <f t="shared" si="361"/>
        <v>0</v>
      </c>
      <c r="X127">
        <f t="shared" si="361"/>
        <v>0</v>
      </c>
      <c r="Y127">
        <f t="shared" si="361"/>
        <v>0</v>
      </c>
      <c r="Z127">
        <f t="shared" si="361"/>
        <v>0</v>
      </c>
      <c r="AA127">
        <f t="shared" si="361"/>
        <v>1.4511041148208592E-4</v>
      </c>
    </row>
    <row r="128" spans="1:27" x14ac:dyDescent="0.55000000000000004">
      <c r="A128" t="s">
        <v>284</v>
      </c>
      <c r="B128" t="s">
        <v>144</v>
      </c>
      <c r="C128">
        <f t="shared" si="241"/>
        <v>0</v>
      </c>
      <c r="D128">
        <f t="shared" si="241"/>
        <v>0</v>
      </c>
      <c r="E128">
        <f t="shared" ref="E128:H128" si="362">E30/E$53</f>
        <v>0</v>
      </c>
      <c r="F128">
        <f t="shared" si="362"/>
        <v>0</v>
      </c>
      <c r="G128">
        <f t="shared" si="362"/>
        <v>0</v>
      </c>
      <c r="H128">
        <f t="shared" si="362"/>
        <v>0</v>
      </c>
      <c r="I128">
        <f t="shared" ref="I128:L128" si="363">I30/I$53</f>
        <v>0</v>
      </c>
      <c r="J128">
        <f t="shared" si="363"/>
        <v>0</v>
      </c>
      <c r="K128">
        <f t="shared" si="363"/>
        <v>0</v>
      </c>
      <c r="L128">
        <f t="shared" si="363"/>
        <v>0</v>
      </c>
      <c r="M128">
        <f t="shared" ref="M128:P128" si="364">M30/M$53</f>
        <v>0</v>
      </c>
      <c r="N128">
        <f t="shared" si="364"/>
        <v>0</v>
      </c>
      <c r="O128">
        <f t="shared" si="364"/>
        <v>0</v>
      </c>
      <c r="P128">
        <f t="shared" si="364"/>
        <v>0</v>
      </c>
      <c r="Q128">
        <f t="shared" ref="Q128:U128" si="365">Q30/Q$53</f>
        <v>0</v>
      </c>
      <c r="R128">
        <f t="shared" si="365"/>
        <v>0</v>
      </c>
      <c r="S128">
        <f t="shared" si="365"/>
        <v>0</v>
      </c>
      <c r="T128">
        <f t="shared" si="365"/>
        <v>0</v>
      </c>
      <c r="U128">
        <f t="shared" si="365"/>
        <v>0</v>
      </c>
      <c r="V128">
        <f t="shared" ref="V128:AA128" si="366">V30/V$53</f>
        <v>0</v>
      </c>
      <c r="W128">
        <f t="shared" si="366"/>
        <v>0</v>
      </c>
      <c r="X128">
        <f t="shared" si="366"/>
        <v>0</v>
      </c>
      <c r="Y128">
        <f t="shared" si="366"/>
        <v>0</v>
      </c>
      <c r="Z128">
        <f t="shared" si="366"/>
        <v>0</v>
      </c>
      <c r="AA128">
        <f t="shared" si="366"/>
        <v>0</v>
      </c>
    </row>
    <row r="129" spans="1:27" x14ac:dyDescent="0.55000000000000004">
      <c r="A129" t="s">
        <v>285</v>
      </c>
      <c r="B129" t="s">
        <v>145</v>
      </c>
      <c r="C129">
        <f t="shared" si="241"/>
        <v>9.9965965533691747E-2</v>
      </c>
      <c r="D129">
        <f t="shared" si="241"/>
        <v>4.0212826170743482E-2</v>
      </c>
      <c r="E129">
        <f t="shared" ref="E129:H129" si="367">E31/E$53</f>
        <v>5.1001469337251568E-2</v>
      </c>
      <c r="F129">
        <f t="shared" si="367"/>
        <v>0.16699812217717119</v>
      </c>
      <c r="G129">
        <f t="shared" si="367"/>
        <v>9.805101172327732E-2</v>
      </c>
      <c r="H129">
        <f t="shared" si="367"/>
        <v>0.11396082492722749</v>
      </c>
      <c r="I129">
        <f t="shared" ref="I129:L129" si="368">I31/I$53</f>
        <v>5.3966561357072222E-2</v>
      </c>
      <c r="J129">
        <f t="shared" si="368"/>
        <v>0.1177585515840591</v>
      </c>
      <c r="K129">
        <f t="shared" si="368"/>
        <v>0.11560846590622555</v>
      </c>
      <c r="L129">
        <f t="shared" si="368"/>
        <v>5.2624156787549649E-2</v>
      </c>
      <c r="M129">
        <f t="shared" ref="M129:P129" si="369">M31/M$53</f>
        <v>3.6837911657144409E-2</v>
      </c>
      <c r="N129">
        <f t="shared" si="369"/>
        <v>5.2124887721659324E-2</v>
      </c>
      <c r="O129">
        <f t="shared" si="369"/>
        <v>0.12069686097241994</v>
      </c>
      <c r="P129">
        <f t="shared" si="369"/>
        <v>0.16699812217717119</v>
      </c>
      <c r="Q129">
        <f t="shared" ref="Q129:U129" si="370">Q31/Q$53</f>
        <v>5.9786530258685647E-2</v>
      </c>
      <c r="R129">
        <f t="shared" si="370"/>
        <v>0.11020815251511483</v>
      </c>
      <c r="S129">
        <f t="shared" si="370"/>
        <v>0.1243223240195655</v>
      </c>
      <c r="T129">
        <f t="shared" si="370"/>
        <v>0.11611626895538413</v>
      </c>
      <c r="U129">
        <f t="shared" si="370"/>
        <v>0.10453398240660457</v>
      </c>
      <c r="V129">
        <f t="shared" ref="V129:AA129" si="371">V31/V$53</f>
        <v>9.2046675586109294E-2</v>
      </c>
      <c r="W129">
        <f t="shared" si="371"/>
        <v>5.4971704180064307E-2</v>
      </c>
      <c r="X129">
        <f t="shared" si="371"/>
        <v>4.0946194016395467E-2</v>
      </c>
      <c r="Y129">
        <f t="shared" si="371"/>
        <v>0.25964901727444911</v>
      </c>
      <c r="Z129">
        <f t="shared" si="371"/>
        <v>6.6651730183200086E-2</v>
      </c>
      <c r="AA129">
        <f t="shared" si="371"/>
        <v>6.6209593462021904E-2</v>
      </c>
    </row>
    <row r="130" spans="1:27" x14ac:dyDescent="0.55000000000000004">
      <c r="A130" t="s">
        <v>114</v>
      </c>
      <c r="B130" t="s">
        <v>146</v>
      </c>
      <c r="C130">
        <f t="shared" si="241"/>
        <v>5.1538408317190613E-4</v>
      </c>
      <c r="D130">
        <f t="shared" si="241"/>
        <v>6.0994093625580672E-4</v>
      </c>
      <c r="E130">
        <f t="shared" ref="E130:H130" si="372">E32/E$53</f>
        <v>1.0130693681849818E-3</v>
      </c>
      <c r="F130">
        <f t="shared" si="372"/>
        <v>6.1740617695412142E-5</v>
      </c>
      <c r="G130">
        <f t="shared" si="372"/>
        <v>7.4750479548497712E-4</v>
      </c>
      <c r="H130">
        <f t="shared" si="372"/>
        <v>2.725686948469353E-4</v>
      </c>
      <c r="I130">
        <f t="shared" ref="I130:L130" si="373">I32/I$53</f>
        <v>7.1001522539491349E-4</v>
      </c>
      <c r="J130">
        <f t="shared" si="373"/>
        <v>2.9727344522301272E-4</v>
      </c>
      <c r="K130">
        <f t="shared" si="373"/>
        <v>2.8985483537229114E-5</v>
      </c>
      <c r="L130">
        <f t="shared" si="373"/>
        <v>8.6426848532594833E-4</v>
      </c>
      <c r="M130">
        <f t="shared" ref="M130:P130" si="374">M32/M$53</f>
        <v>4.7566464080983032E-4</v>
      </c>
      <c r="N130">
        <f t="shared" si="374"/>
        <v>1.0302252369518924E-3</v>
      </c>
      <c r="O130">
        <f t="shared" si="374"/>
        <v>2.6903030607925771E-4</v>
      </c>
      <c r="P130">
        <f t="shared" si="374"/>
        <v>6.1740617695412142E-5</v>
      </c>
      <c r="Q130">
        <f t="shared" ref="Q130:U130" si="375">Q32/Q$53</f>
        <v>5.401217417485935E-4</v>
      </c>
      <c r="R130">
        <f t="shared" si="375"/>
        <v>1.3443703472269042E-3</v>
      </c>
      <c r="S130">
        <f t="shared" si="375"/>
        <v>1.1009154392516019E-4</v>
      </c>
      <c r="T130">
        <f t="shared" si="375"/>
        <v>3.4410712020553402E-4</v>
      </c>
      <c r="U130">
        <f t="shared" si="375"/>
        <v>4.5720680077994646E-4</v>
      </c>
      <c r="V130">
        <f t="shared" ref="V130:AA130" si="376">V32/V$53</f>
        <v>4.8654754828998393E-4</v>
      </c>
      <c r="W130">
        <f t="shared" si="376"/>
        <v>4.4409723472668808E-4</v>
      </c>
      <c r="X130">
        <f t="shared" si="376"/>
        <v>8.5712826025668434E-4</v>
      </c>
      <c r="Y130">
        <f t="shared" si="376"/>
        <v>0</v>
      </c>
      <c r="Z130">
        <f t="shared" si="376"/>
        <v>3.8755970519997332E-5</v>
      </c>
      <c r="AA130">
        <f t="shared" si="376"/>
        <v>6.4945523657121526E-4</v>
      </c>
    </row>
    <row r="131" spans="1:27" x14ac:dyDescent="0.55000000000000004">
      <c r="A131" t="s">
        <v>113</v>
      </c>
      <c r="B131" t="s">
        <v>147</v>
      </c>
      <c r="C131">
        <f t="shared" si="241"/>
        <v>1.058181616157839E-3</v>
      </c>
      <c r="D131">
        <f t="shared" si="241"/>
        <v>2.734625390235133E-4</v>
      </c>
      <c r="E131">
        <f t="shared" ref="E131:H131" si="377">E33/E$53</f>
        <v>8.3520222720593923E-4</v>
      </c>
      <c r="F131">
        <f t="shared" si="377"/>
        <v>0</v>
      </c>
      <c r="G131">
        <f t="shared" si="377"/>
        <v>3.7256562987411108E-3</v>
      </c>
      <c r="H131">
        <f t="shared" si="377"/>
        <v>6.0243368658401705E-4</v>
      </c>
      <c r="I131">
        <f t="shared" ref="I131:L131" si="378">I33/I$53</f>
        <v>8.2063246128161898E-4</v>
      </c>
      <c r="J131">
        <f t="shared" si="378"/>
        <v>0</v>
      </c>
      <c r="K131">
        <f t="shared" si="378"/>
        <v>1.909453152065885E-3</v>
      </c>
      <c r="L131">
        <f t="shared" si="378"/>
        <v>2.3201893390614641E-4</v>
      </c>
      <c r="M131">
        <f t="shared" ref="M131:P131" si="379">M33/M$53</f>
        <v>0</v>
      </c>
      <c r="N131">
        <f t="shared" si="379"/>
        <v>5.8441867987089273E-4</v>
      </c>
      <c r="O131">
        <f t="shared" si="379"/>
        <v>0</v>
      </c>
      <c r="P131">
        <f t="shared" si="379"/>
        <v>0</v>
      </c>
      <c r="Q131">
        <f t="shared" ref="Q131:U131" si="380">Q33/Q$53</f>
        <v>0</v>
      </c>
      <c r="R131">
        <f t="shared" si="380"/>
        <v>0</v>
      </c>
      <c r="S131">
        <f t="shared" si="380"/>
        <v>0</v>
      </c>
      <c r="T131">
        <f t="shared" si="380"/>
        <v>0</v>
      </c>
      <c r="U131">
        <f t="shared" si="380"/>
        <v>0</v>
      </c>
      <c r="V131">
        <f t="shared" ref="V131:AA131" si="381">V33/V$53</f>
        <v>2.4484328236528221E-4</v>
      </c>
      <c r="W131">
        <f t="shared" si="381"/>
        <v>0</v>
      </c>
      <c r="X131">
        <f t="shared" si="381"/>
        <v>0</v>
      </c>
      <c r="Y131">
        <f t="shared" si="381"/>
        <v>0</v>
      </c>
      <c r="Z131">
        <f t="shared" si="381"/>
        <v>2.557894054319824E-3</v>
      </c>
      <c r="AA131">
        <f t="shared" si="381"/>
        <v>0</v>
      </c>
    </row>
    <row r="132" spans="1:27" x14ac:dyDescent="0.55000000000000004">
      <c r="A132" t="s">
        <v>182</v>
      </c>
      <c r="B132" t="s">
        <v>148</v>
      </c>
      <c r="C132">
        <f t="shared" si="241"/>
        <v>1.5373038673083318E-5</v>
      </c>
      <c r="D132">
        <f t="shared" si="241"/>
        <v>4.1431487649420688E-6</v>
      </c>
      <c r="E132">
        <f t="shared" ref="E132:H132" si="382">E34/E$53</f>
        <v>7.7333539556105493E-6</v>
      </c>
      <c r="F132">
        <f t="shared" si="382"/>
        <v>0</v>
      </c>
      <c r="G132">
        <f t="shared" si="382"/>
        <v>5.4398638616150958E-5</v>
      </c>
      <c r="H132">
        <f t="shared" si="382"/>
        <v>1.8452874045885357E-5</v>
      </c>
      <c r="I132">
        <f t="shared" ref="I132:L132" si="383">I34/I$53</f>
        <v>1.9239254028743092E-5</v>
      </c>
      <c r="J132">
        <f t="shared" si="383"/>
        <v>0</v>
      </c>
      <c r="K132">
        <f t="shared" si="383"/>
        <v>0</v>
      </c>
      <c r="L132">
        <f t="shared" si="383"/>
        <v>0</v>
      </c>
      <c r="M132">
        <f t="shared" ref="M132:P132" si="384">M34/M$53</f>
        <v>0</v>
      </c>
      <c r="N132">
        <f t="shared" si="384"/>
        <v>0</v>
      </c>
      <c r="O132">
        <f t="shared" si="384"/>
        <v>0</v>
      </c>
      <c r="P132">
        <f t="shared" si="384"/>
        <v>0</v>
      </c>
      <c r="Q132">
        <f t="shared" ref="Q132:U132" si="385">Q34/Q$53</f>
        <v>0</v>
      </c>
      <c r="R132">
        <f t="shared" si="385"/>
        <v>0</v>
      </c>
      <c r="S132">
        <f t="shared" si="385"/>
        <v>0</v>
      </c>
      <c r="T132">
        <f t="shared" si="385"/>
        <v>0</v>
      </c>
      <c r="U132">
        <f t="shared" si="385"/>
        <v>0</v>
      </c>
      <c r="V132">
        <f t="shared" ref="V132:AA132" si="386">V34/V$53</f>
        <v>0</v>
      </c>
      <c r="W132">
        <f t="shared" si="386"/>
        <v>0</v>
      </c>
      <c r="X132">
        <f t="shared" si="386"/>
        <v>0</v>
      </c>
      <c r="Y132">
        <f t="shared" si="386"/>
        <v>0</v>
      </c>
      <c r="Z132">
        <f t="shared" si="386"/>
        <v>0</v>
      </c>
      <c r="AA132">
        <f t="shared" si="386"/>
        <v>0</v>
      </c>
    </row>
    <row r="133" spans="1:27" x14ac:dyDescent="0.55000000000000004">
      <c r="A133" t="s">
        <v>183</v>
      </c>
      <c r="B133" t="s">
        <v>149</v>
      </c>
      <c r="C133">
        <f t="shared" si="241"/>
        <v>2.349394375480198E-3</v>
      </c>
      <c r="D133">
        <f t="shared" si="241"/>
        <v>5.1387737525809525E-3</v>
      </c>
      <c r="E133">
        <f t="shared" ref="E133:H133" si="387">E35/E$53</f>
        <v>6.395483721289924E-3</v>
      </c>
      <c r="F133">
        <f t="shared" si="387"/>
        <v>4.6618073539170489E-3</v>
      </c>
      <c r="G133">
        <f t="shared" si="387"/>
        <v>1.2185430681163822E-3</v>
      </c>
      <c r="H133">
        <f t="shared" si="387"/>
        <v>2.9641799841786261E-3</v>
      </c>
      <c r="I133">
        <f t="shared" ref="I133:L133" si="388">I35/I$53</f>
        <v>4.8402843316144627E-3</v>
      </c>
      <c r="J133">
        <f t="shared" si="388"/>
        <v>8.3831193590942689E-4</v>
      </c>
      <c r="K133">
        <f t="shared" si="388"/>
        <v>0</v>
      </c>
      <c r="L133">
        <f t="shared" si="388"/>
        <v>5.6432792958263991E-3</v>
      </c>
      <c r="M133">
        <f t="shared" ref="M133:P133" si="389">M35/M$53</f>
        <v>4.7409109374248245E-3</v>
      </c>
      <c r="N133">
        <f t="shared" si="389"/>
        <v>6.5050377442363722E-3</v>
      </c>
      <c r="O133">
        <f t="shared" si="389"/>
        <v>4.6764595113188631E-3</v>
      </c>
      <c r="P133">
        <f t="shared" si="389"/>
        <v>4.6618073539170489E-3</v>
      </c>
      <c r="Q133">
        <f t="shared" ref="Q133:U133" si="390">Q35/Q$53</f>
        <v>4.0595859130361052E-3</v>
      </c>
      <c r="R133">
        <f t="shared" si="390"/>
        <v>1.7283113204032521E-4</v>
      </c>
      <c r="S133">
        <f t="shared" si="390"/>
        <v>3.1904416210880087E-3</v>
      </c>
      <c r="T133">
        <f t="shared" si="390"/>
        <v>2.497994973211131E-4</v>
      </c>
      <c r="U133">
        <f t="shared" si="390"/>
        <v>6.2710738490527422E-4</v>
      </c>
      <c r="V133">
        <f t="shared" ref="V133:AA133" si="391">V35/V$53</f>
        <v>5.6249827330801814E-3</v>
      </c>
      <c r="W133">
        <f t="shared" si="391"/>
        <v>9.0652413970418002E-5</v>
      </c>
      <c r="X133">
        <f t="shared" si="391"/>
        <v>5.7435978803467465E-3</v>
      </c>
      <c r="Y133">
        <f t="shared" si="391"/>
        <v>0</v>
      </c>
      <c r="Z133">
        <f t="shared" si="391"/>
        <v>0</v>
      </c>
      <c r="AA133">
        <f t="shared" si="391"/>
        <v>9.7925051656079926E-3</v>
      </c>
    </row>
    <row r="134" spans="1:27" x14ac:dyDescent="0.55000000000000004">
      <c r="A134" t="s">
        <v>184</v>
      </c>
      <c r="B134" t="s">
        <v>150</v>
      </c>
      <c r="C134">
        <f t="shared" si="241"/>
        <v>5.502823910546416E-4</v>
      </c>
      <c r="D134">
        <f t="shared" si="241"/>
        <v>3.4524403060272665E-4</v>
      </c>
      <c r="E134">
        <f t="shared" ref="E134:H134" si="392">E36/E$53</f>
        <v>1.3997370659655094E-3</v>
      </c>
      <c r="F134">
        <f t="shared" si="392"/>
        <v>1.3248916064427588E-3</v>
      </c>
      <c r="G134">
        <f t="shared" si="392"/>
        <v>9.4457011590457439E-4</v>
      </c>
      <c r="H134">
        <f t="shared" si="392"/>
        <v>2.0532009577554696E-4</v>
      </c>
      <c r="I134">
        <f t="shared" ref="I134:L134" si="393">I36/I$53</f>
        <v>9.3972679396292405E-4</v>
      </c>
      <c r="J134">
        <f t="shared" si="393"/>
        <v>8.915633010020906E-5</v>
      </c>
      <c r="K134">
        <f t="shared" si="393"/>
        <v>0</v>
      </c>
      <c r="L134">
        <f t="shared" si="393"/>
        <v>7.0898378641071264E-4</v>
      </c>
      <c r="M134">
        <f t="shared" ref="M134:P134" si="394">M36/M$53</f>
        <v>0</v>
      </c>
      <c r="N134">
        <f t="shared" si="394"/>
        <v>1.4531012382656698E-3</v>
      </c>
      <c r="O134">
        <f t="shared" si="394"/>
        <v>4.746717718831355E-4</v>
      </c>
      <c r="P134">
        <f t="shared" si="394"/>
        <v>1.3248916064427588E-3</v>
      </c>
      <c r="Q134">
        <f t="shared" ref="Q134:U134" si="395">Q36/Q$53</f>
        <v>7.8797823662561672E-4</v>
      </c>
      <c r="R134">
        <f t="shared" si="395"/>
        <v>2.4848969002361096E-4</v>
      </c>
      <c r="S134">
        <f t="shared" si="395"/>
        <v>2.1447545076622973E-4</v>
      </c>
      <c r="T134">
        <f t="shared" si="395"/>
        <v>5.7800975091667562E-5</v>
      </c>
      <c r="U134">
        <f t="shared" si="395"/>
        <v>1.6967817260114067E-4</v>
      </c>
      <c r="V134">
        <f t="shared" ref="V134:AA134" si="396">V36/V$53</f>
        <v>1.2018984829434067E-3</v>
      </c>
      <c r="W134">
        <f t="shared" si="396"/>
        <v>2.0787229839228297E-5</v>
      </c>
      <c r="X134">
        <f t="shared" si="396"/>
        <v>0</v>
      </c>
      <c r="Y134">
        <f t="shared" si="396"/>
        <v>0</v>
      </c>
      <c r="Z134">
        <f t="shared" si="396"/>
        <v>0</v>
      </c>
      <c r="AA134">
        <f t="shared" si="396"/>
        <v>4.9212502793869991E-3</v>
      </c>
    </row>
    <row r="135" spans="1:27" x14ac:dyDescent="0.55000000000000004">
      <c r="A135" t="s">
        <v>185</v>
      </c>
      <c r="B135" t="s">
        <v>151</v>
      </c>
      <c r="C135">
        <f t="shared" si="241"/>
        <v>5.128739748960458E-7</v>
      </c>
      <c r="D135">
        <f t="shared" si="241"/>
        <v>8.0779849241081559E-7</v>
      </c>
      <c r="E135">
        <f t="shared" ref="E135:H135" si="397">E37/E$53</f>
        <v>0</v>
      </c>
      <c r="F135">
        <f t="shared" si="397"/>
        <v>0</v>
      </c>
      <c r="G135">
        <f t="shared" si="397"/>
        <v>0</v>
      </c>
      <c r="H135">
        <f t="shared" si="397"/>
        <v>3.5977959471414929E-6</v>
      </c>
      <c r="I135">
        <f t="shared" ref="I135:L135" si="398">I37/I$53</f>
        <v>3.7511181184305564E-6</v>
      </c>
      <c r="J135">
        <f t="shared" si="398"/>
        <v>0</v>
      </c>
      <c r="K135">
        <f t="shared" si="398"/>
        <v>0</v>
      </c>
      <c r="L135">
        <f t="shared" si="398"/>
        <v>0</v>
      </c>
      <c r="M135">
        <f t="shared" ref="M135:P135" si="399">M37/M$53</f>
        <v>0</v>
      </c>
      <c r="N135">
        <f t="shared" si="399"/>
        <v>0</v>
      </c>
      <c r="O135">
        <f t="shared" si="399"/>
        <v>0</v>
      </c>
      <c r="P135">
        <f t="shared" si="399"/>
        <v>0</v>
      </c>
      <c r="Q135">
        <f t="shared" ref="Q135:U135" si="400">Q37/Q$53</f>
        <v>0</v>
      </c>
      <c r="R135">
        <f t="shared" si="400"/>
        <v>0</v>
      </c>
      <c r="S135">
        <f t="shared" si="400"/>
        <v>0</v>
      </c>
      <c r="T135">
        <f t="shared" si="400"/>
        <v>0</v>
      </c>
      <c r="U135">
        <f t="shared" si="400"/>
        <v>0</v>
      </c>
      <c r="V135">
        <f t="shared" ref="V135:AA135" si="401">V37/V$53</f>
        <v>0</v>
      </c>
      <c r="W135">
        <f t="shared" si="401"/>
        <v>0</v>
      </c>
      <c r="X135">
        <f t="shared" si="401"/>
        <v>0</v>
      </c>
      <c r="Y135">
        <f t="shared" si="401"/>
        <v>0</v>
      </c>
      <c r="Z135">
        <f t="shared" si="401"/>
        <v>0</v>
      </c>
      <c r="AA135">
        <f t="shared" si="401"/>
        <v>3.9592878016900121E-5</v>
      </c>
    </row>
    <row r="136" spans="1:27" x14ac:dyDescent="0.55000000000000004">
      <c r="A136" t="s">
        <v>186</v>
      </c>
      <c r="B136" t="s">
        <v>152</v>
      </c>
      <c r="C136">
        <f t="shared" si="241"/>
        <v>1.305118780796013E-7</v>
      </c>
      <c r="D136">
        <f t="shared" si="241"/>
        <v>2.0556180175797547E-7</v>
      </c>
      <c r="E136">
        <f t="shared" ref="E136:H136" si="402">E38/E$53</f>
        <v>0</v>
      </c>
      <c r="F136">
        <f t="shared" si="402"/>
        <v>0</v>
      </c>
      <c r="G136">
        <f t="shared" si="402"/>
        <v>0</v>
      </c>
      <c r="H136">
        <f t="shared" si="402"/>
        <v>9.1553701102456423E-7</v>
      </c>
      <c r="I136">
        <f t="shared" ref="I136:L136" si="403">I38/I$53</f>
        <v>9.5455315437680561E-7</v>
      </c>
      <c r="J136">
        <f t="shared" si="403"/>
        <v>0</v>
      </c>
      <c r="K136">
        <f t="shared" si="403"/>
        <v>0</v>
      </c>
      <c r="L136">
        <f t="shared" si="403"/>
        <v>0</v>
      </c>
      <c r="M136">
        <f t="shared" ref="M136:P136" si="404">M38/M$53</f>
        <v>0</v>
      </c>
      <c r="N136">
        <f t="shared" si="404"/>
        <v>0</v>
      </c>
      <c r="O136">
        <f t="shared" si="404"/>
        <v>0</v>
      </c>
      <c r="P136">
        <f t="shared" si="404"/>
        <v>0</v>
      </c>
      <c r="Q136">
        <f t="shared" ref="Q136:U136" si="405">Q38/Q$53</f>
        <v>0</v>
      </c>
      <c r="R136">
        <f t="shared" si="405"/>
        <v>0</v>
      </c>
      <c r="S136">
        <f t="shared" si="405"/>
        <v>0</v>
      </c>
      <c r="T136">
        <f t="shared" si="405"/>
        <v>0</v>
      </c>
      <c r="U136">
        <f t="shared" si="405"/>
        <v>0</v>
      </c>
      <c r="V136">
        <f t="shared" ref="V136:AA136" si="406">V38/V$53</f>
        <v>0</v>
      </c>
      <c r="W136">
        <f t="shared" si="406"/>
        <v>0</v>
      </c>
      <c r="X136">
        <f t="shared" si="406"/>
        <v>0</v>
      </c>
      <c r="Y136">
        <f t="shared" si="406"/>
        <v>0</v>
      </c>
      <c r="Z136">
        <f t="shared" si="406"/>
        <v>0</v>
      </c>
      <c r="AA136">
        <f t="shared" si="406"/>
        <v>0</v>
      </c>
    </row>
    <row r="137" spans="1:27" x14ac:dyDescent="0.55000000000000004">
      <c r="A137" t="s">
        <v>187</v>
      </c>
      <c r="B137" t="s">
        <v>153</v>
      </c>
      <c r="C137">
        <f t="shared" si="241"/>
        <v>5.7562585912652675E-7</v>
      </c>
      <c r="D137">
        <f t="shared" si="241"/>
        <v>5.3826553854600858E-7</v>
      </c>
      <c r="E137">
        <f t="shared" ref="E137:H137" si="407">E39/E$53</f>
        <v>0</v>
      </c>
      <c r="F137">
        <f t="shared" si="407"/>
        <v>0</v>
      </c>
      <c r="G137">
        <f t="shared" si="407"/>
        <v>5.6633903286805854E-7</v>
      </c>
      <c r="H137">
        <f t="shared" si="407"/>
        <v>2.3973423957343776E-6</v>
      </c>
      <c r="I137">
        <f t="shared" ref="I137:L137" si="408">I39/I$53</f>
        <v>2.4995065392371121E-6</v>
      </c>
      <c r="J137">
        <f t="shared" si="408"/>
        <v>0</v>
      </c>
      <c r="K137">
        <f t="shared" si="408"/>
        <v>0</v>
      </c>
      <c r="L137">
        <f t="shared" si="408"/>
        <v>1.2445089796858334E-6</v>
      </c>
      <c r="M137">
        <f t="shared" ref="M137:P137" si="409">M39/M$53</f>
        <v>0</v>
      </c>
      <c r="N137">
        <f t="shared" si="409"/>
        <v>0</v>
      </c>
      <c r="O137">
        <f t="shared" si="409"/>
        <v>0</v>
      </c>
      <c r="P137">
        <f t="shared" si="409"/>
        <v>0</v>
      </c>
      <c r="Q137">
        <f t="shared" ref="Q137:U137" si="410">Q39/Q$53</f>
        <v>0</v>
      </c>
      <c r="R137">
        <f t="shared" si="410"/>
        <v>0</v>
      </c>
      <c r="S137">
        <f t="shared" si="410"/>
        <v>0</v>
      </c>
      <c r="T137">
        <f t="shared" si="410"/>
        <v>0</v>
      </c>
      <c r="U137">
        <f t="shared" si="410"/>
        <v>7.2984296528197821E-7</v>
      </c>
      <c r="V137">
        <f t="shared" ref="V137:AA137" si="411">V39/V$53</f>
        <v>0</v>
      </c>
      <c r="W137">
        <f t="shared" si="411"/>
        <v>0</v>
      </c>
      <c r="X137">
        <f t="shared" si="411"/>
        <v>0</v>
      </c>
      <c r="Y137">
        <f t="shared" si="411"/>
        <v>0</v>
      </c>
      <c r="Z137">
        <f t="shared" si="411"/>
        <v>0</v>
      </c>
      <c r="AA137">
        <f t="shared" si="411"/>
        <v>0</v>
      </c>
    </row>
    <row r="138" spans="1:27" x14ac:dyDescent="0.55000000000000004">
      <c r="A138" t="s">
        <v>188</v>
      </c>
      <c r="B138" t="s">
        <v>154</v>
      </c>
      <c r="C138">
        <f t="shared" si="241"/>
        <v>5.2437192573155818E-4</v>
      </c>
      <c r="D138">
        <f t="shared" si="241"/>
        <v>8.0295410866410271E-4</v>
      </c>
      <c r="E138">
        <f t="shared" ref="E138:H138" si="412">E40/E$53</f>
        <v>6.4186837831567553E-4</v>
      </c>
      <c r="F138">
        <f t="shared" si="412"/>
        <v>1.8360650696640983E-4</v>
      </c>
      <c r="G138">
        <f t="shared" si="412"/>
        <v>5.0906557188036767E-4</v>
      </c>
      <c r="H138">
        <f t="shared" si="412"/>
        <v>6.822982195216448E-4</v>
      </c>
      <c r="I138">
        <f t="shared" ref="I138:L138" si="413">I40/I$53</f>
        <v>7.5105375881147449E-4</v>
      </c>
      <c r="J138">
        <f t="shared" si="413"/>
        <v>4.6941047090215393E-4</v>
      </c>
      <c r="K138">
        <f t="shared" si="413"/>
        <v>0</v>
      </c>
      <c r="L138">
        <f t="shared" si="413"/>
        <v>6.9471443437708739E-4</v>
      </c>
      <c r="M138">
        <f t="shared" ref="M138:P138" si="414">M40/M$53</f>
        <v>8.6619651965298206E-4</v>
      </c>
      <c r="N138">
        <f t="shared" si="414"/>
        <v>6.5927378853219596E-4</v>
      </c>
      <c r="O138">
        <f t="shared" si="414"/>
        <v>9.9454162814332429E-4</v>
      </c>
      <c r="P138">
        <f t="shared" si="414"/>
        <v>1.8360650696640983E-4</v>
      </c>
      <c r="Q138">
        <f t="shared" ref="Q138:U138" si="415">Q40/Q$53</f>
        <v>9.000366809077694E-4</v>
      </c>
      <c r="R138">
        <f t="shared" si="415"/>
        <v>8.1306195339719562E-4</v>
      </c>
      <c r="S138">
        <f t="shared" si="415"/>
        <v>7.2493188613692648E-4</v>
      </c>
      <c r="T138">
        <f t="shared" si="415"/>
        <v>4.0547797086232809E-4</v>
      </c>
      <c r="U138">
        <f t="shared" si="415"/>
        <v>4.7736140895619078E-4</v>
      </c>
      <c r="V138">
        <f t="shared" ref="V138:AA138" si="416">V40/V$53</f>
        <v>2.5956187228492398E-4</v>
      </c>
      <c r="W138">
        <f t="shared" si="416"/>
        <v>2.4670672668810289E-4</v>
      </c>
      <c r="X138">
        <f t="shared" si="416"/>
        <v>1.0333072436724314E-3</v>
      </c>
      <c r="Y138">
        <f t="shared" si="416"/>
        <v>0</v>
      </c>
      <c r="Z138">
        <f t="shared" si="416"/>
        <v>0</v>
      </c>
      <c r="AA138">
        <f t="shared" si="416"/>
        <v>5.4301996156731682E-4</v>
      </c>
    </row>
    <row r="139" spans="1:27" x14ac:dyDescent="0.55000000000000004">
      <c r="A139" t="s">
        <v>189</v>
      </c>
      <c r="B139" t="s">
        <v>155</v>
      </c>
      <c r="C139">
        <f t="shared" si="241"/>
        <v>2.4915628749830772E-5</v>
      </c>
      <c r="D139">
        <f t="shared" si="241"/>
        <v>0</v>
      </c>
      <c r="E139">
        <f t="shared" ref="E139:H139" si="417">E41/E$53</f>
        <v>0</v>
      </c>
      <c r="F139">
        <f t="shared" si="417"/>
        <v>0</v>
      </c>
      <c r="G139">
        <f t="shared" si="417"/>
        <v>4.9246424285543584E-5</v>
      </c>
      <c r="H139">
        <f t="shared" si="417"/>
        <v>3.7599089845863385E-5</v>
      </c>
      <c r="I139">
        <f t="shared" ref="I139:L139" si="418">I41/I$53</f>
        <v>1.0267751117112044E-5</v>
      </c>
      <c r="J139">
        <f t="shared" si="418"/>
        <v>2.4252404469605982E-5</v>
      </c>
      <c r="K139">
        <f t="shared" si="418"/>
        <v>4.8645394304825437E-5</v>
      </c>
      <c r="L139">
        <f t="shared" si="418"/>
        <v>0</v>
      </c>
      <c r="M139">
        <f t="shared" ref="M139:P139" si="419">M41/M$53</f>
        <v>0</v>
      </c>
      <c r="N139">
        <f t="shared" si="419"/>
        <v>0</v>
      </c>
      <c r="O139">
        <f t="shared" si="419"/>
        <v>0</v>
      </c>
      <c r="P139">
        <f t="shared" si="419"/>
        <v>0</v>
      </c>
      <c r="Q139">
        <f t="shared" ref="Q139:U139" si="420">Q41/Q$53</f>
        <v>1.7840711179263211E-5</v>
      </c>
      <c r="R139">
        <f t="shared" si="420"/>
        <v>1.9932250668611293E-5</v>
      </c>
      <c r="S139">
        <f t="shared" si="420"/>
        <v>4.3823590848636703E-5</v>
      </c>
      <c r="T139">
        <f t="shared" si="420"/>
        <v>1.9355613831501616E-5</v>
      </c>
      <c r="U139">
        <f t="shared" si="420"/>
        <v>6.3464028160087978E-5</v>
      </c>
      <c r="V139">
        <f t="shared" ref="V139:AA139" si="421">V41/V$53</f>
        <v>0</v>
      </c>
      <c r="W139">
        <f t="shared" si="421"/>
        <v>4.0321543408360131E-6</v>
      </c>
      <c r="X139">
        <f t="shared" si="421"/>
        <v>0</v>
      </c>
      <c r="Y139">
        <f t="shared" si="421"/>
        <v>0</v>
      </c>
      <c r="Z139">
        <f t="shared" si="421"/>
        <v>6.5165131036460752E-5</v>
      </c>
      <c r="AA139">
        <f t="shared" si="421"/>
        <v>4.7886435789088425E-5</v>
      </c>
    </row>
    <row r="140" spans="1:27" x14ac:dyDescent="0.55000000000000004">
      <c r="A140" t="s">
        <v>190</v>
      </c>
      <c r="B140" t="s">
        <v>156</v>
      </c>
      <c r="C140">
        <f t="shared" si="241"/>
        <v>9.0361416162918767E-5</v>
      </c>
      <c r="D140">
        <f t="shared" si="241"/>
        <v>1.0170709193762438E-4</v>
      </c>
      <c r="E140">
        <f t="shared" ref="E140:H140" si="422">E42/E$53</f>
        <v>1.0826695537854767E-4</v>
      </c>
      <c r="F140">
        <f t="shared" si="422"/>
        <v>1.331048928830791E-4</v>
      </c>
      <c r="G140">
        <f t="shared" si="422"/>
        <v>8.4505828358546461E-5</v>
      </c>
      <c r="H140">
        <f t="shared" si="422"/>
        <v>1.4677611850358834E-4</v>
      </c>
      <c r="I140">
        <f t="shared" ref="I140:L140" si="423">I42/I$53</f>
        <v>1.3248915870600817E-4</v>
      </c>
      <c r="J140">
        <f t="shared" si="423"/>
        <v>6.8000116741446547E-5</v>
      </c>
      <c r="K140">
        <f t="shared" si="423"/>
        <v>1.0789607431030568E-4</v>
      </c>
      <c r="L140">
        <f t="shared" si="423"/>
        <v>1.0635513399688568E-4</v>
      </c>
      <c r="M140">
        <f t="shared" ref="M140:P140" si="424">M42/M$53</f>
        <v>9.4554586696447165E-5</v>
      </c>
      <c r="N140">
        <f t="shared" si="424"/>
        <v>9.9699789400210301E-5</v>
      </c>
      <c r="O140">
        <f t="shared" si="424"/>
        <v>1.222698627594407E-4</v>
      </c>
      <c r="P140">
        <f t="shared" si="424"/>
        <v>1.331048928830791E-4</v>
      </c>
      <c r="Q140">
        <f t="shared" ref="Q140:U140" si="425">Q42/Q$53</f>
        <v>1.0962947319594791E-4</v>
      </c>
      <c r="R140">
        <f t="shared" si="425"/>
        <v>1.3309614167147222E-4</v>
      </c>
      <c r="S140">
        <f t="shared" si="425"/>
        <v>1.2176158331733439E-4</v>
      </c>
      <c r="T140">
        <f t="shared" si="425"/>
        <v>5.4548778579257625E-5</v>
      </c>
      <c r="U140">
        <f t="shared" si="425"/>
        <v>7.0102210888493545E-5</v>
      </c>
      <c r="V140">
        <f t="shared" ref="V140:AA140" si="426">V42/V$53</f>
        <v>6.922252893702643E-5</v>
      </c>
      <c r="W140">
        <f t="shared" si="426"/>
        <v>7.0824437299035374E-5</v>
      </c>
      <c r="X140">
        <f t="shared" si="426"/>
        <v>1.3419799481592413E-4</v>
      </c>
      <c r="Y140">
        <f t="shared" si="426"/>
        <v>3.1394198068865684E-4</v>
      </c>
      <c r="Z140">
        <f t="shared" si="426"/>
        <v>3.7995168156771396E-5</v>
      </c>
      <c r="AA140">
        <f t="shared" si="426"/>
        <v>1.0232333953951211E-4</v>
      </c>
    </row>
    <row r="141" spans="1:27" x14ac:dyDescent="0.55000000000000004">
      <c r="A141" t="s">
        <v>191</v>
      </c>
      <c r="B141" t="s">
        <v>157</v>
      </c>
      <c r="C141">
        <f t="shared" si="241"/>
        <v>2.1306548348705743E-4</v>
      </c>
      <c r="D141">
        <f t="shared" si="241"/>
        <v>2.5562014091657281E-4</v>
      </c>
      <c r="E141">
        <f t="shared" ref="E141:H141" si="427">E43/E$53</f>
        <v>1.9333384889026371E-4</v>
      </c>
      <c r="F141">
        <f t="shared" si="427"/>
        <v>2.0447359793189488E-4</v>
      </c>
      <c r="G141">
        <f t="shared" si="427"/>
        <v>4.9852194889094654E-4</v>
      </c>
      <c r="H141">
        <f t="shared" si="427"/>
        <v>6.3837806207393466E-5</v>
      </c>
      <c r="I141">
        <f t="shared" ref="I141:L141" si="428">I43/I$53</f>
        <v>1.7146503444831875E-4</v>
      </c>
      <c r="J141">
        <f t="shared" si="428"/>
        <v>6.7312884547828195E-5</v>
      </c>
      <c r="K141">
        <f t="shared" si="428"/>
        <v>1.0182699203105394E-3</v>
      </c>
      <c r="L141">
        <f t="shared" si="428"/>
        <v>1.5424954857723428E-4</v>
      </c>
      <c r="M141">
        <f t="shared" ref="M141:P141" si="429">M43/M$53</f>
        <v>2.710358032170856E-4</v>
      </c>
      <c r="N141">
        <f t="shared" si="429"/>
        <v>1.7643961827139886E-4</v>
      </c>
      <c r="O141">
        <f t="shared" si="429"/>
        <v>4.7747291980067551E-4</v>
      </c>
      <c r="P141">
        <f t="shared" si="429"/>
        <v>2.0447359793189488E-4</v>
      </c>
      <c r="Q141">
        <f t="shared" ref="Q141:U141" si="430">Q43/Q$53</f>
        <v>9.6065367888340379E-5</v>
      </c>
      <c r="R141">
        <f t="shared" si="430"/>
        <v>8.7422152055312681E-5</v>
      </c>
      <c r="S141">
        <f t="shared" si="430"/>
        <v>0</v>
      </c>
      <c r="T141">
        <f t="shared" si="430"/>
        <v>8.4154842745659208E-5</v>
      </c>
      <c r="U141">
        <f t="shared" si="430"/>
        <v>2.0995618338675787E-4</v>
      </c>
      <c r="V141">
        <f t="shared" ref="V141:AA141" si="431">V43/V$53</f>
        <v>1.8639356935488561E-4</v>
      </c>
      <c r="W141">
        <f t="shared" si="431"/>
        <v>4.6263665594855301E-5</v>
      </c>
      <c r="X141">
        <f t="shared" si="431"/>
        <v>0</v>
      </c>
      <c r="Y141">
        <f t="shared" si="431"/>
        <v>2.7812793451329107E-3</v>
      </c>
      <c r="Z141">
        <f t="shared" si="431"/>
        <v>4.1996093893956465E-4</v>
      </c>
      <c r="AA141">
        <f t="shared" si="431"/>
        <v>1.7026288280564723E-4</v>
      </c>
    </row>
    <row r="142" spans="1:27" x14ac:dyDescent="0.55000000000000004">
      <c r="A142" t="s">
        <v>286</v>
      </c>
      <c r="B142" t="s">
        <v>158</v>
      </c>
      <c r="C142">
        <f t="shared" si="241"/>
        <v>7.9729863809345805E-6</v>
      </c>
      <c r="D142">
        <f t="shared" si="241"/>
        <v>0</v>
      </c>
      <c r="E142">
        <f t="shared" ref="E142:H142" si="432">E44/E$53</f>
        <v>0</v>
      </c>
      <c r="F142">
        <f t="shared" si="432"/>
        <v>0</v>
      </c>
      <c r="G142">
        <f t="shared" si="432"/>
        <v>0</v>
      </c>
      <c r="H142">
        <f t="shared" si="432"/>
        <v>0</v>
      </c>
      <c r="I142">
        <f t="shared" ref="I142:L142" si="433">I44/I$53</f>
        <v>0</v>
      </c>
      <c r="J142">
        <f t="shared" si="433"/>
        <v>1.923225272795091E-5</v>
      </c>
      <c r="K142">
        <f t="shared" si="433"/>
        <v>0</v>
      </c>
      <c r="L142">
        <f t="shared" si="433"/>
        <v>0</v>
      </c>
      <c r="M142">
        <f t="shared" ref="M142:P142" si="434">M44/M$53</f>
        <v>0</v>
      </c>
      <c r="N142">
        <f t="shared" si="434"/>
        <v>0</v>
      </c>
      <c r="O142">
        <f t="shared" si="434"/>
        <v>0</v>
      </c>
      <c r="P142">
        <f t="shared" si="434"/>
        <v>0</v>
      </c>
      <c r="Q142">
        <f t="shared" ref="Q142:U142" si="435">Q44/Q$53</f>
        <v>0</v>
      </c>
      <c r="R142">
        <f t="shared" si="435"/>
        <v>0</v>
      </c>
      <c r="S142">
        <f t="shared" si="435"/>
        <v>0</v>
      </c>
      <c r="T142">
        <f t="shared" si="435"/>
        <v>2.404424078447406E-5</v>
      </c>
      <c r="U142">
        <f t="shared" si="435"/>
        <v>0</v>
      </c>
      <c r="V142">
        <f t="shared" ref="V142:AA142" si="436">V44/V$53</f>
        <v>0</v>
      </c>
      <c r="W142">
        <f t="shared" si="436"/>
        <v>0</v>
      </c>
      <c r="X142">
        <f t="shared" si="436"/>
        <v>0</v>
      </c>
      <c r="Y142">
        <f t="shared" si="436"/>
        <v>0</v>
      </c>
      <c r="Z142">
        <f t="shared" si="436"/>
        <v>0</v>
      </c>
      <c r="AA142">
        <f t="shared" si="436"/>
        <v>0</v>
      </c>
    </row>
    <row r="143" spans="1:27" x14ac:dyDescent="0.55000000000000004">
      <c r="A143" t="s">
        <v>287</v>
      </c>
      <c r="B143" t="s">
        <v>159</v>
      </c>
      <c r="C143">
        <f t="shared" si="241"/>
        <v>2.616164090632879E-7</v>
      </c>
      <c r="D143">
        <f t="shared" si="241"/>
        <v>4.1205705724118746E-7</v>
      </c>
      <c r="E143">
        <f t="shared" ref="E143:H143" si="437">E45/E$53</f>
        <v>0</v>
      </c>
      <c r="F143">
        <f t="shared" si="437"/>
        <v>0</v>
      </c>
      <c r="G143">
        <f t="shared" si="437"/>
        <v>0</v>
      </c>
      <c r="H143">
        <f t="shared" si="437"/>
        <v>1.8352314648533078E-6</v>
      </c>
      <c r="I143">
        <f t="shared" ref="I143:L143" si="438">I45/I$53</f>
        <v>1.9134409234060863E-6</v>
      </c>
      <c r="J143">
        <f t="shared" si="438"/>
        <v>0</v>
      </c>
      <c r="K143">
        <f t="shared" si="438"/>
        <v>0</v>
      </c>
      <c r="L143">
        <f t="shared" si="438"/>
        <v>0</v>
      </c>
      <c r="M143">
        <f t="shared" ref="M143:P143" si="439">M45/M$53</f>
        <v>0</v>
      </c>
      <c r="N143">
        <f t="shared" si="439"/>
        <v>0</v>
      </c>
      <c r="O143">
        <f t="shared" si="439"/>
        <v>0</v>
      </c>
      <c r="P143">
        <f t="shared" si="439"/>
        <v>0</v>
      </c>
      <c r="Q143">
        <f t="shared" ref="Q143:U143" si="440">Q45/Q$53</f>
        <v>0</v>
      </c>
      <c r="R143">
        <f t="shared" si="440"/>
        <v>0</v>
      </c>
      <c r="S143">
        <f t="shared" si="440"/>
        <v>0</v>
      </c>
      <c r="T143">
        <f t="shared" si="440"/>
        <v>0</v>
      </c>
      <c r="U143">
        <f t="shared" si="440"/>
        <v>0</v>
      </c>
      <c r="V143">
        <f t="shared" ref="V143:AA143" si="441">V45/V$53</f>
        <v>0</v>
      </c>
      <c r="W143">
        <f t="shared" si="441"/>
        <v>0</v>
      </c>
      <c r="X143">
        <f t="shared" si="441"/>
        <v>0</v>
      </c>
      <c r="Y143">
        <f t="shared" si="441"/>
        <v>0</v>
      </c>
      <c r="Z143">
        <f t="shared" si="441"/>
        <v>0</v>
      </c>
      <c r="AA143">
        <f t="shared" si="441"/>
        <v>0</v>
      </c>
    </row>
    <row r="144" spans="1:27" x14ac:dyDescent="0.55000000000000004">
      <c r="A144" t="s">
        <v>192</v>
      </c>
      <c r="B144" t="s">
        <v>160</v>
      </c>
      <c r="C144">
        <f t="shared" si="241"/>
        <v>2.3146491766564355E-2</v>
      </c>
      <c r="D144">
        <f t="shared" si="241"/>
        <v>2.3891526404316472E-2</v>
      </c>
      <c r="E144">
        <f t="shared" ref="E144:H144" si="442">E46/E$53</f>
        <v>2.4684865826308869E-2</v>
      </c>
      <c r="F144">
        <f t="shared" si="442"/>
        <v>1.5830280537962756E-2</v>
      </c>
      <c r="G144">
        <f t="shared" si="442"/>
        <v>2.0896868195104477E-2</v>
      </c>
      <c r="H144">
        <f t="shared" si="442"/>
        <v>2.2716613609984407E-2</v>
      </c>
      <c r="I144">
        <f t="shared" ref="I144:L144" si="443">I46/I$53</f>
        <v>2.7035369977864848E-2</v>
      </c>
      <c r="J144">
        <f t="shared" si="443"/>
        <v>2.2945829129117766E-2</v>
      </c>
      <c r="K144">
        <f t="shared" si="443"/>
        <v>5.3686447624932389E-2</v>
      </c>
      <c r="L144">
        <f t="shared" si="443"/>
        <v>2.7250259041754033E-2</v>
      </c>
      <c r="M144">
        <f t="shared" ref="M144:P144" si="444">M46/M$53</f>
        <v>2.3641807616367205E-2</v>
      </c>
      <c r="N144">
        <f t="shared" si="444"/>
        <v>2.4768006718759623E-2</v>
      </c>
      <c r="O144">
        <f t="shared" si="444"/>
        <v>2.7438673495800946E-2</v>
      </c>
      <c r="P144">
        <f t="shared" si="444"/>
        <v>1.5830280537962756E-2</v>
      </c>
      <c r="Q144">
        <f t="shared" ref="Q144:U144" si="445">Q46/Q$53</f>
        <v>2.9027579247704889E-2</v>
      </c>
      <c r="R144">
        <f t="shared" si="445"/>
        <v>3.4413698122170634E-2</v>
      </c>
      <c r="S144">
        <f t="shared" si="445"/>
        <v>2.1365358998374179E-2</v>
      </c>
      <c r="T144">
        <f t="shared" si="445"/>
        <v>2.3341269200564802E-2</v>
      </c>
      <c r="U144">
        <f t="shared" si="445"/>
        <v>2.0674822892817191E-2</v>
      </c>
      <c r="V144">
        <f t="shared" ref="V144:AA144" si="446">V46/V$53</f>
        <v>1.645510990779462E-2</v>
      </c>
      <c r="W144">
        <f t="shared" si="446"/>
        <v>2.6081337867809928E-2</v>
      </c>
      <c r="X144">
        <f t="shared" si="446"/>
        <v>3.1481342891049119E-2</v>
      </c>
      <c r="Y144">
        <f t="shared" si="446"/>
        <v>5.6545144161336686E-2</v>
      </c>
      <c r="Z144">
        <f t="shared" si="446"/>
        <v>5.2715017738895406E-2</v>
      </c>
      <c r="AA144">
        <f t="shared" si="446"/>
        <v>1.7086263157292024E-2</v>
      </c>
    </row>
    <row r="145" spans="1:27" x14ac:dyDescent="0.55000000000000004">
      <c r="A145" t="s">
        <v>288</v>
      </c>
      <c r="B145" t="s">
        <v>161</v>
      </c>
      <c r="C145">
        <f t="shared" si="241"/>
        <v>0</v>
      </c>
      <c r="D145">
        <f t="shared" si="241"/>
        <v>0</v>
      </c>
      <c r="E145">
        <f t="shared" ref="E145:H145" si="447">E47/E$53</f>
        <v>0</v>
      </c>
      <c r="F145">
        <f t="shared" si="447"/>
        <v>0</v>
      </c>
      <c r="G145">
        <f t="shared" si="447"/>
        <v>0</v>
      </c>
      <c r="H145">
        <f t="shared" si="447"/>
        <v>0</v>
      </c>
      <c r="I145">
        <f t="shared" ref="I145:L145" si="448">I47/I$53</f>
        <v>0</v>
      </c>
      <c r="J145">
        <f t="shared" si="448"/>
        <v>0</v>
      </c>
      <c r="K145">
        <f t="shared" si="448"/>
        <v>0</v>
      </c>
      <c r="L145">
        <f t="shared" si="448"/>
        <v>0</v>
      </c>
      <c r="M145">
        <f t="shared" ref="M145:P145" si="449">M47/M$53</f>
        <v>0</v>
      </c>
      <c r="N145">
        <f t="shared" si="449"/>
        <v>0</v>
      </c>
      <c r="O145">
        <f t="shared" si="449"/>
        <v>0</v>
      </c>
      <c r="P145">
        <f t="shared" si="449"/>
        <v>0</v>
      </c>
      <c r="Q145">
        <f t="shared" ref="Q145:U145" si="450">Q47/Q$53</f>
        <v>0</v>
      </c>
      <c r="R145">
        <f t="shared" si="450"/>
        <v>0</v>
      </c>
      <c r="S145">
        <f t="shared" si="450"/>
        <v>0</v>
      </c>
      <c r="T145">
        <f t="shared" si="450"/>
        <v>0</v>
      </c>
      <c r="U145">
        <f t="shared" si="450"/>
        <v>0</v>
      </c>
      <c r="V145">
        <f t="shared" ref="V145:AA145" si="451">V47/V$53</f>
        <v>0</v>
      </c>
      <c r="W145">
        <f t="shared" si="451"/>
        <v>0</v>
      </c>
      <c r="X145">
        <f t="shared" si="451"/>
        <v>0</v>
      </c>
      <c r="Y145">
        <f t="shared" si="451"/>
        <v>0</v>
      </c>
      <c r="Z145">
        <f t="shared" si="451"/>
        <v>0</v>
      </c>
      <c r="AA145">
        <f t="shared" si="451"/>
        <v>0</v>
      </c>
    </row>
    <row r="146" spans="1:27" x14ac:dyDescent="0.55000000000000004">
      <c r="A146" t="s">
        <v>193</v>
      </c>
      <c r="B146" t="s">
        <v>162</v>
      </c>
      <c r="C146">
        <f t="shared" si="241"/>
        <v>6.0521461140225822E-4</v>
      </c>
      <c r="D146">
        <f t="shared" si="241"/>
        <v>9.2891695570546107E-4</v>
      </c>
      <c r="E146">
        <f t="shared" ref="E146:H146" si="452">E48/E$53</f>
        <v>1.0594694919186451E-3</v>
      </c>
      <c r="F146">
        <f t="shared" si="452"/>
        <v>1.101425448871717E-4</v>
      </c>
      <c r="G146">
        <f t="shared" si="452"/>
        <v>8.9352859057554332E-4</v>
      </c>
      <c r="H146">
        <f t="shared" si="452"/>
        <v>6.7970901996643727E-4</v>
      </c>
      <c r="I146">
        <f t="shared" ref="I146:L146" si="453">I48/I$53</f>
        <v>4.4501122924013521E-4</v>
      </c>
      <c r="J146">
        <f t="shared" si="453"/>
        <v>4.0187535769943843E-4</v>
      </c>
      <c r="K146">
        <f t="shared" si="453"/>
        <v>5.0756659052997485E-5</v>
      </c>
      <c r="L146">
        <f t="shared" si="453"/>
        <v>6.0874173744069531E-4</v>
      </c>
      <c r="M146">
        <f t="shared" ref="M146:P146" si="454">M48/M$53</f>
        <v>8.9818089283286216E-4</v>
      </c>
      <c r="N146">
        <f t="shared" si="454"/>
        <v>1.105897805093524E-3</v>
      </c>
      <c r="O146">
        <f t="shared" si="454"/>
        <v>7.6312663854005962E-4</v>
      </c>
      <c r="P146">
        <f t="shared" si="454"/>
        <v>1.101425448871717E-4</v>
      </c>
      <c r="Q146">
        <f t="shared" ref="Q146:U146" si="455">Q48/Q$53</f>
        <v>1.4020979892823002E-4</v>
      </c>
      <c r="R146">
        <f t="shared" si="455"/>
        <v>1.6738529189076652E-3</v>
      </c>
      <c r="S146">
        <f t="shared" si="455"/>
        <v>6.4192892229364559E-4</v>
      </c>
      <c r="T146">
        <f t="shared" si="455"/>
        <v>3.4181297696364582E-4</v>
      </c>
      <c r="U146">
        <f t="shared" si="455"/>
        <v>1.0119987303606266E-3</v>
      </c>
      <c r="V146">
        <f t="shared" ref="V146:AA146" si="456">V48/V$53</f>
        <v>9.1395767207788712E-4</v>
      </c>
      <c r="W146">
        <f t="shared" si="456"/>
        <v>2.4936752072025724E-4</v>
      </c>
      <c r="X146">
        <f t="shared" si="456"/>
        <v>1.4264474137868803E-4</v>
      </c>
      <c r="Y146">
        <f t="shared" si="456"/>
        <v>0</v>
      </c>
      <c r="Z146">
        <f t="shared" si="456"/>
        <v>6.7939257673456209E-5</v>
      </c>
      <c r="AA146">
        <f t="shared" si="456"/>
        <v>1.0992610276548811E-4</v>
      </c>
    </row>
    <row r="147" spans="1:27" x14ac:dyDescent="0.55000000000000004">
      <c r="A147" t="s">
        <v>194</v>
      </c>
      <c r="B147" t="s">
        <v>163</v>
      </c>
      <c r="C147">
        <f t="shared" si="241"/>
        <v>6.8485612584203128E-6</v>
      </c>
      <c r="D147">
        <f t="shared" si="241"/>
        <v>1.2206824500921604E-5</v>
      </c>
      <c r="E147">
        <f t="shared" ref="E147:H147" si="457">E49/E$53</f>
        <v>4.6400123733663285E-5</v>
      </c>
      <c r="F147">
        <f t="shared" si="457"/>
        <v>0</v>
      </c>
      <c r="G147">
        <f t="shared" si="457"/>
        <v>1.98220017163925E-6</v>
      </c>
      <c r="H147">
        <f t="shared" si="457"/>
        <v>0</v>
      </c>
      <c r="I147">
        <f t="shared" ref="I147:L147" si="458">I49/I$53</f>
        <v>1.7005196587055148E-5</v>
      </c>
      <c r="J147">
        <f t="shared" si="458"/>
        <v>0</v>
      </c>
      <c r="K147">
        <f t="shared" si="458"/>
        <v>0</v>
      </c>
      <c r="L147">
        <f t="shared" si="458"/>
        <v>1.633621653752342E-5</v>
      </c>
      <c r="M147">
        <f t="shared" ref="M147:P147" si="459">M49/M$53</f>
        <v>0</v>
      </c>
      <c r="N147">
        <f t="shared" si="459"/>
        <v>5.1619882022752377E-5</v>
      </c>
      <c r="O147">
        <f t="shared" si="459"/>
        <v>1.7052718821697307E-5</v>
      </c>
      <c r="P147">
        <f t="shared" si="459"/>
        <v>0</v>
      </c>
      <c r="Q147">
        <f t="shared" ref="Q147:U147" si="460">Q49/Q$53</f>
        <v>0</v>
      </c>
      <c r="R147">
        <f t="shared" si="460"/>
        <v>0</v>
      </c>
      <c r="S147">
        <f t="shared" si="460"/>
        <v>0</v>
      </c>
      <c r="T147">
        <f t="shared" si="460"/>
        <v>0</v>
      </c>
      <c r="U147">
        <f t="shared" si="460"/>
        <v>0</v>
      </c>
      <c r="V147">
        <f t="shared" ref="V147:AA147" si="461">V49/V$53</f>
        <v>0</v>
      </c>
      <c r="W147">
        <f t="shared" si="461"/>
        <v>0</v>
      </c>
      <c r="X147">
        <f t="shared" si="461"/>
        <v>0</v>
      </c>
      <c r="Y147">
        <f t="shared" si="461"/>
        <v>0</v>
      </c>
      <c r="Z147">
        <f t="shared" si="461"/>
        <v>0</v>
      </c>
      <c r="AA147">
        <f t="shared" si="461"/>
        <v>0</v>
      </c>
    </row>
    <row r="148" spans="1:27" x14ac:dyDescent="0.55000000000000004">
      <c r="A148" t="s">
        <v>195</v>
      </c>
      <c r="B148" t="s">
        <v>164</v>
      </c>
      <c r="C148">
        <f t="shared" si="241"/>
        <v>5.2409572796312767E-5</v>
      </c>
      <c r="D148">
        <f t="shared" si="241"/>
        <v>1.0714780680083134E-4</v>
      </c>
      <c r="E148">
        <f t="shared" ref="E148:H148" si="462">E50/E$53</f>
        <v>1.8560049493465314E-4</v>
      </c>
      <c r="F148">
        <f t="shared" si="462"/>
        <v>0</v>
      </c>
      <c r="G148">
        <f t="shared" si="462"/>
        <v>2.2986334272514555E-5</v>
      </c>
      <c r="H148">
        <f t="shared" si="462"/>
        <v>0</v>
      </c>
      <c r="I148">
        <f t="shared" ref="I148:L148" si="463">I50/I$53</f>
        <v>6.3425917622845165E-5</v>
      </c>
      <c r="J148">
        <f t="shared" si="463"/>
        <v>0</v>
      </c>
      <c r="K148">
        <f t="shared" si="463"/>
        <v>0</v>
      </c>
      <c r="L148">
        <f t="shared" si="463"/>
        <v>3.2394726891669609E-4</v>
      </c>
      <c r="M148">
        <f t="shared" ref="M148:P148" si="464">M50/M$53</f>
        <v>8.2926139902988742E-5</v>
      </c>
      <c r="N148">
        <f t="shared" si="464"/>
        <v>1.9253163984992493E-4</v>
      </c>
      <c r="O148">
        <f t="shared" si="464"/>
        <v>1.8093634538270397E-4</v>
      </c>
      <c r="P148">
        <f t="shared" si="464"/>
        <v>0</v>
      </c>
      <c r="Q148">
        <f t="shared" ref="Q148:U148" si="465">Q50/Q$53</f>
        <v>0</v>
      </c>
      <c r="R148">
        <f t="shared" si="465"/>
        <v>0</v>
      </c>
      <c r="S148">
        <f t="shared" si="465"/>
        <v>0</v>
      </c>
      <c r="T148">
        <f t="shared" si="465"/>
        <v>0</v>
      </c>
      <c r="U148">
        <f t="shared" si="465"/>
        <v>0</v>
      </c>
      <c r="V148">
        <f t="shared" ref="V148:AA148" si="466">V50/V$53</f>
        <v>2.985412977006084E-4</v>
      </c>
      <c r="W148">
        <f t="shared" si="466"/>
        <v>0</v>
      </c>
      <c r="X148">
        <f t="shared" si="466"/>
        <v>4.8985103285826702E-4</v>
      </c>
      <c r="Y148">
        <f t="shared" si="466"/>
        <v>0</v>
      </c>
      <c r="Z148">
        <f t="shared" si="466"/>
        <v>0</v>
      </c>
      <c r="AA148">
        <f t="shared" si="466"/>
        <v>1.2258927562006601E-4</v>
      </c>
    </row>
    <row r="149" spans="1:27" x14ac:dyDescent="0.55000000000000004">
      <c r="B149" s="2" t="s">
        <v>117</v>
      </c>
      <c r="C149" s="2">
        <f t="shared" si="241"/>
        <v>0.38022467377951435</v>
      </c>
      <c r="D149" s="2">
        <f t="shared" si="241"/>
        <v>0.45785895844138963</v>
      </c>
      <c r="E149" s="2">
        <f t="shared" ref="E149:H149" si="467">E51/E$53</f>
        <v>0.45295800788802104</v>
      </c>
      <c r="F149" s="2">
        <f t="shared" si="467"/>
        <v>0.29239409949874506</v>
      </c>
      <c r="G149" s="2">
        <f t="shared" si="467"/>
        <v>0.34697061003675844</v>
      </c>
      <c r="H149" s="2">
        <f t="shared" si="467"/>
        <v>0.44881172788912865</v>
      </c>
      <c r="I149" s="2">
        <f t="shared" ref="I149:L149" si="468">I51/I$53</f>
        <v>0.49995723268153092</v>
      </c>
      <c r="J149" s="2">
        <f t="shared" si="468"/>
        <v>0.33474689830338183</v>
      </c>
      <c r="K149" s="2">
        <f t="shared" si="468"/>
        <v>0.81534061898785726</v>
      </c>
      <c r="L149" s="2">
        <f t="shared" si="468"/>
        <v>0.48875094178766243</v>
      </c>
      <c r="M149" s="2">
        <f t="shared" ref="M149:P149" si="469">M51/M$53</f>
        <v>0.45943042402082662</v>
      </c>
      <c r="N149" s="2">
        <f t="shared" si="469"/>
        <v>0.45259713843342037</v>
      </c>
      <c r="O149" s="2">
        <f t="shared" si="469"/>
        <v>0.53857327510209418</v>
      </c>
      <c r="P149" s="2">
        <f t="shared" si="469"/>
        <v>0.29239409949874506</v>
      </c>
      <c r="Q149" s="2">
        <f t="shared" ref="Q149:U149" si="470">Q51/Q$53</f>
        <v>0.53340054764103129</v>
      </c>
      <c r="R149" s="2">
        <f t="shared" si="470"/>
        <v>0.40498244176660775</v>
      </c>
      <c r="S149" s="2">
        <f t="shared" si="470"/>
        <v>0.45239741965278168</v>
      </c>
      <c r="T149" s="2">
        <f t="shared" si="470"/>
        <v>0.30531025811435791</v>
      </c>
      <c r="U149" s="2">
        <f t="shared" si="470"/>
        <v>0.3130572567385857</v>
      </c>
      <c r="V149" s="2">
        <f t="shared" ref="V149:AA149" si="471">V51/V$53</f>
        <v>0.36152570672702428</v>
      </c>
      <c r="W149" s="2">
        <f t="shared" si="471"/>
        <v>0.33157667757819187</v>
      </c>
      <c r="X149" s="2">
        <f t="shared" si="471"/>
        <v>0.58944606063562155</v>
      </c>
      <c r="Y149" s="2">
        <f t="shared" si="471"/>
        <v>1.1097769112295441</v>
      </c>
      <c r="Z149" s="2">
        <f t="shared" si="471"/>
        <v>0.71543332356447042</v>
      </c>
      <c r="AA149" s="2">
        <f t="shared" si="471"/>
        <v>0.43055935893744479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Cover</vt:lpstr>
      <vt:lpstr>Data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2025-03-15T09:38:35Z</dcterms:modified>
</cp:coreProperties>
</file>