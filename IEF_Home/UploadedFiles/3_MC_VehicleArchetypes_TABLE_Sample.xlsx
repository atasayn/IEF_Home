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1C8B754A-8886-414C-ADB6-DB60C02F95F1}" xr6:coauthVersionLast="36" xr6:coauthVersionMax="36" xr10:uidLastSave="{00000000-0000-0000-0000-000000000000}"/>
  <bookViews>
    <workbookView xWindow="0" yWindow="0" windowWidth="25596" windowHeight="15996" xr2:uid="{00000000-000D-0000-FFFF-FFFF00000000}"/>
  </bookViews>
  <sheets>
    <sheet name="Cover" sheetId="10" r:id="rId1"/>
    <sheet name="Data" sheetId="5" r:id="rId2"/>
    <sheet name="___" sheetId="11" r:id="rId3"/>
    <sheet name="Scaling" sheetId="6" r:id="rId4"/>
    <sheet name="raw_data" sheetId="9" r:id="rId5"/>
    <sheet name="log" sheetId="7" r:id="rId6"/>
    <sheet name="ref" sheetId="8" r:id="rId7"/>
  </sheets>
  <externalReferences>
    <externalReference r:id="rId8"/>
  </externalReferences>
  <definedNames>
    <definedName name="veh_US_lookup_col">'[1]raw data'!$A$3:$A$13</definedName>
    <definedName name="veh_US_lookup_header">'[1]raw data'!$A$3:$Y$3</definedName>
    <definedName name="veh_US_lookup_tab">'[1]raw data'!$A$3:$Y$13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80" i="6" l="1"/>
  <c r="F80" i="6"/>
  <c r="N79" i="6"/>
  <c r="H79" i="6"/>
  <c r="N78" i="6"/>
  <c r="J78" i="6"/>
  <c r="U77" i="6"/>
  <c r="N77" i="6"/>
  <c r="K77" i="6"/>
  <c r="J77" i="6"/>
  <c r="J80" i="6"/>
  <c r="I77" i="6"/>
  <c r="I78" i="6"/>
  <c r="H77" i="6"/>
  <c r="H78" i="6"/>
  <c r="S78" i="6"/>
  <c r="G77" i="6"/>
  <c r="G79" i="6"/>
  <c r="F77" i="6"/>
  <c r="F79" i="6"/>
  <c r="E77" i="6"/>
  <c r="E80" i="6"/>
  <c r="P80" i="6"/>
  <c r="D77" i="6"/>
  <c r="D80" i="6"/>
  <c r="O80" i="6"/>
  <c r="N76" i="6"/>
  <c r="E76" i="6"/>
  <c r="N75" i="6"/>
  <c r="G75" i="6"/>
  <c r="N74" i="6"/>
  <c r="I74" i="6"/>
  <c r="T73" i="6"/>
  <c r="N73" i="6"/>
  <c r="K73" i="6"/>
  <c r="K76" i="6"/>
  <c r="J73" i="6"/>
  <c r="I73" i="6"/>
  <c r="I76" i="6"/>
  <c r="H73" i="6"/>
  <c r="H74" i="6"/>
  <c r="G73" i="6"/>
  <c r="G74" i="6"/>
  <c r="F73" i="6"/>
  <c r="F75" i="6"/>
  <c r="Q75" i="6"/>
  <c r="E73" i="6"/>
  <c r="E75" i="6"/>
  <c r="P75" i="6"/>
  <c r="D73" i="6"/>
  <c r="D76" i="6"/>
  <c r="N72" i="6"/>
  <c r="D72" i="6"/>
  <c r="N71" i="6"/>
  <c r="F71" i="6"/>
  <c r="N70" i="6"/>
  <c r="H70" i="6"/>
  <c r="S70" i="6"/>
  <c r="S69" i="6"/>
  <c r="N69" i="6"/>
  <c r="K69" i="6"/>
  <c r="K72" i="6"/>
  <c r="J69" i="6"/>
  <c r="J72" i="6"/>
  <c r="U72" i="6"/>
  <c r="I69" i="6"/>
  <c r="H69" i="6"/>
  <c r="H72" i="6"/>
  <c r="G69" i="6"/>
  <c r="G70" i="6"/>
  <c r="F69" i="6"/>
  <c r="F70" i="6"/>
  <c r="Q70" i="6"/>
  <c r="E69" i="6"/>
  <c r="E71" i="6"/>
  <c r="D69" i="6"/>
  <c r="D71" i="6"/>
  <c r="O71" i="6"/>
  <c r="N68" i="6"/>
  <c r="K68" i="6"/>
  <c r="N67" i="6"/>
  <c r="E67" i="6"/>
  <c r="N66" i="6"/>
  <c r="G66" i="6"/>
  <c r="R65" i="6"/>
  <c r="N65" i="6"/>
  <c r="K65" i="6"/>
  <c r="K67" i="6"/>
  <c r="V67" i="6"/>
  <c r="J65" i="6"/>
  <c r="J68" i="6"/>
  <c r="I65" i="6"/>
  <c r="I68" i="6"/>
  <c r="T68" i="6"/>
  <c r="H65" i="6"/>
  <c r="G65" i="6"/>
  <c r="G68" i="6"/>
  <c r="F65" i="6"/>
  <c r="F66" i="6"/>
  <c r="E65" i="6"/>
  <c r="E66" i="6"/>
  <c r="P66" i="6"/>
  <c r="D65" i="6"/>
  <c r="D67" i="6"/>
  <c r="N64" i="6"/>
  <c r="N63" i="6"/>
  <c r="N62" i="6"/>
  <c r="N61" i="6"/>
  <c r="G61" i="6"/>
  <c r="N60" i="6"/>
  <c r="I60" i="6"/>
  <c r="N59" i="6"/>
  <c r="K59" i="6"/>
  <c r="V59" i="6"/>
  <c r="N58" i="6"/>
  <c r="E58" i="6"/>
  <c r="P57" i="6"/>
  <c r="N57" i="6"/>
  <c r="K57" i="6"/>
  <c r="K58" i="6"/>
  <c r="J57" i="6"/>
  <c r="J59" i="6"/>
  <c r="I57" i="6"/>
  <c r="I59" i="6"/>
  <c r="T59" i="6"/>
  <c r="H57" i="6"/>
  <c r="H60" i="6"/>
  <c r="G57" i="6"/>
  <c r="G60" i="6"/>
  <c r="R60" i="6"/>
  <c r="F57" i="6"/>
  <c r="E57" i="6"/>
  <c r="E61" i="6"/>
  <c r="D57" i="6"/>
  <c r="D58" i="6"/>
  <c r="N56" i="6"/>
  <c r="H56" i="6"/>
  <c r="S56" i="6"/>
  <c r="N55" i="6"/>
  <c r="J55" i="6"/>
  <c r="N54" i="6"/>
  <c r="D54" i="6"/>
  <c r="O53" i="6"/>
  <c r="N53" i="6"/>
  <c r="K53" i="6"/>
  <c r="K54" i="6"/>
  <c r="J53" i="6"/>
  <c r="J54" i="6"/>
  <c r="I53" i="6"/>
  <c r="I55" i="6"/>
  <c r="T55" i="6"/>
  <c r="H53" i="6"/>
  <c r="H55" i="6"/>
  <c r="S55" i="6"/>
  <c r="G53" i="6"/>
  <c r="G56" i="6"/>
  <c r="F53" i="6"/>
  <c r="F56" i="6"/>
  <c r="Q56" i="6"/>
  <c r="E53" i="6"/>
  <c r="D53" i="6"/>
  <c r="D56" i="6"/>
  <c r="N52" i="6"/>
  <c r="G52" i="6"/>
  <c r="R52" i="6"/>
  <c r="N51" i="6"/>
  <c r="I51" i="6"/>
  <c r="T50" i="6"/>
  <c r="N50" i="6"/>
  <c r="K50" i="6"/>
  <c r="V50" i="6"/>
  <c r="V49" i="6"/>
  <c r="N49" i="6"/>
  <c r="K49" i="6"/>
  <c r="K52" i="6"/>
  <c r="J49" i="6"/>
  <c r="J50" i="6"/>
  <c r="I49" i="6"/>
  <c r="I50" i="6"/>
  <c r="H49" i="6"/>
  <c r="H51" i="6"/>
  <c r="S51" i="6"/>
  <c r="G49" i="6"/>
  <c r="G51" i="6"/>
  <c r="F49" i="6"/>
  <c r="F52" i="6"/>
  <c r="Q52" i="6"/>
  <c r="E49" i="6"/>
  <c r="E52" i="6"/>
  <c r="D49" i="6"/>
  <c r="N48" i="6"/>
  <c r="F48" i="6"/>
  <c r="Q47" i="6"/>
  <c r="N47" i="6"/>
  <c r="H47" i="6"/>
  <c r="S47" i="6"/>
  <c r="N46" i="6"/>
  <c r="J46" i="6"/>
  <c r="U45" i="6"/>
  <c r="N45" i="6"/>
  <c r="K45" i="6"/>
  <c r="J45" i="6"/>
  <c r="J48" i="6"/>
  <c r="I45" i="6"/>
  <c r="I46" i="6"/>
  <c r="T46" i="6"/>
  <c r="H45" i="6"/>
  <c r="H46" i="6"/>
  <c r="S46" i="6"/>
  <c r="G45" i="6"/>
  <c r="G47" i="6"/>
  <c r="R47" i="6"/>
  <c r="F45" i="6"/>
  <c r="F47" i="6"/>
  <c r="E45" i="6"/>
  <c r="E48" i="6"/>
  <c r="D45" i="6"/>
  <c r="D48" i="6"/>
  <c r="V44" i="6"/>
  <c r="N44" i="6"/>
  <c r="E44" i="6"/>
  <c r="P44" i="6"/>
  <c r="N43" i="6"/>
  <c r="G43" i="6"/>
  <c r="N42" i="6"/>
  <c r="I42" i="6"/>
  <c r="T42" i="6"/>
  <c r="T41" i="6"/>
  <c r="N41" i="6"/>
  <c r="K41" i="6"/>
  <c r="K44" i="6"/>
  <c r="J41" i="6"/>
  <c r="I41" i="6"/>
  <c r="I44" i="6"/>
  <c r="H41" i="6"/>
  <c r="H42" i="6"/>
  <c r="G41" i="6"/>
  <c r="G42" i="6"/>
  <c r="R42" i="6"/>
  <c r="F41" i="6"/>
  <c r="F43" i="6"/>
  <c r="Q43" i="6"/>
  <c r="E41" i="6"/>
  <c r="E43" i="6"/>
  <c r="P43" i="6"/>
  <c r="D41" i="6"/>
  <c r="D44" i="6"/>
  <c r="O44" i="6"/>
  <c r="N40" i="6"/>
  <c r="N39" i="6"/>
  <c r="N38" i="6"/>
  <c r="N37" i="6"/>
  <c r="D37" i="6"/>
  <c r="D40" i="6"/>
  <c r="O40" i="6"/>
  <c r="O36" i="6"/>
  <c r="N36" i="6"/>
  <c r="K36" i="6"/>
  <c r="V36" i="6"/>
  <c r="N35" i="6"/>
  <c r="M35" i="6"/>
  <c r="V35" i="6"/>
  <c r="K35" i="6"/>
  <c r="J35" i="6"/>
  <c r="U35" i="6"/>
  <c r="F35" i="6"/>
  <c r="Q35" i="6"/>
  <c r="D35" i="6"/>
  <c r="O35" i="6"/>
  <c r="N34" i="6"/>
  <c r="M34" i="6"/>
  <c r="Q34" i="6"/>
  <c r="K34" i="6"/>
  <c r="V34" i="6"/>
  <c r="H34" i="6"/>
  <c r="S34" i="6"/>
  <c r="F34" i="6"/>
  <c r="D34" i="6"/>
  <c r="O34" i="6"/>
  <c r="V33" i="6"/>
  <c r="S33" i="6"/>
  <c r="Q33" i="6"/>
  <c r="O33" i="6"/>
  <c r="N33" i="6"/>
  <c r="K33" i="6"/>
  <c r="K37" i="6"/>
  <c r="J33" i="6"/>
  <c r="I33" i="6"/>
  <c r="I36" i="6"/>
  <c r="T36" i="6"/>
  <c r="H33" i="6"/>
  <c r="H35" i="6"/>
  <c r="S35" i="6"/>
  <c r="G33" i="6"/>
  <c r="G37" i="6"/>
  <c r="F33" i="6"/>
  <c r="F37" i="6"/>
  <c r="E33" i="6"/>
  <c r="E37" i="6"/>
  <c r="D33" i="6"/>
  <c r="D36" i="6"/>
  <c r="H30" i="6"/>
  <c r="M80" i="6"/>
  <c r="G30" i="6"/>
  <c r="M56" i="6"/>
  <c r="H29" i="6"/>
  <c r="M79" i="6"/>
  <c r="Q79" i="6"/>
  <c r="G29" i="6"/>
  <c r="M55" i="6"/>
  <c r="H28" i="6"/>
  <c r="M78" i="6"/>
  <c r="G28" i="6"/>
  <c r="M54" i="6"/>
  <c r="U54" i="6"/>
  <c r="H26" i="6"/>
  <c r="M76" i="6"/>
  <c r="V76" i="6"/>
  <c r="G26" i="6"/>
  <c r="M52" i="6"/>
  <c r="P52" i="6"/>
  <c r="H25" i="6"/>
  <c r="M75" i="6"/>
  <c r="G25" i="6"/>
  <c r="M51" i="6"/>
  <c r="R51" i="6"/>
  <c r="H24" i="6"/>
  <c r="M74" i="6"/>
  <c r="R74" i="6"/>
  <c r="G24" i="6"/>
  <c r="M50" i="6"/>
  <c r="H22" i="6"/>
  <c r="M72" i="6"/>
  <c r="G22" i="6"/>
  <c r="M48" i="6"/>
  <c r="O48" i="6"/>
  <c r="H21" i="6"/>
  <c r="M71" i="6"/>
  <c r="G21" i="6"/>
  <c r="M47" i="6"/>
  <c r="H20" i="6"/>
  <c r="M70" i="6"/>
  <c r="G20" i="6"/>
  <c r="M46" i="6"/>
  <c r="H18" i="6"/>
  <c r="M68" i="6"/>
  <c r="G18" i="6"/>
  <c r="M44" i="6"/>
  <c r="H17" i="6"/>
  <c r="M67" i="6"/>
  <c r="G17" i="6"/>
  <c r="M43" i="6"/>
  <c r="H16" i="6"/>
  <c r="M66" i="6"/>
  <c r="G16" i="6"/>
  <c r="M42" i="6"/>
  <c r="H14" i="6"/>
  <c r="M64" i="6"/>
  <c r="G14" i="6"/>
  <c r="M40" i="6"/>
  <c r="H13" i="6"/>
  <c r="M63" i="6"/>
  <c r="G13" i="6"/>
  <c r="M39" i="6"/>
  <c r="H12" i="6"/>
  <c r="M62" i="6"/>
  <c r="G12" i="6"/>
  <c r="M38" i="6"/>
  <c r="H10" i="6"/>
  <c r="M60" i="6"/>
  <c r="G10" i="6"/>
  <c r="M36" i="6"/>
  <c r="H9" i="6"/>
  <c r="M59" i="6"/>
  <c r="G9" i="6"/>
  <c r="H8" i="6"/>
  <c r="M58" i="6"/>
  <c r="V58" i="6"/>
  <c r="G8" i="6"/>
  <c r="A13" i="9"/>
  <c r="A12" i="9"/>
  <c r="A11" i="9"/>
  <c r="A10" i="9"/>
  <c r="A9" i="9"/>
  <c r="A8" i="9"/>
  <c r="A7" i="9"/>
  <c r="A6" i="9"/>
  <c r="A5" i="9"/>
  <c r="A4" i="9"/>
  <c r="M3" i="9"/>
  <c r="J3" i="9"/>
  <c r="I3" i="9"/>
  <c r="H3" i="9"/>
  <c r="G3" i="9"/>
  <c r="F3" i="9"/>
  <c r="E3" i="9"/>
  <c r="D3" i="9"/>
  <c r="K48" i="6"/>
  <c r="V48" i="6"/>
  <c r="K47" i="6"/>
  <c r="V47" i="6"/>
  <c r="K46" i="6"/>
  <c r="V46" i="6"/>
  <c r="V45" i="6"/>
  <c r="J76" i="6"/>
  <c r="U76" i="6"/>
  <c r="J75" i="6"/>
  <c r="U75" i="6"/>
  <c r="J74" i="6"/>
  <c r="U74" i="6"/>
  <c r="U73" i="6"/>
  <c r="J36" i="6"/>
  <c r="U36" i="6"/>
  <c r="J37" i="6"/>
  <c r="T33" i="6"/>
  <c r="I34" i="6"/>
  <c r="T34" i="6"/>
  <c r="G35" i="6"/>
  <c r="R35" i="6"/>
  <c r="F36" i="6"/>
  <c r="Q36" i="6"/>
  <c r="I37" i="6"/>
  <c r="Q48" i="6"/>
  <c r="T51" i="6"/>
  <c r="O54" i="6"/>
  <c r="U59" i="6"/>
  <c r="U68" i="6"/>
  <c r="R70" i="6"/>
  <c r="E36" i="6"/>
  <c r="P36" i="6"/>
  <c r="E56" i="6"/>
  <c r="P56" i="6"/>
  <c r="E55" i="6"/>
  <c r="P55" i="6"/>
  <c r="E54" i="6"/>
  <c r="P54" i="6"/>
  <c r="P53" i="6"/>
  <c r="P67" i="6"/>
  <c r="R79" i="6"/>
  <c r="K40" i="6"/>
  <c r="V40" i="6"/>
  <c r="K39" i="6"/>
  <c r="V39" i="6"/>
  <c r="K38" i="6"/>
  <c r="V38" i="6"/>
  <c r="V37" i="6"/>
  <c r="U33" i="6"/>
  <c r="J34" i="6"/>
  <c r="U34" i="6"/>
  <c r="G36" i="6"/>
  <c r="R36" i="6"/>
  <c r="S42" i="6"/>
  <c r="P48" i="6"/>
  <c r="U50" i="6"/>
  <c r="R56" i="6"/>
  <c r="S72" i="6"/>
  <c r="O76" i="6"/>
  <c r="P76" i="6"/>
  <c r="T78" i="6"/>
  <c r="S79" i="6"/>
  <c r="D39" i="6"/>
  <c r="O39" i="6"/>
  <c r="D38" i="6"/>
  <c r="O38" i="6"/>
  <c r="O37" i="6"/>
  <c r="I35" i="6"/>
  <c r="T35" i="6"/>
  <c r="T44" i="6"/>
  <c r="R43" i="6"/>
  <c r="U46" i="6"/>
  <c r="V52" i="6"/>
  <c r="O58" i="6"/>
  <c r="T60" i="6"/>
  <c r="O67" i="6"/>
  <c r="V68" i="6"/>
  <c r="I72" i="6"/>
  <c r="T72" i="6"/>
  <c r="I71" i="6"/>
  <c r="T71" i="6"/>
  <c r="I70" i="6"/>
  <c r="T70" i="6"/>
  <c r="T69" i="6"/>
  <c r="Q71" i="6"/>
  <c r="U80" i="6"/>
  <c r="E39" i="6"/>
  <c r="P39" i="6"/>
  <c r="E38" i="6"/>
  <c r="P38" i="6"/>
  <c r="P37" i="6"/>
  <c r="E40" i="6"/>
  <c r="P40" i="6"/>
  <c r="E62" i="6"/>
  <c r="P62" i="6"/>
  <c r="P61" i="6"/>
  <c r="E64" i="6"/>
  <c r="P64" i="6"/>
  <c r="E63" i="6"/>
  <c r="P63" i="6"/>
  <c r="K80" i="6"/>
  <c r="V80" i="6"/>
  <c r="K79" i="6"/>
  <c r="V79" i="6"/>
  <c r="K78" i="6"/>
  <c r="V78" i="6"/>
  <c r="V77" i="6"/>
  <c r="D52" i="6"/>
  <c r="O52" i="6"/>
  <c r="D51" i="6"/>
  <c r="O51" i="6"/>
  <c r="D50" i="6"/>
  <c r="O50" i="6"/>
  <c r="O49" i="6"/>
  <c r="T74" i="6"/>
  <c r="F38" i="6"/>
  <c r="Q38" i="6"/>
  <c r="Q37" i="6"/>
  <c r="F40" i="6"/>
  <c r="Q40" i="6"/>
  <c r="P33" i="6"/>
  <c r="E34" i="6"/>
  <c r="P34" i="6"/>
  <c r="U55" i="6"/>
  <c r="F61" i="6"/>
  <c r="F60" i="6"/>
  <c r="Q60" i="6"/>
  <c r="F59" i="6"/>
  <c r="Q59" i="6"/>
  <c r="F58" i="6"/>
  <c r="Q58" i="6"/>
  <c r="Q57" i="6"/>
  <c r="P58" i="6"/>
  <c r="Q66" i="6"/>
  <c r="R66" i="6"/>
  <c r="V72" i="6"/>
  <c r="Q80" i="6"/>
  <c r="G38" i="6"/>
  <c r="R38" i="6"/>
  <c r="R37" i="6"/>
  <c r="G40" i="6"/>
  <c r="R40" i="6"/>
  <c r="G39" i="6"/>
  <c r="R39" i="6"/>
  <c r="V54" i="6"/>
  <c r="G64" i="6"/>
  <c r="R64" i="6"/>
  <c r="G63" i="6"/>
  <c r="R63" i="6"/>
  <c r="G62" i="6"/>
  <c r="R62" i="6"/>
  <c r="R61" i="6"/>
  <c r="R68" i="6"/>
  <c r="O72" i="6"/>
  <c r="S74" i="6"/>
  <c r="J44" i="6"/>
  <c r="U44" i="6"/>
  <c r="J43" i="6"/>
  <c r="U43" i="6"/>
  <c r="J42" i="6"/>
  <c r="U42" i="6"/>
  <c r="U41" i="6"/>
  <c r="H37" i="6"/>
  <c r="H36" i="6"/>
  <c r="S36" i="6"/>
  <c r="R33" i="6"/>
  <c r="G34" i="6"/>
  <c r="R34" i="6"/>
  <c r="E35" i="6"/>
  <c r="P35" i="6"/>
  <c r="F39" i="6"/>
  <c r="Q39" i="6"/>
  <c r="U48" i="6"/>
  <c r="O56" i="6"/>
  <c r="S60" i="6"/>
  <c r="H68" i="6"/>
  <c r="S68" i="6"/>
  <c r="H67" i="6"/>
  <c r="S67" i="6"/>
  <c r="H66" i="6"/>
  <c r="S66" i="6"/>
  <c r="S65" i="6"/>
  <c r="P71" i="6"/>
  <c r="T76" i="6"/>
  <c r="R75" i="6"/>
  <c r="U78" i="6"/>
  <c r="H43" i="6"/>
  <c r="S43" i="6"/>
  <c r="F44" i="6"/>
  <c r="Q44" i="6"/>
  <c r="I47" i="6"/>
  <c r="T47" i="6"/>
  <c r="G48" i="6"/>
  <c r="R48" i="6"/>
  <c r="J51" i="6"/>
  <c r="U51" i="6"/>
  <c r="H52" i="6"/>
  <c r="S52" i="6"/>
  <c r="K55" i="6"/>
  <c r="V55" i="6"/>
  <c r="I56" i="6"/>
  <c r="T56" i="6"/>
  <c r="D59" i="6"/>
  <c r="O59" i="6"/>
  <c r="J60" i="6"/>
  <c r="U60" i="6"/>
  <c r="H61" i="6"/>
  <c r="F67" i="6"/>
  <c r="Q67" i="6"/>
  <c r="D68" i="6"/>
  <c r="O68" i="6"/>
  <c r="G71" i="6"/>
  <c r="R71" i="6"/>
  <c r="E72" i="6"/>
  <c r="P72" i="6"/>
  <c r="H75" i="6"/>
  <c r="S75" i="6"/>
  <c r="F76" i="6"/>
  <c r="Q76" i="6"/>
  <c r="I79" i="6"/>
  <c r="T79" i="6"/>
  <c r="G80" i="6"/>
  <c r="R80" i="6"/>
  <c r="V41" i="6"/>
  <c r="K42" i="6"/>
  <c r="V42" i="6"/>
  <c r="I43" i="6"/>
  <c r="T43" i="6"/>
  <c r="G44" i="6"/>
  <c r="R44" i="6"/>
  <c r="O45" i="6"/>
  <c r="D46" i="6"/>
  <c r="O46" i="6"/>
  <c r="J47" i="6"/>
  <c r="U47" i="6"/>
  <c r="H48" i="6"/>
  <c r="S48" i="6"/>
  <c r="P49" i="6"/>
  <c r="E50" i="6"/>
  <c r="P50" i="6"/>
  <c r="K51" i="6"/>
  <c r="V51" i="6"/>
  <c r="I52" i="6"/>
  <c r="T52" i="6"/>
  <c r="Q53" i="6"/>
  <c r="F54" i="6"/>
  <c r="Q54" i="6"/>
  <c r="D55" i="6"/>
  <c r="O55" i="6"/>
  <c r="J56" i="6"/>
  <c r="U56" i="6"/>
  <c r="R57" i="6"/>
  <c r="G58" i="6"/>
  <c r="R58" i="6"/>
  <c r="E59" i="6"/>
  <c r="P59" i="6"/>
  <c r="K60" i="6"/>
  <c r="V60" i="6"/>
  <c r="I61" i="6"/>
  <c r="T65" i="6"/>
  <c r="I66" i="6"/>
  <c r="T66" i="6"/>
  <c r="G67" i="6"/>
  <c r="R67" i="6"/>
  <c r="E68" i="6"/>
  <c r="P68" i="6"/>
  <c r="U69" i="6"/>
  <c r="J70" i="6"/>
  <c r="U70" i="6"/>
  <c r="H71" i="6"/>
  <c r="S71" i="6"/>
  <c r="F72" i="6"/>
  <c r="Q72" i="6"/>
  <c r="V73" i="6"/>
  <c r="K74" i="6"/>
  <c r="V74" i="6"/>
  <c r="I75" i="6"/>
  <c r="T75" i="6"/>
  <c r="G76" i="6"/>
  <c r="R76" i="6"/>
  <c r="O77" i="6"/>
  <c r="D78" i="6"/>
  <c r="O78" i="6"/>
  <c r="J79" i="6"/>
  <c r="U79" i="6"/>
  <c r="H80" i="6"/>
  <c r="S80" i="6"/>
  <c r="O41" i="6"/>
  <c r="D42" i="6"/>
  <c r="O42" i="6"/>
  <c r="H44" i="6"/>
  <c r="S44" i="6"/>
  <c r="P45" i="6"/>
  <c r="E46" i="6"/>
  <c r="P46" i="6"/>
  <c r="I48" i="6"/>
  <c r="T48" i="6"/>
  <c r="Q49" i="6"/>
  <c r="F50" i="6"/>
  <c r="Q50" i="6"/>
  <c r="J52" i="6"/>
  <c r="U52" i="6"/>
  <c r="R53" i="6"/>
  <c r="G54" i="6"/>
  <c r="R54" i="6"/>
  <c r="K56" i="6"/>
  <c r="V56" i="6"/>
  <c r="S57" i="6"/>
  <c r="H58" i="6"/>
  <c r="S58" i="6"/>
  <c r="D60" i="6"/>
  <c r="O60" i="6"/>
  <c r="J61" i="6"/>
  <c r="U65" i="6"/>
  <c r="J66" i="6"/>
  <c r="U66" i="6"/>
  <c r="F68" i="6"/>
  <c r="Q68" i="6"/>
  <c r="V69" i="6"/>
  <c r="K70" i="6"/>
  <c r="V70" i="6"/>
  <c r="G72" i="6"/>
  <c r="R72" i="6"/>
  <c r="O73" i="6"/>
  <c r="D74" i="6"/>
  <c r="O74" i="6"/>
  <c r="H76" i="6"/>
  <c r="S76" i="6"/>
  <c r="P77" i="6"/>
  <c r="E78" i="6"/>
  <c r="P78" i="6"/>
  <c r="I80" i="6"/>
  <c r="T80" i="6"/>
  <c r="P41" i="6"/>
  <c r="E42" i="6"/>
  <c r="P42" i="6"/>
  <c r="K43" i="6"/>
  <c r="V43" i="6"/>
  <c r="Q45" i="6"/>
  <c r="F46" i="6"/>
  <c r="Q46" i="6"/>
  <c r="D47" i="6"/>
  <c r="O47" i="6"/>
  <c r="R49" i="6"/>
  <c r="G50" i="6"/>
  <c r="R50" i="6"/>
  <c r="E51" i="6"/>
  <c r="P51" i="6"/>
  <c r="S53" i="6"/>
  <c r="H54" i="6"/>
  <c r="S54" i="6"/>
  <c r="F55" i="6"/>
  <c r="Q55" i="6"/>
  <c r="T57" i="6"/>
  <c r="I58" i="6"/>
  <c r="T58" i="6"/>
  <c r="G59" i="6"/>
  <c r="R59" i="6"/>
  <c r="E60" i="6"/>
  <c r="P60" i="6"/>
  <c r="K61" i="6"/>
  <c r="V65" i="6"/>
  <c r="K66" i="6"/>
  <c r="V66" i="6"/>
  <c r="I67" i="6"/>
  <c r="T67" i="6"/>
  <c r="O69" i="6"/>
  <c r="D70" i="6"/>
  <c r="O70" i="6"/>
  <c r="J71" i="6"/>
  <c r="U71" i="6"/>
  <c r="P73" i="6"/>
  <c r="E74" i="6"/>
  <c r="P74" i="6"/>
  <c r="K75" i="6"/>
  <c r="V75" i="6"/>
  <c r="Q77" i="6"/>
  <c r="F78" i="6"/>
  <c r="Q78" i="6"/>
  <c r="D79" i="6"/>
  <c r="O79" i="6"/>
  <c r="Q41" i="6"/>
  <c r="F42" i="6"/>
  <c r="Q42" i="6"/>
  <c r="D43" i="6"/>
  <c r="O43" i="6"/>
  <c r="R45" i="6"/>
  <c r="G46" i="6"/>
  <c r="R46" i="6"/>
  <c r="E47" i="6"/>
  <c r="P47" i="6"/>
  <c r="S49" i="6"/>
  <c r="H50" i="6"/>
  <c r="S50" i="6"/>
  <c r="F51" i="6"/>
  <c r="Q51" i="6"/>
  <c r="T53" i="6"/>
  <c r="I54" i="6"/>
  <c r="T54" i="6"/>
  <c r="G55" i="6"/>
  <c r="R55" i="6"/>
  <c r="U57" i="6"/>
  <c r="J58" i="6"/>
  <c r="U58" i="6"/>
  <c r="H59" i="6"/>
  <c r="S59" i="6"/>
  <c r="D61" i="6"/>
  <c r="O65" i="6"/>
  <c r="D66" i="6"/>
  <c r="O66" i="6"/>
  <c r="J67" i="6"/>
  <c r="U67" i="6"/>
  <c r="P69" i="6"/>
  <c r="E70" i="6"/>
  <c r="P70" i="6"/>
  <c r="K71" i="6"/>
  <c r="V71" i="6"/>
  <c r="Q73" i="6"/>
  <c r="F74" i="6"/>
  <c r="Q74" i="6"/>
  <c r="D75" i="6"/>
  <c r="O75" i="6"/>
  <c r="R77" i="6"/>
  <c r="G78" i="6"/>
  <c r="R78" i="6"/>
  <c r="E79" i="6"/>
  <c r="P79" i="6"/>
  <c r="R41" i="6"/>
  <c r="S45" i="6"/>
  <c r="T49" i="6"/>
  <c r="U53" i="6"/>
  <c r="V57" i="6"/>
  <c r="P65" i="6"/>
  <c r="Q69" i="6"/>
  <c r="R73" i="6"/>
  <c r="S77" i="6"/>
  <c r="S41" i="6"/>
  <c r="T45" i="6"/>
  <c r="U49" i="6"/>
  <c r="V53" i="6"/>
  <c r="O57" i="6"/>
  <c r="Q65" i="6"/>
  <c r="R69" i="6"/>
  <c r="S73" i="6"/>
  <c r="T77" i="6"/>
  <c r="J63" i="6"/>
  <c r="U63" i="6"/>
  <c r="J62" i="6"/>
  <c r="U62" i="6"/>
  <c r="U61" i="6"/>
  <c r="J64" i="6"/>
  <c r="U64" i="6"/>
  <c r="I64" i="6"/>
  <c r="T64" i="6"/>
  <c r="I63" i="6"/>
  <c r="T63" i="6"/>
  <c r="I62" i="6"/>
  <c r="T62" i="6"/>
  <c r="T61" i="6"/>
  <c r="I40" i="6"/>
  <c r="T40" i="6"/>
  <c r="I39" i="6"/>
  <c r="T39" i="6"/>
  <c r="I38" i="6"/>
  <c r="T38" i="6"/>
  <c r="T37" i="6"/>
  <c r="H40" i="6"/>
  <c r="S40" i="6"/>
  <c r="H39" i="6"/>
  <c r="S39" i="6"/>
  <c r="H38" i="6"/>
  <c r="S38" i="6"/>
  <c r="S37" i="6"/>
  <c r="F64" i="6"/>
  <c r="Q64" i="6"/>
  <c r="F63" i="6"/>
  <c r="Q63" i="6"/>
  <c r="Q61" i="6"/>
  <c r="F62" i="6"/>
  <c r="Q62" i="6"/>
  <c r="K63" i="6"/>
  <c r="V63" i="6"/>
  <c r="K62" i="6"/>
  <c r="V62" i="6"/>
  <c r="V61" i="6"/>
  <c r="K64" i="6"/>
  <c r="V64" i="6"/>
  <c r="H64" i="6"/>
  <c r="S64" i="6"/>
  <c r="H63" i="6"/>
  <c r="S63" i="6"/>
  <c r="H62" i="6"/>
  <c r="S62" i="6"/>
  <c r="S61" i="6"/>
  <c r="J40" i="6"/>
  <c r="U40" i="6"/>
  <c r="J39" i="6"/>
  <c r="U39" i="6"/>
  <c r="J38" i="6"/>
  <c r="U38" i="6"/>
  <c r="U37" i="6"/>
  <c r="D62" i="6"/>
  <c r="O62" i="6"/>
  <c r="O61" i="6"/>
  <c r="D64" i="6"/>
  <c r="O64" i="6"/>
  <c r="D63" i="6"/>
  <c r="O63" i="6"/>
</calcChain>
</file>

<file path=xl/sharedStrings.xml><?xml version="1.0" encoding="utf-8"?>
<sst xmlns="http://schemas.openxmlformats.org/spreadsheetml/2006/main" count="649" uniqueCount="380">
  <si>
    <t>Format_Version</t>
  </si>
  <si>
    <t>Dataset_Unit</t>
  </si>
  <si>
    <t>Dataset_RecordType</t>
  </si>
  <si>
    <t xml:space="preserve"> </t>
  </si>
  <si>
    <t>Dataset_Uncertainty</t>
  </si>
  <si>
    <t>Dataset_Comment</t>
  </si>
  <si>
    <t>DATA</t>
  </si>
  <si>
    <t>DATA_Info</t>
  </si>
  <si>
    <t>No_Rows</t>
  </si>
  <si>
    <t>none</t>
  </si>
  <si>
    <t>TABLE</t>
  </si>
  <si>
    <t>No_Cols</t>
  </si>
  <si>
    <t>Row Aspects classification</t>
  </si>
  <si>
    <t>Col Aspects classification</t>
  </si>
  <si>
    <t>comment</t>
  </si>
  <si>
    <t>V1.0</t>
  </si>
  <si>
    <t>age-cohort</t>
  </si>
  <si>
    <t>d63017a3-e2b0-4e6e-901e-7a2648ea73d8</t>
  </si>
  <si>
    <t xml:space="preserve">ICEV-g passenger car </t>
  </si>
  <si>
    <t>ICEV-g light truck</t>
  </si>
  <si>
    <t>ICEV-d passenger car</t>
  </si>
  <si>
    <t>ICEV-d light truck</t>
  </si>
  <si>
    <t>HEV passenger car</t>
  </si>
  <si>
    <t>HEV light truck</t>
  </si>
  <si>
    <t>PHEV passenger car</t>
  </si>
  <si>
    <t>PHEV light truck</t>
  </si>
  <si>
    <t>BEV passenger car</t>
  </si>
  <si>
    <t>BEV light truck</t>
  </si>
  <si>
    <t>HFCEV passenger car</t>
  </si>
  <si>
    <t>HFCEV light truck</t>
  </si>
  <si>
    <t>ICEV-g passenger car lightweight</t>
  </si>
  <si>
    <t>ICEV-g light truck lightweight</t>
  </si>
  <si>
    <t>ICEV-d passenger car lightweight</t>
  </si>
  <si>
    <t>ICEV-d light truck lightweight</t>
  </si>
  <si>
    <t>HEV passenger car lightweight</t>
  </si>
  <si>
    <t>HEV light truck lightweight</t>
  </si>
  <si>
    <t>PHEV passenger car lightweight</t>
  </si>
  <si>
    <t>PHEV light truck lightweight</t>
  </si>
  <si>
    <t>BEV passenger car lightweight</t>
  </si>
  <si>
    <t>BEV light truck lightweight</t>
  </si>
  <si>
    <t>HFCEV passenger car lightweight</t>
  </si>
  <si>
    <t>HFCEV light truck lightweight</t>
  </si>
  <si>
    <t>automotive steel</t>
  </si>
  <si>
    <t>stainless steel</t>
  </si>
  <si>
    <t>cast iron</t>
  </si>
  <si>
    <t>wrought Al</t>
  </si>
  <si>
    <t>cast Al</t>
  </si>
  <si>
    <t>copper electric grade</t>
  </si>
  <si>
    <t>plastics</t>
  </si>
  <si>
    <t>zinc</t>
  </si>
  <si>
    <t>Scale MC of light truck vehicle archetypes with total mass data in Table 15 in the transport modeling documentation</t>
  </si>
  <si>
    <t>\Dropbox\G7 RECC\Modeling\RECC-vehicles\Transport modeling documentation_sp_pw_qt_eh.docx,</t>
  </si>
  <si>
    <t>which contains the total weights of all vehicles - by car and light truck, and conventional and lightweight design.</t>
  </si>
  <si>
    <t>Powertrain</t>
  </si>
  <si>
    <t>Segment</t>
  </si>
  <si>
    <t>Conventional design</t>
  </si>
  <si>
    <t>Lightweight design</t>
  </si>
  <si>
    <t>ICEV-g</t>
  </si>
  <si>
    <t>Passenger car</t>
  </si>
  <si>
    <t>Light truck</t>
  </si>
  <si>
    <t>ICEV-d</t>
  </si>
  <si>
    <t>HEV</t>
  </si>
  <si>
    <t>PHEV</t>
  </si>
  <si>
    <t>BEV</t>
  </si>
  <si>
    <t>HFCEV</t>
  </si>
  <si>
    <t>Ratios</t>
  </si>
  <si>
    <t>Factor</t>
  </si>
  <si>
    <t>Qingshi Tu</t>
  </si>
  <si>
    <t>3_MC_VehicleArchetypes</t>
  </si>
  <si>
    <t>V1.1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</si>
  <si>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</si>
  <si>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</si>
  <si>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</si>
  <si>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</si>
  <si>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</si>
  <si>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</si>
  <si>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</si>
  <si>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</si>
  <si>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</si>
  <si>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</si>
  <si>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</si>
  <si>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</si>
  <si>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</si>
  <si>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</si>
  <si>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</si>
  <si>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</si>
  <si>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</si>
  <si>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</si>
  <si>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</si>
  <si>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</si>
  <si>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</si>
  <si>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</si>
  <si>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</si>
  <si>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</si>
  <si>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</si>
  <si>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</si>
  <si>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added log and ref sheets and completed the latter.</t>
  </si>
  <si>
    <t>Transportation model documentation, RECC project</t>
  </si>
  <si>
    <t>V2.0</t>
  </si>
  <si>
    <t>78d2ce45-41ed-4ff6-a8f8-64c5ea5f53c7</t>
  </si>
  <si>
    <t>New dataset supplied by Qingshi Tu. MC data now is updated to include all four globally defined (based on US data) segments: passenger car, light truck, microcar, minivan/SUV. The updated file is stored as: G7 RECC/Data/RECC_Database/CURRENT/3_MC_VehicleArchetypes_Aug.06 update_qt.xlsx</t>
  </si>
  <si>
    <t>The following data (mass of primqry metal in material composition) is copied from "Vehicle composition data_re-organized_qt_updated Aug 06, 2019.xlsx"</t>
  </si>
  <si>
    <t>Products</t>
  </si>
  <si>
    <t>Material composition</t>
  </si>
  <si>
    <t>SSP_Regions_32</t>
  </si>
  <si>
    <t>Value</t>
  </si>
  <si>
    <t>Unit</t>
  </si>
  <si>
    <t>Stats_array_string</t>
  </si>
  <si>
    <t>Comment</t>
  </si>
  <si>
    <t xml:space="preserve">    Magnesium</t>
  </si>
  <si>
    <t xml:space="preserve">    Glass</t>
  </si>
  <si>
    <t xml:space="preserve">    Rubber</t>
  </si>
  <si>
    <t xml:space="preserve">    Carbon Fiber-Reinforced Plastic</t>
  </si>
  <si>
    <t xml:space="preserve">    Glass Fiber-Reinforced Plastic</t>
  </si>
  <si>
    <t xml:space="preserve">    Nickel</t>
  </si>
  <si>
    <t xml:space="preserve">    PFSA</t>
  </si>
  <si>
    <t xml:space="preserve">    Carbon Paper</t>
  </si>
  <si>
    <t xml:space="preserve">    PTFE</t>
  </si>
  <si>
    <t xml:space="preserve">    Carbon &amp; PFSA Suspension</t>
  </si>
  <si>
    <t xml:space="preserve">    Platinum</t>
  </si>
  <si>
    <t xml:space="preserve">    Silicon</t>
  </si>
  <si>
    <t xml:space="preserve">    Carbon</t>
  </si>
  <si>
    <t xml:space="preserve">    Others</t>
  </si>
  <si>
    <t>R32USA</t>
  </si>
  <si>
    <t>kg</t>
  </si>
  <si>
    <t>Adapted from GREET2 2017 version, with Al to replace carbon/glass fibers; materials from battery added, recycled content removed</t>
  </si>
  <si>
    <t>[Aug 6 update by QT] this version has incorporated the following updates</t>
  </si>
  <si>
    <t>-materials from batteries are added</t>
  </si>
  <si>
    <t xml:space="preserve">-recycled content is removed, therefore the total mass is reduced to reflect only the primary metal </t>
  </si>
  <si>
    <t>*data on mass of segments is from "copy_Export vehicle archetype weight reduction_from pw_Aug.6.xlsx"</t>
  </si>
  <si>
    <t>Microcar</t>
  </si>
  <si>
    <t>Minivan/SUV</t>
  </si>
  <si>
    <t>USA</t>
  </si>
  <si>
    <t>Final results</t>
  </si>
  <si>
    <t>ICEV-g microcar</t>
  </si>
  <si>
    <t>ICEV-g minivan/SUV</t>
  </si>
  <si>
    <t>ICEV-d microcar</t>
  </si>
  <si>
    <t>ICEV-d minivan/SUV</t>
  </si>
  <si>
    <t>HEV microcar</t>
  </si>
  <si>
    <t>HEV minivan/SUV</t>
  </si>
  <si>
    <t>PHEV microcar</t>
  </si>
  <si>
    <t>PHEV minivan/SUV</t>
  </si>
  <si>
    <t>BEV microcar</t>
  </si>
  <si>
    <t>BEV minivan/SUV</t>
  </si>
  <si>
    <t>HFCEV microcar</t>
  </si>
  <si>
    <t>HFCEV minivan/SUV</t>
  </si>
  <si>
    <t>ICEV-g microcar lightweight</t>
  </si>
  <si>
    <t>ICEV-g minivan/SUV lightweight</t>
  </si>
  <si>
    <t>ICEV-d microcar lightweight</t>
  </si>
  <si>
    <t>ICEV-d minivan/SUV lightweight</t>
  </si>
  <si>
    <t>HEV microcar lightweight</t>
  </si>
  <si>
    <t>HEV minivan/SUV lightweight</t>
  </si>
  <si>
    <t>PHEV microcar lightweight</t>
  </si>
  <si>
    <t>PHEV minivan/SUV lightweight</t>
  </si>
  <si>
    <t>BEV microcar lightweight</t>
  </si>
  <si>
    <t>BEV minivan/SUV lightweight</t>
  </si>
  <si>
    <t>HFCEV microcar lightweight</t>
  </si>
  <si>
    <t>HFCEV minivan/SUV lightweight</t>
  </si>
  <si>
    <t>ICEV-g_Microcar_Conventional design</t>
  </si>
  <si>
    <t>ICEV-g_Passenger car_Conventional design</t>
  </si>
  <si>
    <t>ICEV-g_Minivan/SUV_Conventional design</t>
  </si>
  <si>
    <t>ICEV-g_Light truck_Conventional design</t>
  </si>
  <si>
    <t>ICEV-d_Microcar_Conventional design</t>
  </si>
  <si>
    <t>ICEV-d_Passenger car_Conventional design</t>
  </si>
  <si>
    <t>ICEV-d_Minivan/SUV_Conventional design</t>
  </si>
  <si>
    <t>ICEV-d_Light truck_Conventional design</t>
  </si>
  <si>
    <t>HEV_Microcar_Conventional design</t>
  </si>
  <si>
    <t>HEV_Passenger car_Conventional design</t>
  </si>
  <si>
    <t>HEV_Minivan/SUV_Conventional design</t>
  </si>
  <si>
    <t>HEV_Light truck_Conventional design</t>
  </si>
  <si>
    <t>PHEV_Microcar_Conventional design</t>
  </si>
  <si>
    <t>PHEV_Passenger car_Conventional design</t>
  </si>
  <si>
    <t>PHEV_Minivan/SUV_Conventional design</t>
  </si>
  <si>
    <t>PHEV_Light truck_Conventional design</t>
  </si>
  <si>
    <t>BEV_Microcar_Conventional design</t>
  </si>
  <si>
    <t>BEV_Passenger car_Conventional design</t>
  </si>
  <si>
    <t>BEV_Minivan/SUV_Conventional design</t>
  </si>
  <si>
    <t>BEV_Light truck_Conventional design</t>
  </si>
  <si>
    <t>HFCEV_Microcar_Conventional design</t>
  </si>
  <si>
    <t>HFCEV_Passenger car_Conventional design</t>
  </si>
  <si>
    <t>HFCEV_Minivan/SUV_Conventional design</t>
  </si>
  <si>
    <t>HFCEV_Light truck_Conventional design</t>
  </si>
  <si>
    <t>ICEV-g_Microcar_Lightweight design</t>
  </si>
  <si>
    <t>ICEV-g_Passenger car_Lightweight design</t>
  </si>
  <si>
    <t>ICEV-g_Minivan/SUV_Lightweight design</t>
  </si>
  <si>
    <t>ICEV-g_Light truck_Lightweight design</t>
  </si>
  <si>
    <t>ICEV-d_Microcar_Lightweight design</t>
  </si>
  <si>
    <t>ICEV-d_Passenger car_Lightweight design</t>
  </si>
  <si>
    <t>ICEV-d_Minivan/SUV_Lightweight design</t>
  </si>
  <si>
    <t>ICEV-d_Light truck_Lightweight design</t>
  </si>
  <si>
    <t>HEV_Microcar_Lightweight design</t>
  </si>
  <si>
    <t>HEV_Passenger car_Lightweight design</t>
  </si>
  <si>
    <t>HEV_Minivan/SUV_Lightweight design</t>
  </si>
  <si>
    <t>HEV_Light truck_Lightweight design</t>
  </si>
  <si>
    <t>PHEV_Microcar_Lightweight design</t>
  </si>
  <si>
    <t>PHEV_Passenger car_Lightweight design</t>
  </si>
  <si>
    <t>PHEV_Minivan/SUV_Lightweight design</t>
  </si>
  <si>
    <t>PHEV_Light truck_Lightweight design</t>
  </si>
  <si>
    <t>BEV_Microcar_Lightweight design</t>
  </si>
  <si>
    <t>BEV_Passenger car_Lightweight design</t>
  </si>
  <si>
    <t>BEV_Minivan/SUV_Lightweight design</t>
  </si>
  <si>
    <t>BEV_Light truck_Lightweight design</t>
  </si>
  <si>
    <t>HFCEV_Microcar_Lightweight design</t>
  </si>
  <si>
    <t>HFCEV_Passenger car_Lightweight design</t>
  </si>
  <si>
    <t>HFCEV_Minivan/SUV_Lightweight design</t>
  </si>
  <si>
    <t>HFCEV_Light truck_Lightweight design</t>
  </si>
  <si>
    <t>iedc_dataset_name (dataset ID of industrial ecology data commons (IEDC), replaces detailed description here, available under http://www.database.industrialecology.uni-freiburg.de/)</t>
  </si>
  <si>
    <t>cf. The sectoral archetype model docu for vehicles</t>
  </si>
  <si>
    <t>iedc_dataset_version_number (dataset version number of industrial ecology data commons (IEDC))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</si>
  <si>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</si>
  <si>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</si>
  <si>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</si>
  <si>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</si>
  <si>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</si>
  <si>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</si>
  <si>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</si>
  <si>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</si>
  <si>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</si>
  <si>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</si>
  <si>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</si>
  <si>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IEDC_V1</t>
  </si>
  <si>
    <t>Grouping</t>
  </si>
  <si>
    <t>datagroup_id</t>
  </si>
  <si>
    <t>data_category</t>
  </si>
  <si>
    <t>data_type</t>
  </si>
  <si>
    <t>data_layer</t>
  </si>
  <si>
    <t>Mass per unit</t>
  </si>
  <si>
    <t>System location: What elements and objects in the system are described?</t>
  </si>
  <si>
    <t>process_scope</t>
  </si>
  <si>
    <t>process_resolution</t>
  </si>
  <si>
    <t>engineering_material</t>
  </si>
  <si>
    <t>value</t>
  </si>
  <si>
    <t>product_scope</t>
  </si>
  <si>
    <t>commodity</t>
  </si>
  <si>
    <t>product_resolution</t>
  </si>
  <si>
    <t>region</t>
  </si>
  <si>
    <t>material_scope</t>
  </si>
  <si>
    <t>material_resolution</t>
  </si>
  <si>
    <t>regional_scope</t>
  </si>
  <si>
    <t>global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</si>
  <si>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</si>
  <si>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</si>
  <si>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</si>
  <si>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</si>
  <si>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</si>
  <si>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</si>
  <si>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</si>
  <si>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</si>
  <si>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</si>
  <si>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</si>
  <si>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</si>
  <si>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</si>
  <si>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</si>
  <si>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</si>
  <si>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</si>
  <si>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</si>
  <si>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</si>
  <si>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</si>
  <si>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</si>
  <si>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</si>
  <si>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</si>
  <si>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</si>
  <si>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</si>
  <si>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</si>
  <si>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</si>
  <si>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</si>
  <si>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</si>
  <si>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</si>
  <si>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</si>
  <si>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</si>
  <si>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</si>
  <si>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</si>
  <si>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</si>
  <si>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</si>
  <si>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</si>
  <si>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</si>
  <si>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</si>
  <si>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</si>
  <si>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</si>
  <si>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</si>
  <si>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</si>
  <si>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</si>
  <si>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</si>
  <si>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</si>
  <si>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</si>
  <si>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</si>
  <si>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</si>
  <si>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</si>
  <si>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</si>
  <si>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</si>
  <si>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</si>
  <si>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</si>
  <si>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</si>
  <si>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</si>
  <si>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</si>
  <si>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</si>
  <si>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</si>
  <si>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</si>
  <si>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</si>
  <si>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</si>
  <si>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3_MC_VehicleArchetypes_Wolfram_2020</t>
  </si>
  <si>
    <t>unit_nominator</t>
  </si>
  <si>
    <t>unit_denominator</t>
  </si>
  <si>
    <t>GLOBAL</t>
  </si>
  <si>
    <t>Row_Aspects_Attribute_No</t>
  </si>
  <si>
    <t>Col_Aspects_Attribute_No</t>
  </si>
  <si>
    <t>Data</t>
  </si>
  <si>
    <t>Result of academic MFA work</t>
  </si>
  <si>
    <t>Publicly available report or research article</t>
  </si>
  <si>
    <t>pdf, table</t>
  </si>
  <si>
    <t>p</t>
  </si>
  <si>
    <t>Global</t>
  </si>
  <si>
    <t>Passenger vehicles, different drive technologies, segments, and designs</t>
  </si>
  <si>
    <t>six different drive technologies, four segments/sizes, and two designs</t>
  </si>
  <si>
    <t>major vehicle materials</t>
  </si>
  <si>
    <t>8 materials</t>
  </si>
  <si>
    <t>global aggregate</t>
  </si>
  <si>
    <t>one representative value</t>
  </si>
  <si>
    <t>contemporal design, around 2020-2030</t>
  </si>
  <si>
    <t>time</t>
  </si>
  <si>
    <t>2020-2030</t>
  </si>
  <si>
    <t>Material composition of 2020-2030 contemporary vehicles, compiled by Wolfram et al. as part of the RECC project, DOI 10.1111/jiec.13067.</t>
  </si>
  <si>
    <t>material; material content; passenger vehicles; light-weighting; material substitution; vehicle segments;</t>
  </si>
  <si>
    <t>This dataset is contained in the RECC v2.4 model input database.</t>
  </si>
  <si>
    <t>Value(g,r,c,m)</t>
  </si>
  <si>
    <t>https://doi.org/10.1111/jiec.13067</t>
  </si>
  <si>
    <t>Numbers supplied in spreadsheet format by Qingshi Tu, reformatted to iedc template.</t>
  </si>
  <si>
    <t>Paul Wolfram, Qingshi Tu</t>
  </si>
  <si>
    <t>Mass per unit of material composition of copper in ICEV-g_Microcar_Conventional design, global, production year 2020-2030, is 13.56 kg/unit.</t>
  </si>
  <si>
    <t>[Layer] of [data type] of [Aspect 4] in [Aspect 1] in [Aspect 2] built in [Aspect 3] is [Value].</t>
  </si>
  <si>
    <t>wrought aluminium</t>
  </si>
  <si>
    <t>cast aluminium</t>
  </si>
  <si>
    <t>copper, electric grade</t>
  </si>
  <si>
    <t>steel, automotive</t>
  </si>
  <si>
    <t>© The authors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</si>
  <si>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</si>
  <si>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</si>
  <si>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</si>
  <si>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</si>
  <si>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</si>
  <si>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</si>
  <si>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</si>
  <si>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</si>
  <si>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</si>
  <si>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</si>
  <si>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</si>
  <si>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</si>
  <si>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</si>
  <si>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</si>
  <si>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</si>
  <si>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</si>
  <si>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</si>
  <si>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</si>
  <si>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</si>
  <si>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</si>
  <si>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</si>
  <si>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</si>
  <si>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</si>
  <si>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</si>
  <si>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</si>
  <si>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</si>
  <si>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</si>
  <si>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</si>
  <si>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</si>
  <si>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</si>
  <si>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</si>
  <si>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</si>
  <si>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</si>
  <si>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</si>
  <si>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</si>
  <si>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</si>
  <si>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</si>
  <si>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</si>
  <si>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</si>
  <si>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</si>
  <si>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</si>
  <si>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Explanation</t>
  </si>
  <si>
    <t>Color legend:</t>
  </si>
  <si>
    <t>Fields whose content must exaclty match the IEDC specifications (lookup tables)</t>
  </si>
  <si>
    <t>Free text for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</si>
</sst>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* #,##0.00_);_(* \(#,##0.00\);_(* &quot;-&quot;??_);_(@_)"/>
    <numFmt numFmtId="166" formatCode="yyyy\-mm\-dd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 (Body)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i/>
      <sz val="11"/>
      <color rgb="FF4D4D4D"/>
      <name val="Calibri"/>
      <family val="2"/>
      <scheme val="minor"/>
    </font>
    <font>
      <i/>
      <sz val="11"/>
      <color rgb="FF4D4D4D"/>
      <name val="Calibri"/>
      <family val="2"/>
      <scheme val="minor"/>
    </font>
    <font>
      <b/>
      <sz val="11"/>
      <color rgb="FF4D4D4D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5" fillId="0" borderId="0" xfId="0" applyFont="1"/>
    <xf numFmtId="0" fontId="2" fillId="0" borderId="0" xfId="0" applyFont="1" applyFill="1" applyBorder="1" applyAlignment="1" applyProtection="1"/>
    <xf numFmtId="0" fontId="0" fillId="0" borderId="0" xfId="0" quotePrefix="1" applyFont="1" applyFill="1"/>
    <xf numFmtId="3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0" fontId="9" fillId="0" borderId="0" xfId="0" quotePrefix="1" applyFont="1"/>
    <xf numFmtId="164" fontId="0" fillId="0" borderId="0" xfId="3" applyFont="1" applyAlignment="1">
      <alignment wrapText="1"/>
    </xf>
    <xf numFmtId="2" fontId="0" fillId="0" borderId="0" xfId="0" applyNumberFormat="1"/>
    <xf numFmtId="165" fontId="0" fillId="0" borderId="0" xfId="0" applyNumberFormat="1"/>
    <xf numFmtId="164" fontId="0" fillId="0" borderId="0" xfId="3" applyFont="1"/>
    <xf numFmtId="0" fontId="8" fillId="3" borderId="0" xfId="0" applyFont="1" applyFill="1"/>
    <xf numFmtId="0" fontId="8" fillId="3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0" xfId="2" applyFont="1"/>
    <xf numFmtId="0" fontId="0" fillId="0" borderId="0" xfId="0" applyFont="1" applyAlignment="1"/>
    <xf numFmtId="0" fontId="0" fillId="0" borderId="9" xfId="0" applyFont="1" applyBorder="1" applyAlignment="1"/>
    <xf numFmtId="0" fontId="1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2" xfId="0" applyFont="1" applyFill="1" applyBorder="1" applyAlignment="1"/>
    <xf numFmtId="0" fontId="12" fillId="0" borderId="4" xfId="0" applyFont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0" fillId="0" borderId="3" xfId="0" applyBorder="1"/>
    <xf numFmtId="0" fontId="12" fillId="0" borderId="1" xfId="0" applyFont="1" applyFill="1" applyBorder="1" applyAlignment="1"/>
    <xf numFmtId="0" fontId="13" fillId="0" borderId="5" xfId="0" applyFont="1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2" fillId="6" borderId="14" xfId="0" applyFont="1" applyFill="1" applyBorder="1" applyAlignment="1"/>
    <xf numFmtId="0" fontId="1" fillId="2" borderId="1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0" borderId="0" xfId="0" applyFont="1" applyBorder="1"/>
    <xf numFmtId="0" fontId="3" fillId="0" borderId="5" xfId="0" applyFont="1" applyBorder="1"/>
    <xf numFmtId="0" fontId="1" fillId="2" borderId="9" xfId="0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9" xfId="0" applyFont="1" applyFill="1" applyBorder="1"/>
    <xf numFmtId="0" fontId="4" fillId="2" borderId="1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Border="1" applyAlignment="1"/>
    <xf numFmtId="0" fontId="0" fillId="0" borderId="0" xfId="0" quotePrefix="1" applyNumberFormat="1" applyFill="1" applyAlignment="1">
      <alignment horizontal="left"/>
    </xf>
    <xf numFmtId="0" fontId="3" fillId="2" borderId="1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7" xfId="0" applyBorder="1"/>
    <xf numFmtId="0" fontId="0" fillId="0" borderId="8" xfId="0" applyBorder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14" fontId="0" fillId="0" borderId="0" xfId="0" quotePrefix="1" applyNumberForma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12" fillId="0" borderId="1" xfId="0" applyFont="1" applyBorder="1" applyAlignment="1"/>
    <xf numFmtId="0" fontId="14" fillId="0" borderId="1" xfId="0" applyFont="1" applyBorder="1" applyAlignment="1"/>
    <xf numFmtId="0" fontId="14" fillId="0" borderId="6" xfId="0" applyFont="1" applyBorder="1" applyAlignment="1"/>
    <xf numFmtId="0" fontId="0" fillId="0" borderId="4" xfId="0" quotePrefix="1" applyBorder="1"/>
    <xf numFmtId="0" fontId="0" fillId="0" borderId="5" xfId="0" quotePrefix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1" xfId="0" applyFont="1" applyFill="1" applyBorder="1"/>
    <xf numFmtId="0" fontId="3" fillId="0" borderId="0" xfId="0" applyFont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3" fillId="0" borderId="0" xfId="0" quotePrefix="1" applyFont="1" applyBorder="1"/>
    <xf numFmtId="0" fontId="3" fillId="0" borderId="5" xfId="0" quotePrefix="1" applyFont="1" applyBorder="1"/>
    <xf numFmtId="0" fontId="0" fillId="0" borderId="0" xfId="0" quotePrefix="1" applyFont="1" applyBorder="1"/>
    <xf numFmtId="0" fontId="0" fillId="0" borderId="5" xfId="0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quotePrefix="1" applyBorder="1"/>
    <xf numFmtId="0" fontId="0" fillId="0" borderId="5" xfId="0" applyFill="1" applyBorder="1"/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13" fillId="13" borderId="5" xfId="0" applyFont="1" applyFill="1" applyBorder="1" applyAlignment="1">
      <alignment horizontal="left"/>
    </xf>
    <xf numFmtId="0" fontId="13" fillId="14" borderId="5" xfId="0" applyFont="1" applyFill="1" applyBorder="1" applyAlignment="1">
      <alignment horizontal="left"/>
    </xf>
    <xf numFmtId="0" fontId="0" fillId="13" borderId="5" xfId="0" applyFont="1" applyFill="1" applyBorder="1" applyAlignment="1">
      <alignment horizontal="left"/>
    </xf>
    <xf numFmtId="0" fontId="15" fillId="14" borderId="5" xfId="0" applyFont="1" applyFill="1" applyBorder="1" applyAlignment="1">
      <alignment horizontal="left"/>
    </xf>
    <xf numFmtId="0" fontId="0" fillId="14" borderId="5" xfId="0" applyFont="1" applyFill="1" applyBorder="1" applyAlignment="1">
      <alignment horizontal="left"/>
    </xf>
    <xf numFmtId="0" fontId="12" fillId="0" borderId="5" xfId="0" applyFont="1" applyFill="1" applyBorder="1" applyAlignment="1">
      <alignment horizontal="left"/>
    </xf>
    <xf numFmtId="166" fontId="13" fillId="13" borderId="5" xfId="0" applyNumberFormat="1" applyFont="1" applyFill="1" applyBorder="1" applyAlignment="1">
      <alignment horizontal="left"/>
    </xf>
    <xf numFmtId="0" fontId="0" fillId="0" borderId="1" xfId="0" quotePrefix="1" applyBorder="1"/>
    <xf numFmtId="0" fontId="3" fillId="0" borderId="1" xfId="0" quotePrefix="1" applyFont="1" applyFill="1" applyBorder="1"/>
    <xf numFmtId="0" fontId="0" fillId="0" borderId="6" xfId="0" quotePrefix="1" applyBorder="1"/>
    <xf numFmtId="0" fontId="2" fillId="10" borderId="1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7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16" fillId="0" borderId="0" xfId="0" quotePrefix="1" applyFont="1" applyAlignment="1">
      <alignment horizontal="center"/>
    </xf>
    <xf numFmtId="0" fontId="17" fillId="0" borderId="0" xfId="0" quotePrefix="1" applyFont="1"/>
    <xf numFmtId="0" fontId="17" fillId="0" borderId="0" xfId="0" applyFont="1"/>
    <xf numFmtId="0" fontId="18" fillId="0" borderId="0" xfId="0" quotePrefix="1" applyFont="1" applyFill="1" applyBorder="1"/>
    <xf numFmtId="0" fontId="4" fillId="14" borderId="0" xfId="0" applyFont="1" applyFill="1" applyBorder="1" applyAlignment="1">
      <alignment horizontal="left"/>
    </xf>
    <xf numFmtId="0" fontId="1" fillId="13" borderId="0" xfId="0" applyFont="1" applyFill="1" applyBorder="1" applyAlignment="1">
      <alignment horizontal="left"/>
    </xf>
  </cellXfs>
  <cellStyles count="4">
    <cellStyle name="Komma" xfId="3" builtinId="3"/>
    <cellStyle name="Normal 2" xfId="2" xr:uid="{00000000-0005-0000-0000-000001000000}"/>
    <cellStyle name="Percent 4" xfId="1" xr:uid="{00000000-0005-0000-0000-000002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auliuk.AD/Dropbox/G7%20RECC/Data/RECC_Database/CURRENT/3_MC_VehicleArchetypes_Aug.06%20update_q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values"/>
      <sheetName val="Scaling"/>
      <sheetName val="raw data"/>
    </sheetNames>
    <sheetDataSet>
      <sheetData sheetId="0"/>
      <sheetData sheetId="1"/>
      <sheetData sheetId="2">
        <row r="32">
          <cell r="D32" t="str">
            <v>automotive steel</v>
          </cell>
          <cell r="E32" t="str">
            <v>stainless steel</v>
          </cell>
          <cell r="F32" t="str">
            <v>cast iron</v>
          </cell>
          <cell r="G32" t="str">
            <v>wrought Al</v>
          </cell>
          <cell r="H32" t="str">
            <v>cast Al</v>
          </cell>
          <cell r="I32" t="str">
            <v>copper electric grade</v>
          </cell>
          <cell r="J32" t="str">
            <v>zinc</v>
          </cell>
          <cell r="K32" t="str">
            <v>plastics</v>
          </cell>
        </row>
        <row r="33">
          <cell r="C33" t="str">
            <v xml:space="preserve">ICEV-g passenger car </v>
          </cell>
        </row>
        <row r="41">
          <cell r="C41" t="str">
            <v>HEV passenger car</v>
          </cell>
        </row>
        <row r="45">
          <cell r="C45" t="str">
            <v>PHEV passenger car</v>
          </cell>
        </row>
        <row r="49">
          <cell r="C49" t="str">
            <v>BEV passenger car</v>
          </cell>
        </row>
        <row r="53">
          <cell r="C53" t="str">
            <v>HFCEV passenger car</v>
          </cell>
        </row>
        <row r="57">
          <cell r="C57" t="str">
            <v>ICEV-g passenger car lightweight</v>
          </cell>
        </row>
        <row r="65">
          <cell r="C65" t="str">
            <v>HEV passenger car lightweight</v>
          </cell>
        </row>
        <row r="69">
          <cell r="C69" t="str">
            <v>PHEV passenger car lightweight</v>
          </cell>
        </row>
        <row r="73">
          <cell r="C73" t="str">
            <v>BEV passenger car lightweight</v>
          </cell>
        </row>
        <row r="77">
          <cell r="C77" t="str">
            <v>HFCEV passenger car lightweight</v>
          </cell>
        </row>
      </sheetData>
      <sheetData sheetId="3">
        <row r="3">
          <cell r="D3" t="str">
            <v>automotive steel</v>
          </cell>
          <cell r="E3" t="str">
            <v>stainless steel</v>
          </cell>
          <cell r="F3" t="str">
            <v>cast iron</v>
          </cell>
          <cell r="G3" t="str">
            <v>wrought Al</v>
          </cell>
          <cell r="H3" t="str">
            <v>cast Al</v>
          </cell>
          <cell r="I3" t="str">
            <v>copper electric grade</v>
          </cell>
          <cell r="J3" t="str">
            <v>zinc</v>
          </cell>
          <cell r="K3" t="str">
            <v xml:space="preserve">    Magnesium</v>
          </cell>
          <cell r="L3" t="str">
            <v xml:space="preserve">    Glass</v>
          </cell>
          <cell r="M3" t="str">
            <v>plastics</v>
          </cell>
          <cell r="N3" t="str">
            <v xml:space="preserve">    Rubber</v>
          </cell>
          <cell r="O3" t="str">
            <v xml:space="preserve">    Carbon Fiber-Reinforced Plastic</v>
          </cell>
          <cell r="P3" t="str">
            <v xml:space="preserve">    Glass Fiber-Reinforced Plastic</v>
          </cell>
          <cell r="Q3" t="str">
            <v xml:space="preserve">    Nickel</v>
          </cell>
          <cell r="R3" t="str">
            <v xml:space="preserve">    PFSA</v>
          </cell>
          <cell r="S3" t="str">
            <v xml:space="preserve">    Carbon Paper</v>
          </cell>
          <cell r="T3" t="str">
            <v xml:space="preserve">    PTFE</v>
          </cell>
          <cell r="U3" t="str">
            <v xml:space="preserve">    Carbon &amp; PFSA Suspension</v>
          </cell>
          <cell r="V3" t="str">
            <v xml:space="preserve">    Platinum</v>
          </cell>
          <cell r="W3" t="str">
            <v xml:space="preserve">    Silicon</v>
          </cell>
          <cell r="X3" t="str">
            <v xml:space="preserve">    Carbon</v>
          </cell>
          <cell r="Y3" t="str">
            <v xml:space="preserve">    Others</v>
          </cell>
        </row>
        <row r="4">
          <cell r="A4" t="str">
            <v xml:space="preserve">ICEV-g passenger car </v>
          </cell>
          <cell r="C4" t="str">
            <v>R32USA</v>
          </cell>
          <cell r="D4">
            <v>593.91318234627215</v>
          </cell>
          <cell r="E4">
            <v>0</v>
          </cell>
          <cell r="F4">
            <v>131.90656858722551</v>
          </cell>
          <cell r="G4">
            <v>21.665366905384627</v>
          </cell>
          <cell r="H4">
            <v>8.5818581555169544</v>
          </cell>
          <cell r="I4">
            <v>24.098388490906636</v>
          </cell>
          <cell r="J4">
            <v>0</v>
          </cell>
          <cell r="K4">
            <v>0.11333465304463317</v>
          </cell>
          <cell r="L4">
            <v>38.448603590298298</v>
          </cell>
          <cell r="M4">
            <v>146.31739133125711</v>
          </cell>
          <cell r="N4">
            <v>28.038142712109611</v>
          </cell>
          <cell r="O4">
            <v>0</v>
          </cell>
          <cell r="P4">
            <v>0.31733129389325221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6.3331781318004925E-3</v>
          </cell>
          <cell r="W4">
            <v>0</v>
          </cell>
          <cell r="X4">
            <v>0</v>
          </cell>
          <cell r="Y4">
            <v>39.12787881629945</v>
          </cell>
        </row>
        <row r="5">
          <cell r="A5" t="str">
            <v>ICEV-g passenger car lightweight</v>
          </cell>
          <cell r="C5" t="str">
            <v>R32USA</v>
          </cell>
          <cell r="D5">
            <v>240.75327503067197</v>
          </cell>
          <cell r="E5">
            <v>11.168690301996969</v>
          </cell>
          <cell r="F5">
            <v>38.395148320234092</v>
          </cell>
          <cell r="G5">
            <v>215.40063606035218</v>
          </cell>
          <cell r="H5">
            <v>26.652863059783218</v>
          </cell>
          <cell r="I5">
            <v>31.293781892651577</v>
          </cell>
          <cell r="J5">
            <v>0</v>
          </cell>
          <cell r="K5">
            <v>1.7011403184283702</v>
          </cell>
          <cell r="L5">
            <v>30.384552196470544</v>
          </cell>
          <cell r="M5">
            <v>139.35838690707828</v>
          </cell>
          <cell r="N5">
            <v>31.172699307205153</v>
          </cell>
          <cell r="O5">
            <v>0</v>
          </cell>
          <cell r="P5">
            <v>0.2093161354377312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9.3072419183308098E-3</v>
          </cell>
          <cell r="W5">
            <v>0</v>
          </cell>
          <cell r="X5">
            <v>0</v>
          </cell>
          <cell r="Y5">
            <v>30.637308183828331</v>
          </cell>
        </row>
        <row r="6">
          <cell r="A6" t="str">
            <v>HEV passenger car</v>
          </cell>
          <cell r="C6" t="str">
            <v>R32USA</v>
          </cell>
          <cell r="D6">
            <v>657.7232025847876</v>
          </cell>
          <cell r="E6">
            <v>0</v>
          </cell>
          <cell r="F6">
            <v>101.3769041882037</v>
          </cell>
          <cell r="G6">
            <v>15.848315876678297</v>
          </cell>
          <cell r="H6">
            <v>12.017271240682883</v>
          </cell>
          <cell r="I6">
            <v>55.374192840557313</v>
          </cell>
          <cell r="J6">
            <v>0</v>
          </cell>
          <cell r="K6">
            <v>0.28918538473266109</v>
          </cell>
          <cell r="L6">
            <v>37.231514347134308</v>
          </cell>
          <cell r="M6">
            <v>149.94127823762105</v>
          </cell>
          <cell r="N6">
            <v>25.296120939490322</v>
          </cell>
          <cell r="O6">
            <v>0</v>
          </cell>
          <cell r="P6">
            <v>0</v>
          </cell>
          <cell r="Q6">
            <v>5.9158459429189163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6.1497620203879106E-3</v>
          </cell>
          <cell r="W6">
            <v>0</v>
          </cell>
          <cell r="X6">
            <v>0</v>
          </cell>
          <cell r="Y6">
            <v>31.038207974792737</v>
          </cell>
        </row>
        <row r="7">
          <cell r="A7" t="str">
            <v>HEV passenger car lightweight</v>
          </cell>
          <cell r="C7" t="str">
            <v>R32USA</v>
          </cell>
          <cell r="D7">
            <v>270.24549809265579</v>
          </cell>
          <cell r="E7">
            <v>9.0569154334650239</v>
          </cell>
          <cell r="F7">
            <v>41.460046731549355</v>
          </cell>
          <cell r="G7">
            <v>208.13160661645145</v>
          </cell>
          <cell r="H7">
            <v>27.20666928977413</v>
          </cell>
          <cell r="I7">
            <v>50.105806369174111</v>
          </cell>
          <cell r="J7">
            <v>0</v>
          </cell>
          <cell r="K7">
            <v>1.7751853997248119</v>
          </cell>
          <cell r="L7">
            <v>28.211634652174748</v>
          </cell>
          <cell r="M7">
            <v>132.56508960800215</v>
          </cell>
          <cell r="N7">
            <v>27.529154318531891</v>
          </cell>
          <cell r="O7">
            <v>0</v>
          </cell>
          <cell r="P7">
            <v>0</v>
          </cell>
          <cell r="Q7">
            <v>5.0633517026764405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5.6605721459156398E-3</v>
          </cell>
          <cell r="W7">
            <v>0</v>
          </cell>
          <cell r="X7">
            <v>0</v>
          </cell>
          <cell r="Y7">
            <v>25.903052732364465</v>
          </cell>
        </row>
        <row r="8">
          <cell r="A8" t="str">
            <v>PHEV passenger car</v>
          </cell>
          <cell r="C8" t="str">
            <v>R32USA</v>
          </cell>
          <cell r="D8">
            <v>628.49904328101616</v>
          </cell>
          <cell r="E8">
            <v>0</v>
          </cell>
          <cell r="F8">
            <v>94.825380410780468</v>
          </cell>
          <cell r="G8">
            <v>38.386873422688431</v>
          </cell>
          <cell r="H8">
            <v>13.326639580695124</v>
          </cell>
          <cell r="I8">
            <v>78.580734311323226</v>
          </cell>
          <cell r="J8">
            <v>0</v>
          </cell>
          <cell r="K8">
            <v>9.688548516756372E-2</v>
          </cell>
          <cell r="L8">
            <v>32.868249143484555</v>
          </cell>
          <cell r="M8">
            <v>135.07656016880844</v>
          </cell>
          <cell r="N8">
            <v>24.554522233605315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6.3226191909788133E-3</v>
          </cell>
          <cell r="W8">
            <v>0</v>
          </cell>
          <cell r="X8">
            <v>0</v>
          </cell>
          <cell r="Y8">
            <v>94.971465139090512</v>
          </cell>
        </row>
        <row r="9">
          <cell r="A9" t="str">
            <v>PHEV passenger car lightweight</v>
          </cell>
          <cell r="C9" t="str">
            <v>R32USA</v>
          </cell>
          <cell r="D9">
            <v>256.16696552462736</v>
          </cell>
          <cell r="E9">
            <v>8.1801591626449603</v>
          </cell>
          <cell r="F9">
            <v>36.746812822086369</v>
          </cell>
          <cell r="G9">
            <v>200.81678336882325</v>
          </cell>
          <cell r="H9">
            <v>27.135285277657186</v>
          </cell>
          <cell r="I9">
            <v>61.656070146990551</v>
          </cell>
          <cell r="J9">
            <v>0</v>
          </cell>
          <cell r="K9">
            <v>1.4107064739851576</v>
          </cell>
          <cell r="L9">
            <v>23.888093853146948</v>
          </cell>
          <cell r="M9">
            <v>120.66665177637951</v>
          </cell>
          <cell r="N9">
            <v>25.638924094469754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5.4534394417633074E-3</v>
          </cell>
          <cell r="W9">
            <v>0</v>
          </cell>
          <cell r="X9">
            <v>0</v>
          </cell>
          <cell r="Y9">
            <v>75.681047857681165</v>
          </cell>
        </row>
        <row r="10">
          <cell r="A10" t="str">
            <v>BEV passenger car</v>
          </cell>
          <cell r="C10" t="str">
            <v>R32USA</v>
          </cell>
          <cell r="D10">
            <v>715.98856977199068</v>
          </cell>
          <cell r="E10">
            <v>0</v>
          </cell>
          <cell r="F10">
            <v>29.517562608186445</v>
          </cell>
          <cell r="G10">
            <v>58.294326248798441</v>
          </cell>
          <cell r="H10">
            <v>12.54176435963201</v>
          </cell>
          <cell r="I10">
            <v>111.14242100025686</v>
          </cell>
          <cell r="J10">
            <v>0</v>
          </cell>
          <cell r="K10">
            <v>0.1347046567843001</v>
          </cell>
          <cell r="L10">
            <v>45.698343898640445</v>
          </cell>
          <cell r="M10">
            <v>184.16566382104941</v>
          </cell>
          <cell r="N10">
            <v>25.569425283720037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194.70380068116927</v>
          </cell>
        </row>
        <row r="11">
          <cell r="A11" t="str">
            <v>BEV passenger car lightweight</v>
          </cell>
          <cell r="C11" t="str">
            <v>R32USA</v>
          </cell>
          <cell r="D11">
            <v>182.73595307676916</v>
          </cell>
          <cell r="E11">
            <v>0</v>
          </cell>
          <cell r="F11">
            <v>34.893081072625222</v>
          </cell>
          <cell r="G11">
            <v>290.29987203152535</v>
          </cell>
          <cell r="H11">
            <v>33.305790151975543</v>
          </cell>
          <cell r="I11">
            <v>101.30778047544456</v>
          </cell>
          <cell r="J11">
            <v>0</v>
          </cell>
          <cell r="K11">
            <v>1.8431627145562579</v>
          </cell>
          <cell r="L11">
            <v>30.783510890292408</v>
          </cell>
          <cell r="M11">
            <v>171.63166855251129</v>
          </cell>
          <cell r="N11">
            <v>30.509997541114483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157.52524515619771</v>
          </cell>
        </row>
        <row r="12">
          <cell r="A12" t="str">
            <v>HFCEV passenger car</v>
          </cell>
          <cell r="C12" t="str">
            <v>R32USA</v>
          </cell>
          <cell r="D12">
            <v>608.07655530953593</v>
          </cell>
          <cell r="E12">
            <v>45.525916819981532</v>
          </cell>
          <cell r="F12">
            <v>28.958616224807525</v>
          </cell>
          <cell r="G12">
            <v>28.270371706910822</v>
          </cell>
          <cell r="H12">
            <v>7.2475263923225208</v>
          </cell>
          <cell r="I12">
            <v>47.890291524897592</v>
          </cell>
          <cell r="J12">
            <v>0</v>
          </cell>
          <cell r="K12">
            <v>0.32699910660748999</v>
          </cell>
          <cell r="L12">
            <v>42.49073811253583</v>
          </cell>
          <cell r="M12">
            <v>174.50924074147358</v>
          </cell>
          <cell r="N12">
            <v>27.767970980010507</v>
          </cell>
          <cell r="O12">
            <v>78.560399561386845</v>
          </cell>
          <cell r="P12">
            <v>8.3257012341632688</v>
          </cell>
          <cell r="Q12">
            <v>6.6526400985701954</v>
          </cell>
          <cell r="R12">
            <v>0.70889251435697442</v>
          </cell>
          <cell r="S12">
            <v>2.4475313554387013</v>
          </cell>
          <cell r="T12">
            <v>2.9336044231071465</v>
          </cell>
          <cell r="U12">
            <v>0</v>
          </cell>
          <cell r="V12">
            <v>2.0206363515831136E-2</v>
          </cell>
          <cell r="W12">
            <v>1.2273778786474403</v>
          </cell>
          <cell r="X12">
            <v>0.31197895852298441</v>
          </cell>
          <cell r="Y12">
            <v>42.486871381246416</v>
          </cell>
        </row>
        <row r="13">
          <cell r="A13" t="str">
            <v>HFCEV passenger car lightweight</v>
          </cell>
          <cell r="C13" t="str">
            <v>R32USA</v>
          </cell>
          <cell r="D13">
            <v>166.1086239340479</v>
          </cell>
          <cell r="E13">
            <v>18.269604846291394</v>
          </cell>
          <cell r="F13">
            <v>34.61010604694426</v>
          </cell>
          <cell r="G13">
            <v>274.43674460057633</v>
          </cell>
          <cell r="H13">
            <v>27.490179836310158</v>
          </cell>
          <cell r="I13">
            <v>48.826799560278708</v>
          </cell>
          <cell r="J13">
            <v>0</v>
          </cell>
          <cell r="K13">
            <v>2.3236906876109797</v>
          </cell>
          <cell r="L13">
            <v>35.556340937259847</v>
          </cell>
          <cell r="M13">
            <v>146.19367485711308</v>
          </cell>
          <cell r="N13">
            <v>30.215277639939657</v>
          </cell>
          <cell r="O13">
            <v>0</v>
          </cell>
          <cell r="P13">
            <v>1.5104314840343642</v>
          </cell>
          <cell r="Q13">
            <v>6.4214329646856347</v>
          </cell>
          <cell r="R13">
            <v>0.36124465237676456</v>
          </cell>
          <cell r="S13">
            <v>1.2472379038713519</v>
          </cell>
          <cell r="T13">
            <v>1.4949359579534596</v>
          </cell>
          <cell r="U13">
            <v>0</v>
          </cell>
          <cell r="V13">
            <v>1.0296964090100696E-2</v>
          </cell>
          <cell r="W13">
            <v>3.14892657162823E-2</v>
          </cell>
          <cell r="X13">
            <v>0.15898140851822884</v>
          </cell>
          <cell r="Y13">
            <v>34.880781598840507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A183-9E21-4A9C-9E61-4D7FB855194F}">
  <dimension ref="A1:AC72"/>
  <sheetViews>
    <sheetView tabSelected="1" zoomScale="55" zoomScaleNormal="55" workbookViewId="0">
      <selection activeCell="K30" sqref="K30"/>
    </sheetView>
  </sheetViews>
  <sheetFormatPr baseColWidth="10" defaultColWidth="9.1015625" defaultRowHeight="14.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50.5234375" style="123" customWidth="1"/>
    <col min="6" max="6" width="24.312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>
      <c r="E1" s="122"/>
      <c r="H1" s="11"/>
    </row>
    <row r="2" spans="1:12" ht="15.6">
      <c r="B2" s="112" t="s">
        <v>209</v>
      </c>
      <c r="C2" s="113"/>
      <c r="D2" s="114"/>
      <c r="E2" s="121" t="s">
        <v>376</v>
      </c>
      <c r="F2" s="112" t="s">
        <v>210</v>
      </c>
      <c r="G2" s="113"/>
      <c r="H2" s="113"/>
      <c r="I2" s="113"/>
      <c r="J2" s="113"/>
      <c r="K2" s="114"/>
      <c r="L2" s="1"/>
    </row>
    <row r="3" spans="1:12">
      <c r="A3" s="39"/>
      <c r="B3" s="40"/>
      <c r="C3" s="41" t="s">
        <v>211</v>
      </c>
      <c r="D3" s="42" t="s">
        <v>212</v>
      </c>
      <c r="E3" s="122"/>
      <c r="L3" s="1"/>
    </row>
    <row r="4" spans="1:12">
      <c r="A4" s="39">
        <v>1</v>
      </c>
      <c r="B4" s="115" t="s">
        <v>213</v>
      </c>
      <c r="C4" s="43" t="s">
        <v>214</v>
      </c>
      <c r="D4" s="44" t="s">
        <v>215</v>
      </c>
      <c r="E4" s="122" t="s">
        <v>335</v>
      </c>
      <c r="F4" s="45" t="s">
        <v>216</v>
      </c>
      <c r="G4" s="46"/>
      <c r="H4" s="46"/>
      <c r="I4" s="46"/>
      <c r="J4" s="46"/>
      <c r="K4" s="77"/>
      <c r="L4" s="1"/>
    </row>
    <row r="5" spans="1:12">
      <c r="A5" s="39">
        <v>2</v>
      </c>
      <c r="B5" s="116"/>
      <c r="C5" s="47" t="s">
        <v>217</v>
      </c>
      <c r="D5" s="97" t="s">
        <v>300</v>
      </c>
      <c r="E5" s="122" t="s">
        <v>336</v>
      </c>
      <c r="F5" s="104" t="s">
        <v>3</v>
      </c>
      <c r="G5" s="49"/>
      <c r="H5" s="49"/>
      <c r="I5" s="49"/>
      <c r="J5" s="49"/>
      <c r="K5" s="78"/>
      <c r="L5" s="1"/>
    </row>
    <row r="6" spans="1:12">
      <c r="A6" s="39">
        <v>3</v>
      </c>
      <c r="B6" s="51"/>
      <c r="C6" s="47" t="s">
        <v>218</v>
      </c>
      <c r="D6" s="97" t="s">
        <v>9</v>
      </c>
      <c r="E6" s="122" t="s">
        <v>337</v>
      </c>
      <c r="F6" s="52" t="s">
        <v>0</v>
      </c>
      <c r="G6" s="53" t="s">
        <v>220</v>
      </c>
      <c r="H6" s="54" t="s">
        <v>301</v>
      </c>
      <c r="I6" s="54" t="s">
        <v>302</v>
      </c>
      <c r="J6" s="49"/>
      <c r="K6" s="78"/>
      <c r="L6" s="1"/>
    </row>
    <row r="7" spans="1:12">
      <c r="A7" s="39">
        <v>4</v>
      </c>
      <c r="B7" s="117" t="s">
        <v>221</v>
      </c>
      <c r="C7" s="47" t="s">
        <v>222</v>
      </c>
      <c r="D7" s="48" t="s">
        <v>219</v>
      </c>
      <c r="E7" s="122" t="s">
        <v>338</v>
      </c>
      <c r="F7" s="52" t="s">
        <v>1</v>
      </c>
      <c r="G7" s="79" t="s">
        <v>303</v>
      </c>
      <c r="H7" s="80" t="s">
        <v>124</v>
      </c>
      <c r="I7" s="80" t="s">
        <v>310</v>
      </c>
      <c r="J7" s="49"/>
      <c r="K7" s="78"/>
      <c r="L7" s="1"/>
    </row>
    <row r="8" spans="1:12">
      <c r="A8" s="39">
        <v>5</v>
      </c>
      <c r="B8" s="117"/>
      <c r="C8" s="47" t="s">
        <v>223</v>
      </c>
      <c r="D8" s="98">
        <v>3</v>
      </c>
      <c r="E8" s="122" t="s">
        <v>339</v>
      </c>
      <c r="F8" s="52" t="s">
        <v>4</v>
      </c>
      <c r="G8" s="79" t="s">
        <v>303</v>
      </c>
      <c r="H8" s="55" t="s">
        <v>9</v>
      </c>
      <c r="I8" s="55"/>
      <c r="J8" s="49"/>
      <c r="K8" s="78"/>
      <c r="L8" s="1"/>
    </row>
    <row r="9" spans="1:12">
      <c r="A9" s="39">
        <v>6</v>
      </c>
      <c r="B9" s="117"/>
      <c r="C9" s="47" t="s">
        <v>224</v>
      </c>
      <c r="D9" s="98" t="s">
        <v>103</v>
      </c>
      <c r="E9" s="122" t="s">
        <v>340</v>
      </c>
      <c r="F9" s="52" t="s">
        <v>5</v>
      </c>
      <c r="G9" s="79" t="s">
        <v>303</v>
      </c>
      <c r="H9" s="55" t="s">
        <v>9</v>
      </c>
      <c r="I9" s="55"/>
      <c r="J9" s="49"/>
      <c r="K9" s="78"/>
      <c r="L9" s="1"/>
    </row>
    <row r="10" spans="1:12">
      <c r="A10" s="39">
        <v>7</v>
      </c>
      <c r="B10" s="117"/>
      <c r="C10" s="47" t="s">
        <v>225</v>
      </c>
      <c r="D10" s="98" t="s">
        <v>226</v>
      </c>
      <c r="E10" s="122" t="s">
        <v>341</v>
      </c>
      <c r="F10" s="57" t="s">
        <v>2</v>
      </c>
      <c r="G10" s="58" t="s">
        <v>10</v>
      </c>
      <c r="H10" s="59" t="s">
        <v>8</v>
      </c>
      <c r="I10" s="60">
        <v>48</v>
      </c>
      <c r="J10" s="59" t="s">
        <v>11</v>
      </c>
      <c r="K10" s="60">
        <v>8</v>
      </c>
      <c r="L10" s="1"/>
    </row>
    <row r="11" spans="1:12">
      <c r="A11" s="39">
        <v>8</v>
      </c>
      <c r="B11" s="118" t="s">
        <v>227</v>
      </c>
      <c r="C11" s="61" t="s">
        <v>228</v>
      </c>
      <c r="D11" s="97" t="s">
        <v>9</v>
      </c>
      <c r="E11" s="122" t="s">
        <v>342</v>
      </c>
      <c r="F11" s="57" t="s">
        <v>12</v>
      </c>
      <c r="G11" s="81" t="s">
        <v>304</v>
      </c>
      <c r="H11" s="81" t="s">
        <v>13</v>
      </c>
      <c r="I11" s="81" t="s">
        <v>305</v>
      </c>
      <c r="J11" s="81" t="s">
        <v>6</v>
      </c>
      <c r="K11" s="82" t="s">
        <v>7</v>
      </c>
      <c r="L11" s="1"/>
    </row>
    <row r="12" spans="1:12">
      <c r="A12" s="39">
        <v>9</v>
      </c>
      <c r="B12" s="119"/>
      <c r="C12" s="62" t="s">
        <v>229</v>
      </c>
      <c r="D12" s="97" t="s">
        <v>9</v>
      </c>
      <c r="E12" s="122" t="s">
        <v>343</v>
      </c>
      <c r="F12" s="64" t="s">
        <v>233</v>
      </c>
      <c r="G12" s="83">
        <v>1</v>
      </c>
      <c r="H12" s="79" t="s">
        <v>230</v>
      </c>
      <c r="I12" s="83">
        <v>1</v>
      </c>
      <c r="J12" s="79" t="s">
        <v>306</v>
      </c>
      <c r="K12" s="56" t="s">
        <v>231</v>
      </c>
      <c r="L12" s="1"/>
    </row>
    <row r="13" spans="1:12">
      <c r="A13" s="39">
        <v>10</v>
      </c>
      <c r="B13" s="119"/>
      <c r="C13" s="62" t="s">
        <v>232</v>
      </c>
      <c r="D13" s="97" t="s">
        <v>312</v>
      </c>
      <c r="E13" s="122" t="s">
        <v>344</v>
      </c>
      <c r="F13" s="64" t="s">
        <v>235</v>
      </c>
      <c r="G13" s="90">
        <v>1</v>
      </c>
      <c r="H13" s="84"/>
      <c r="I13" s="85"/>
      <c r="J13" s="86" t="s">
        <v>3</v>
      </c>
      <c r="K13" s="87" t="s">
        <v>3</v>
      </c>
      <c r="L13" s="1"/>
    </row>
    <row r="14" spans="1:12">
      <c r="A14" s="39">
        <v>11</v>
      </c>
      <c r="B14" s="119"/>
      <c r="C14" s="62" t="s">
        <v>234</v>
      </c>
      <c r="D14" s="97" t="s">
        <v>313</v>
      </c>
      <c r="E14" s="122" t="s">
        <v>345</v>
      </c>
      <c r="F14" s="64" t="s">
        <v>16</v>
      </c>
      <c r="G14" s="90">
        <v>1</v>
      </c>
      <c r="H14" s="84"/>
      <c r="I14" s="85"/>
      <c r="J14" s="88"/>
      <c r="K14" s="89"/>
      <c r="L14" s="1"/>
    </row>
    <row r="15" spans="1:12">
      <c r="A15" s="39">
        <v>12</v>
      </c>
      <c r="B15" s="119"/>
      <c r="C15" s="62" t="s">
        <v>236</v>
      </c>
      <c r="D15" s="97" t="s">
        <v>314</v>
      </c>
      <c r="E15" s="122" t="s">
        <v>346</v>
      </c>
      <c r="F15" s="105" t="s">
        <v>3</v>
      </c>
      <c r="G15" s="90"/>
      <c r="H15" s="84"/>
      <c r="I15" s="85"/>
      <c r="J15" s="88"/>
      <c r="K15" s="89"/>
      <c r="L15" s="1"/>
    </row>
    <row r="16" spans="1:12">
      <c r="A16" s="39">
        <v>13</v>
      </c>
      <c r="B16" s="119"/>
      <c r="C16" s="62" t="s">
        <v>237</v>
      </c>
      <c r="D16" s="97" t="s">
        <v>315</v>
      </c>
      <c r="E16" s="122" t="s">
        <v>347</v>
      </c>
      <c r="F16" s="105" t="s">
        <v>3</v>
      </c>
      <c r="G16" s="65"/>
      <c r="H16" s="84"/>
      <c r="I16" s="85"/>
      <c r="J16" s="91"/>
      <c r="K16" s="92"/>
      <c r="L16" s="1"/>
    </row>
    <row r="17" spans="1:29">
      <c r="A17" s="39">
        <v>14</v>
      </c>
      <c r="B17" s="119"/>
      <c r="C17" s="62" t="s">
        <v>238</v>
      </c>
      <c r="D17" s="97" t="s">
        <v>239</v>
      </c>
      <c r="E17" s="122" t="s">
        <v>348</v>
      </c>
      <c r="F17" s="105" t="s">
        <v>3</v>
      </c>
      <c r="G17" s="66"/>
      <c r="H17" s="49"/>
      <c r="I17" s="49"/>
      <c r="J17" s="49"/>
      <c r="K17" s="50"/>
      <c r="L17" s="1"/>
    </row>
    <row r="18" spans="1:29">
      <c r="A18" s="39">
        <v>15</v>
      </c>
      <c r="B18" s="119"/>
      <c r="C18" s="62" t="s">
        <v>240</v>
      </c>
      <c r="D18" s="97" t="s">
        <v>316</v>
      </c>
      <c r="E18" s="122" t="s">
        <v>349</v>
      </c>
      <c r="F18" s="105" t="s">
        <v>3</v>
      </c>
      <c r="G18" s="66"/>
      <c r="H18" s="49"/>
      <c r="I18" s="49"/>
      <c r="J18" s="49"/>
      <c r="K18" s="50"/>
      <c r="L18" s="1"/>
    </row>
    <row r="19" spans="1:29">
      <c r="A19" s="39">
        <v>16</v>
      </c>
      <c r="B19" s="119"/>
      <c r="C19" s="62" t="s">
        <v>241</v>
      </c>
      <c r="D19" s="97" t="s">
        <v>318</v>
      </c>
      <c r="E19" s="122" t="s">
        <v>350</v>
      </c>
      <c r="F19" s="105" t="s">
        <v>3</v>
      </c>
      <c r="G19" s="66"/>
      <c r="H19" s="49"/>
      <c r="I19" s="49"/>
      <c r="J19" s="49"/>
      <c r="K19" s="50"/>
      <c r="L19" s="1"/>
    </row>
    <row r="20" spans="1:29">
      <c r="A20" s="39">
        <v>17</v>
      </c>
      <c r="B20" s="119"/>
      <c r="C20" s="62" t="s">
        <v>242</v>
      </c>
      <c r="D20" s="97" t="s">
        <v>317</v>
      </c>
      <c r="E20" s="122" t="s">
        <v>351</v>
      </c>
      <c r="F20" s="105" t="s">
        <v>3</v>
      </c>
      <c r="G20" s="66"/>
      <c r="H20" s="49"/>
      <c r="I20" s="49"/>
      <c r="J20" s="49"/>
      <c r="K20" s="50"/>
      <c r="L20" s="1"/>
    </row>
    <row r="21" spans="1:29">
      <c r="A21" s="39">
        <v>18</v>
      </c>
      <c r="B21" s="120" t="s">
        <v>243</v>
      </c>
      <c r="C21" s="62" t="s">
        <v>244</v>
      </c>
      <c r="D21" s="97" t="s">
        <v>321</v>
      </c>
      <c r="E21" s="122" t="s">
        <v>352</v>
      </c>
      <c r="F21" s="106" t="s">
        <v>3</v>
      </c>
      <c r="G21" s="67"/>
      <c r="H21" s="67"/>
      <c r="I21" s="67"/>
      <c r="J21" s="67"/>
      <c r="K21" s="68"/>
      <c r="L21" s="1"/>
    </row>
    <row r="22" spans="1:29">
      <c r="A22" s="39">
        <v>19</v>
      </c>
      <c r="B22" s="120"/>
      <c r="C22" s="62" t="s">
        <v>245</v>
      </c>
      <c r="D22" s="97" t="s">
        <v>322</v>
      </c>
      <c r="E22" s="122" t="s">
        <v>353</v>
      </c>
      <c r="F22" s="1" t="s">
        <v>3</v>
      </c>
      <c r="G22" s="6"/>
      <c r="H22" s="6"/>
      <c r="L22" s="1"/>
    </row>
    <row r="23" spans="1:29">
      <c r="A23" s="39">
        <v>20</v>
      </c>
      <c r="B23" s="120"/>
      <c r="C23" s="61" t="s">
        <v>246</v>
      </c>
      <c r="D23" s="98" t="s">
        <v>307</v>
      </c>
      <c r="E23" s="122" t="s">
        <v>354</v>
      </c>
      <c r="F23" s="1" t="s">
        <v>3</v>
      </c>
      <c r="G23" s="6"/>
      <c r="H23" s="6"/>
      <c r="L23" s="1"/>
    </row>
    <row r="24" spans="1:29">
      <c r="A24" s="39">
        <v>21</v>
      </c>
      <c r="B24" s="120"/>
      <c r="C24" s="61" t="s">
        <v>247</v>
      </c>
      <c r="D24" s="99">
        <v>384</v>
      </c>
      <c r="E24" s="122" t="s">
        <v>355</v>
      </c>
      <c r="F24" s="1" t="s">
        <v>3</v>
      </c>
      <c r="G24" s="6"/>
      <c r="H24" s="5"/>
      <c r="L24" s="1"/>
    </row>
    <row r="25" spans="1:29">
      <c r="A25" s="39">
        <v>22</v>
      </c>
      <c r="B25" s="120"/>
      <c r="C25" s="62" t="s">
        <v>14</v>
      </c>
      <c r="D25" s="97" t="s">
        <v>323</v>
      </c>
      <c r="E25" s="122" t="s">
        <v>356</v>
      </c>
      <c r="F25" s="1" t="s">
        <v>3</v>
      </c>
      <c r="G25" s="6"/>
      <c r="H25" s="5"/>
      <c r="L25" s="1"/>
    </row>
    <row r="26" spans="1:29">
      <c r="A26" s="39">
        <v>23</v>
      </c>
      <c r="B26" s="107" t="s">
        <v>248</v>
      </c>
      <c r="C26" s="70" t="s">
        <v>249</v>
      </c>
      <c r="D26" s="98" t="s">
        <v>233</v>
      </c>
      <c r="E26" s="122" t="s">
        <v>357</v>
      </c>
      <c r="F26" s="1" t="s">
        <v>3</v>
      </c>
      <c r="G26" s="6"/>
      <c r="H26" s="6"/>
      <c r="L26" s="1"/>
    </row>
    <row r="27" spans="1:29">
      <c r="A27" s="39">
        <v>24</v>
      </c>
      <c r="B27" s="107"/>
      <c r="C27" s="70" t="s">
        <v>250</v>
      </c>
      <c r="D27" s="98">
        <v>7</v>
      </c>
      <c r="E27" s="122" t="s">
        <v>358</v>
      </c>
      <c r="F27" s="1" t="s">
        <v>3</v>
      </c>
      <c r="H27" s="9"/>
      <c r="I27" s="9"/>
      <c r="J27" s="9"/>
      <c r="K27" s="9"/>
      <c r="L27" s="10"/>
    </row>
    <row r="28" spans="1:29">
      <c r="A28" s="39">
        <v>25</v>
      </c>
      <c r="B28" s="107"/>
      <c r="C28" s="70" t="s">
        <v>251</v>
      </c>
      <c r="D28" s="98" t="s">
        <v>235</v>
      </c>
      <c r="E28" s="122" t="s">
        <v>3</v>
      </c>
      <c r="F28" s="1" t="s">
        <v>3</v>
      </c>
      <c r="H28" s="9"/>
      <c r="I28" s="9"/>
      <c r="J28" s="9"/>
      <c r="K28" s="9"/>
      <c r="L28" s="10"/>
    </row>
    <row r="29" spans="1:29">
      <c r="A29" s="39">
        <v>26</v>
      </c>
      <c r="B29" s="107"/>
      <c r="C29" s="70" t="s">
        <v>252</v>
      </c>
      <c r="D29" s="100">
        <v>2</v>
      </c>
      <c r="E29" s="122" t="s">
        <v>3</v>
      </c>
      <c r="F29" s="124" t="s">
        <v>377</v>
      </c>
      <c r="H29" s="9"/>
      <c r="I29" s="9"/>
      <c r="J29" s="9"/>
      <c r="K29" s="9"/>
      <c r="L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>
      <c r="A30" s="39">
        <v>27</v>
      </c>
      <c r="B30" s="107"/>
      <c r="C30" s="70" t="s">
        <v>253</v>
      </c>
      <c r="D30" s="98" t="s">
        <v>16</v>
      </c>
      <c r="E30" s="122" t="s">
        <v>3</v>
      </c>
      <c r="F30" s="125" t="s">
        <v>378</v>
      </c>
      <c r="H30" s="9"/>
      <c r="I30" s="9"/>
      <c r="J30" s="9"/>
      <c r="K30" s="9"/>
      <c r="L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>
      <c r="A31" s="39">
        <v>28</v>
      </c>
      <c r="B31" s="107"/>
      <c r="C31" s="70" t="s">
        <v>254</v>
      </c>
      <c r="D31" s="98">
        <v>14</v>
      </c>
      <c r="E31" s="122" t="s">
        <v>3</v>
      </c>
      <c r="F31" s="126" t="s">
        <v>379</v>
      </c>
      <c r="H31" s="9"/>
      <c r="I31" s="9"/>
      <c r="J31" s="9"/>
      <c r="K31" s="9"/>
      <c r="L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>
      <c r="A32" s="39">
        <v>29</v>
      </c>
      <c r="B32" s="107"/>
      <c r="C32" s="70" t="s">
        <v>255</v>
      </c>
      <c r="D32" s="100" t="s">
        <v>230</v>
      </c>
      <c r="E32" s="122" t="s">
        <v>3</v>
      </c>
      <c r="F32" s="1" t="s">
        <v>3</v>
      </c>
      <c r="H32" s="8"/>
      <c r="I32" s="8"/>
      <c r="J32" s="9"/>
      <c r="K32" s="9"/>
      <c r="L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>
      <c r="A33" s="39">
        <v>30</v>
      </c>
      <c r="B33" s="107"/>
      <c r="C33" s="70" t="s">
        <v>256</v>
      </c>
      <c r="D33" s="98">
        <v>4</v>
      </c>
      <c r="E33" s="122" t="s">
        <v>3</v>
      </c>
      <c r="F33" s="1" t="s">
        <v>3</v>
      </c>
      <c r="G33" s="9"/>
      <c r="H33" s="9"/>
      <c r="I33" s="9"/>
      <c r="J33" s="9"/>
      <c r="K33" s="9"/>
      <c r="L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>
      <c r="A34" s="39">
        <v>31</v>
      </c>
      <c r="B34" s="107"/>
      <c r="C34" s="70" t="s">
        <v>257</v>
      </c>
      <c r="D34" s="100" t="s">
        <v>9</v>
      </c>
      <c r="E34" s="122" t="s">
        <v>3</v>
      </c>
      <c r="F34" s="1" t="s">
        <v>3</v>
      </c>
      <c r="G34" s="9"/>
      <c r="H34" s="9"/>
      <c r="I34" s="9"/>
      <c r="J34" s="9"/>
      <c r="K34" s="9"/>
      <c r="L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>
      <c r="A35" s="39">
        <v>32</v>
      </c>
      <c r="B35" s="107"/>
      <c r="C35" s="70" t="s">
        <v>258</v>
      </c>
      <c r="D35" s="100" t="s">
        <v>9</v>
      </c>
      <c r="E35" s="122" t="s">
        <v>3</v>
      </c>
      <c r="F35" s="1" t="s">
        <v>3</v>
      </c>
      <c r="G35" s="9"/>
      <c r="H35" s="9"/>
      <c r="I35" s="9"/>
      <c r="J35" s="9"/>
      <c r="K35" s="9"/>
      <c r="L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>
      <c r="A36" s="39">
        <v>33</v>
      </c>
      <c r="B36" s="107"/>
      <c r="C36" s="70" t="s">
        <v>259</v>
      </c>
      <c r="D36" s="98" t="s">
        <v>9</v>
      </c>
      <c r="E36" s="122" t="s">
        <v>3</v>
      </c>
      <c r="F36" s="1" t="s">
        <v>3</v>
      </c>
      <c r="G36" s="9"/>
      <c r="H36" s="9"/>
      <c r="I36" s="9"/>
      <c r="J36" s="9"/>
      <c r="K36" s="9"/>
      <c r="L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>
      <c r="A37" s="39">
        <v>34</v>
      </c>
      <c r="B37" s="107"/>
      <c r="C37" s="70" t="s">
        <v>260</v>
      </c>
      <c r="D37" s="98" t="s">
        <v>9</v>
      </c>
      <c r="E37" s="122" t="s">
        <v>3</v>
      </c>
      <c r="F37" s="1" t="s">
        <v>3</v>
      </c>
      <c r="R37" s="9"/>
      <c r="S37" s="9"/>
      <c r="T37" s="9"/>
      <c r="U37" s="69"/>
      <c r="V37" s="9"/>
      <c r="W37" s="9"/>
      <c r="X37" s="9"/>
      <c r="Y37" s="10"/>
      <c r="Z37" s="9"/>
      <c r="AA37" s="9"/>
      <c r="AB37" s="11"/>
      <c r="AC37" s="9"/>
    </row>
    <row r="38" spans="1:29">
      <c r="A38" s="39">
        <v>35</v>
      </c>
      <c r="B38" s="107"/>
      <c r="C38" s="70" t="s">
        <v>261</v>
      </c>
      <c r="D38" s="98" t="s">
        <v>9</v>
      </c>
      <c r="E38" s="122" t="s">
        <v>3</v>
      </c>
      <c r="F38" s="1" t="s">
        <v>3</v>
      </c>
      <c r="R38" s="9"/>
      <c r="S38" s="9"/>
      <c r="T38" s="9"/>
      <c r="U38" s="3"/>
      <c r="V38" s="10"/>
      <c r="W38" s="9"/>
      <c r="X38" s="9"/>
      <c r="Y38" s="10"/>
      <c r="Z38" s="9"/>
      <c r="AA38" s="9"/>
      <c r="AB38" s="93"/>
      <c r="AC38" s="9"/>
    </row>
    <row r="39" spans="1:29">
      <c r="A39" s="39">
        <v>36</v>
      </c>
      <c r="B39" s="107"/>
      <c r="C39" s="70" t="s">
        <v>262</v>
      </c>
      <c r="D39" s="98" t="s">
        <v>9</v>
      </c>
      <c r="E39" s="122" t="s">
        <v>3</v>
      </c>
      <c r="F39" s="1" t="s">
        <v>3</v>
      </c>
      <c r="R39" s="9"/>
      <c r="S39" s="9"/>
      <c r="T39" s="9"/>
      <c r="U39" s="3"/>
      <c r="V39" s="9"/>
      <c r="W39" s="9"/>
      <c r="X39" s="9"/>
      <c r="Y39" s="10"/>
      <c r="Z39" s="9"/>
      <c r="AA39" s="9"/>
      <c r="AB39" s="93"/>
      <c r="AC39" s="9"/>
    </row>
    <row r="40" spans="1:29">
      <c r="A40" s="39">
        <v>37</v>
      </c>
      <c r="B40" s="107"/>
      <c r="C40" s="70" t="s">
        <v>263</v>
      </c>
      <c r="D40" s="98" t="s">
        <v>9</v>
      </c>
      <c r="E40" s="122" t="s">
        <v>3</v>
      </c>
      <c r="F40" s="1" t="s">
        <v>3</v>
      </c>
      <c r="R40" s="9"/>
      <c r="S40" s="9"/>
      <c r="T40" s="9"/>
      <c r="U40" s="3"/>
      <c r="V40" s="8"/>
      <c r="W40" s="3"/>
      <c r="X40" s="3"/>
      <c r="Y40" s="10"/>
      <c r="Z40" s="9"/>
      <c r="AA40" s="9"/>
      <c r="AB40" s="9"/>
      <c r="AC40" s="9"/>
    </row>
    <row r="41" spans="1:29">
      <c r="A41" s="39">
        <v>38</v>
      </c>
      <c r="B41" s="107"/>
      <c r="C41" s="70" t="s">
        <v>264</v>
      </c>
      <c r="D41" s="98" t="s">
        <v>9</v>
      </c>
      <c r="E41" s="122" t="s">
        <v>3</v>
      </c>
      <c r="F41" s="1" t="s">
        <v>3</v>
      </c>
      <c r="R41" s="9"/>
      <c r="S41" s="9"/>
      <c r="T41" s="9"/>
      <c r="U41" s="3"/>
      <c r="V41" s="11"/>
      <c r="W41" s="94"/>
      <c r="X41" s="94"/>
      <c r="Y41" s="10"/>
      <c r="Z41" s="9"/>
      <c r="AA41" s="9"/>
      <c r="AB41" s="9"/>
      <c r="AC41" s="9"/>
    </row>
    <row r="42" spans="1:29">
      <c r="A42" s="39">
        <v>39</v>
      </c>
      <c r="B42" s="107"/>
      <c r="C42" s="70" t="s">
        <v>265</v>
      </c>
      <c r="D42" s="98" t="s">
        <v>9</v>
      </c>
      <c r="E42" s="122" t="s">
        <v>3</v>
      </c>
      <c r="F42" s="1" t="s">
        <v>3</v>
      </c>
      <c r="R42" s="9"/>
      <c r="S42" s="9"/>
      <c r="T42" s="9"/>
      <c r="U42" s="3"/>
      <c r="V42" s="11"/>
      <c r="W42" s="11"/>
      <c r="X42" s="11"/>
      <c r="Y42" s="10"/>
      <c r="Z42" s="9"/>
      <c r="AA42" s="9"/>
      <c r="AB42" s="9"/>
      <c r="AC42" s="9"/>
    </row>
    <row r="43" spans="1:29">
      <c r="A43" s="39">
        <v>40</v>
      </c>
      <c r="B43" s="107"/>
      <c r="C43" s="70" t="s">
        <v>266</v>
      </c>
      <c r="D43" s="98" t="s">
        <v>9</v>
      </c>
      <c r="E43" s="122" t="s">
        <v>3</v>
      </c>
      <c r="F43" s="1" t="s">
        <v>3</v>
      </c>
      <c r="R43" s="9"/>
      <c r="S43" s="9"/>
      <c r="T43" s="9"/>
      <c r="U43" s="3"/>
      <c r="V43" s="11"/>
      <c r="W43" s="11"/>
      <c r="X43" s="11"/>
      <c r="Y43" s="10"/>
      <c r="Z43" s="9"/>
      <c r="AA43" s="9"/>
      <c r="AB43" s="9"/>
      <c r="AC43" s="9"/>
    </row>
    <row r="44" spans="1:29">
      <c r="A44" s="39">
        <v>41</v>
      </c>
      <c r="B44" s="107"/>
      <c r="C44" s="70" t="s">
        <v>267</v>
      </c>
      <c r="D44" s="98" t="s">
        <v>9</v>
      </c>
      <c r="E44" s="122" t="s">
        <v>3</v>
      </c>
      <c r="F44" s="1" t="s">
        <v>3</v>
      </c>
      <c r="R44" s="9"/>
      <c r="S44" s="9"/>
      <c r="T44" s="9"/>
      <c r="U44" s="3"/>
      <c r="V44" s="9"/>
      <c r="W44" s="9"/>
      <c r="X44" s="9"/>
      <c r="Y44" s="10"/>
      <c r="Z44" s="9"/>
      <c r="AA44" s="9"/>
      <c r="AB44" s="9"/>
      <c r="AC44" s="9"/>
    </row>
    <row r="45" spans="1:29">
      <c r="A45" s="39">
        <v>42</v>
      </c>
      <c r="B45" s="107"/>
      <c r="C45" s="70" t="s">
        <v>268</v>
      </c>
      <c r="D45" s="98" t="s">
        <v>9</v>
      </c>
      <c r="E45" s="122" t="s">
        <v>3</v>
      </c>
      <c r="F45" s="1" t="s">
        <v>3</v>
      </c>
      <c r="R45" s="9"/>
      <c r="S45" s="9"/>
      <c r="T45" s="9"/>
      <c r="U45" s="3"/>
      <c r="V45" s="9"/>
      <c r="W45" s="9"/>
      <c r="X45" s="9"/>
      <c r="Y45" s="10"/>
      <c r="Z45" s="9"/>
      <c r="AA45" s="9"/>
      <c r="AB45" s="9"/>
      <c r="AC45" s="9"/>
    </row>
    <row r="46" spans="1:29">
      <c r="A46" s="39">
        <v>43</v>
      </c>
      <c r="B46" s="107"/>
      <c r="C46" s="70" t="s">
        <v>269</v>
      </c>
      <c r="D46" s="98" t="s">
        <v>9</v>
      </c>
      <c r="E46" s="122" t="s">
        <v>3</v>
      </c>
      <c r="F46" s="1" t="s">
        <v>3</v>
      </c>
      <c r="R46" s="9"/>
      <c r="S46" s="9"/>
      <c r="T46" s="9"/>
      <c r="U46" s="3"/>
      <c r="V46" s="9"/>
      <c r="W46" s="9"/>
      <c r="X46" s="9"/>
      <c r="Y46" s="10"/>
      <c r="Z46" s="9"/>
      <c r="AA46" s="9"/>
      <c r="AB46" s="9"/>
      <c r="AC46" s="9"/>
    </row>
    <row r="47" spans="1:29">
      <c r="A47" s="39">
        <v>44</v>
      </c>
      <c r="B47" s="107"/>
      <c r="C47" s="70" t="s">
        <v>270</v>
      </c>
      <c r="D47" s="98" t="s">
        <v>9</v>
      </c>
      <c r="E47" s="122" t="s">
        <v>3</v>
      </c>
      <c r="F47" s="1" t="s">
        <v>3</v>
      </c>
      <c r="R47" s="9"/>
      <c r="S47" s="9"/>
      <c r="T47" s="9"/>
      <c r="U47" s="3"/>
      <c r="V47" s="71"/>
      <c r="W47" s="9"/>
      <c r="X47" s="9"/>
      <c r="Y47" s="10"/>
      <c r="Z47" s="9"/>
      <c r="AA47" s="9"/>
      <c r="AB47" s="9"/>
      <c r="AC47" s="9"/>
    </row>
    <row r="48" spans="1:29">
      <c r="A48" s="39">
        <v>45</v>
      </c>
      <c r="B48" s="107"/>
      <c r="C48" s="70" t="s">
        <v>271</v>
      </c>
      <c r="D48" s="98" t="s">
        <v>9</v>
      </c>
      <c r="E48" s="122" t="s">
        <v>3</v>
      </c>
      <c r="F48" s="1" t="s">
        <v>3</v>
      </c>
      <c r="R48" s="9"/>
      <c r="S48" s="9"/>
      <c r="T48" s="9"/>
      <c r="U48" s="3"/>
      <c r="V48" s="71"/>
      <c r="W48" s="9"/>
      <c r="X48" s="9"/>
      <c r="Y48" s="10"/>
      <c r="Z48" s="9"/>
      <c r="AA48" s="9"/>
      <c r="AB48" s="9"/>
      <c r="AC48" s="9"/>
    </row>
    <row r="49" spans="1:29">
      <c r="A49" s="39">
        <v>46</v>
      </c>
      <c r="B49" s="107"/>
      <c r="C49" s="70" t="s">
        <v>272</v>
      </c>
      <c r="D49" s="98" t="s">
        <v>9</v>
      </c>
      <c r="E49" s="122" t="s">
        <v>3</v>
      </c>
      <c r="F49" s="1" t="s">
        <v>3</v>
      </c>
      <c r="R49" s="9"/>
      <c r="S49" s="9"/>
      <c r="T49" s="9"/>
      <c r="U49" s="3"/>
      <c r="V49" s="9"/>
      <c r="W49" s="9"/>
      <c r="X49" s="9"/>
      <c r="Y49" s="10"/>
      <c r="Z49" s="9"/>
      <c r="AA49" s="9"/>
      <c r="AB49" s="9"/>
      <c r="AC49" s="9"/>
    </row>
    <row r="50" spans="1:29">
      <c r="A50" s="39">
        <v>47</v>
      </c>
      <c r="B50" s="107"/>
      <c r="C50" s="61" t="s">
        <v>273</v>
      </c>
      <c r="D50" s="97" t="s">
        <v>324</v>
      </c>
      <c r="E50" s="122" t="s">
        <v>359</v>
      </c>
      <c r="F50" s="1" t="s">
        <v>3</v>
      </c>
      <c r="R50" s="9"/>
      <c r="S50" s="9"/>
      <c r="T50" s="9"/>
      <c r="U50" s="3"/>
      <c r="V50" s="10"/>
      <c r="W50" s="9"/>
      <c r="X50" s="9"/>
      <c r="Y50" s="10"/>
      <c r="Z50" s="9"/>
      <c r="AA50" s="9"/>
      <c r="AB50" s="9"/>
      <c r="AC50" s="9"/>
    </row>
    <row r="51" spans="1:29">
      <c r="A51" s="39">
        <v>48</v>
      </c>
      <c r="B51" s="107"/>
      <c r="C51" s="61" t="s">
        <v>274</v>
      </c>
      <c r="D51" s="97" t="s">
        <v>328</v>
      </c>
      <c r="E51" s="122" t="s">
        <v>360</v>
      </c>
      <c r="F51" s="1" t="s">
        <v>3</v>
      </c>
      <c r="R51" s="9"/>
      <c r="S51" s="9"/>
      <c r="T51" s="9"/>
      <c r="U51" s="3"/>
      <c r="V51" s="9"/>
      <c r="W51" s="9"/>
      <c r="X51" s="9"/>
      <c r="Y51" s="10"/>
      <c r="Z51" s="9"/>
      <c r="AA51" s="9"/>
      <c r="AB51" s="9"/>
      <c r="AC51" s="9"/>
    </row>
    <row r="52" spans="1:29">
      <c r="A52" s="39">
        <v>49</v>
      </c>
      <c r="B52" s="107"/>
      <c r="C52" s="61" t="s">
        <v>275</v>
      </c>
      <c r="D52" s="97" t="s">
        <v>329</v>
      </c>
      <c r="E52" s="122" t="s">
        <v>361</v>
      </c>
      <c r="F52" s="1" t="s">
        <v>3</v>
      </c>
      <c r="R52" s="9"/>
      <c r="S52" s="9"/>
      <c r="T52" s="9"/>
      <c r="U52" s="3"/>
      <c r="V52" s="9"/>
      <c r="W52" s="9"/>
      <c r="X52" s="9"/>
      <c r="Y52" s="10"/>
      <c r="Z52" s="9"/>
      <c r="AA52" s="9"/>
      <c r="AB52" s="9"/>
      <c r="AC52" s="9"/>
    </row>
    <row r="53" spans="1:29">
      <c r="A53" s="39">
        <v>50</v>
      </c>
      <c r="B53" s="108" t="s">
        <v>276</v>
      </c>
      <c r="C53" s="47" t="s">
        <v>277</v>
      </c>
      <c r="D53" s="101" t="s">
        <v>308</v>
      </c>
      <c r="E53" s="122" t="s">
        <v>362</v>
      </c>
      <c r="F53" s="1" t="s">
        <v>3</v>
      </c>
      <c r="R53" s="9"/>
      <c r="S53" s="9"/>
      <c r="T53" s="9"/>
      <c r="U53" s="3"/>
      <c r="V53" s="9"/>
      <c r="W53" s="9"/>
      <c r="X53" s="9"/>
      <c r="Y53" s="10"/>
      <c r="Z53" s="9"/>
      <c r="AA53" s="9"/>
      <c r="AB53" s="9"/>
      <c r="AC53" s="9"/>
    </row>
    <row r="54" spans="1:29">
      <c r="A54" s="39">
        <v>51</v>
      </c>
      <c r="B54" s="108"/>
      <c r="C54" s="47" t="s">
        <v>278</v>
      </c>
      <c r="D54" s="98" t="s">
        <v>334</v>
      </c>
      <c r="E54" s="122" t="s">
        <v>363</v>
      </c>
      <c r="F54" s="1" t="s">
        <v>3</v>
      </c>
      <c r="R54" s="9"/>
      <c r="S54" s="9"/>
      <c r="T54" s="9"/>
      <c r="U54" s="3"/>
      <c r="V54" s="9"/>
      <c r="W54" s="9"/>
      <c r="X54" s="9"/>
      <c r="Y54" s="10"/>
      <c r="Z54" s="9"/>
      <c r="AA54" s="9"/>
      <c r="AB54" s="9"/>
      <c r="AC54" s="9"/>
    </row>
    <row r="55" spans="1:29">
      <c r="A55" s="39">
        <v>52</v>
      </c>
      <c r="B55" s="108"/>
      <c r="C55" s="74" t="s">
        <v>279</v>
      </c>
      <c r="D55" s="97" t="s">
        <v>327</v>
      </c>
      <c r="E55" s="122" t="s">
        <v>364</v>
      </c>
      <c r="F55" s="1" t="s">
        <v>3</v>
      </c>
      <c r="R55" s="9"/>
      <c r="S55" s="9"/>
      <c r="T55" s="9"/>
      <c r="U55" s="3"/>
      <c r="V55" s="9"/>
      <c r="W55" s="9"/>
      <c r="X55" s="9"/>
      <c r="Y55" s="10"/>
      <c r="Z55" s="9"/>
      <c r="AA55" s="9"/>
      <c r="AB55" s="9"/>
      <c r="AC55" s="9"/>
    </row>
    <row r="56" spans="1:29">
      <c r="A56" s="39">
        <v>53</v>
      </c>
      <c r="B56" s="108"/>
      <c r="C56" s="74" t="s">
        <v>280</v>
      </c>
      <c r="D56" s="97" t="s">
        <v>9</v>
      </c>
      <c r="E56" s="122" t="s">
        <v>365</v>
      </c>
      <c r="F56" s="1" t="s">
        <v>3</v>
      </c>
      <c r="R56" s="9"/>
      <c r="S56" s="9"/>
      <c r="T56" s="9"/>
      <c r="U56" s="3"/>
      <c r="V56" s="9"/>
      <c r="W56" s="9"/>
      <c r="X56" s="9"/>
      <c r="Y56" s="10"/>
      <c r="Z56" s="9"/>
      <c r="AA56" s="9"/>
      <c r="AB56" s="9"/>
      <c r="AC56" s="9"/>
    </row>
    <row r="57" spans="1:29">
      <c r="A57" s="39">
        <v>54</v>
      </c>
      <c r="B57" s="108"/>
      <c r="C57" s="62" t="s">
        <v>281</v>
      </c>
      <c r="D57" s="97" t="s">
        <v>309</v>
      </c>
      <c r="E57" s="122" t="s">
        <v>366</v>
      </c>
      <c r="F57" s="1" t="s">
        <v>3</v>
      </c>
      <c r="R57" s="9"/>
      <c r="S57" s="9"/>
      <c r="T57" s="9"/>
      <c r="U57" s="3"/>
      <c r="V57" s="69"/>
      <c r="W57" s="72"/>
      <c r="X57" s="73"/>
      <c r="Y57" s="72"/>
      <c r="Z57" s="73"/>
      <c r="AA57" s="9"/>
      <c r="AB57" s="9"/>
      <c r="AC57" s="9"/>
    </row>
    <row r="58" spans="1:29">
      <c r="A58" s="39">
        <v>55</v>
      </c>
      <c r="B58" s="108"/>
      <c r="C58" s="74" t="s">
        <v>282</v>
      </c>
      <c r="D58" s="97" t="s">
        <v>325</v>
      </c>
      <c r="E58" s="122" t="s">
        <v>367</v>
      </c>
      <c r="F58" s="1" t="s">
        <v>3</v>
      </c>
      <c r="R58" s="9"/>
      <c r="S58" s="9"/>
      <c r="T58" s="9"/>
      <c r="U58" s="3"/>
      <c r="V58" s="3"/>
      <c r="W58" s="3"/>
      <c r="X58" s="3"/>
      <c r="Y58" s="3"/>
      <c r="Z58" s="3"/>
      <c r="AA58" s="8"/>
      <c r="AB58" s="8"/>
      <c r="AC58" s="9"/>
    </row>
    <row r="59" spans="1:29">
      <c r="A59" s="39">
        <v>56</v>
      </c>
      <c r="B59" s="108"/>
      <c r="C59" s="74" t="s">
        <v>283</v>
      </c>
      <c r="D59" s="97" t="s">
        <v>325</v>
      </c>
      <c r="E59" s="122" t="s">
        <v>365</v>
      </c>
      <c r="F59" s="1" t="s">
        <v>3</v>
      </c>
      <c r="R59" s="9"/>
      <c r="S59" s="9"/>
      <c r="T59" s="9"/>
      <c r="U59" s="11"/>
      <c r="V59" s="95"/>
      <c r="W59" s="11"/>
      <c r="X59" s="11"/>
      <c r="Y59" s="11"/>
      <c r="Z59" s="11"/>
      <c r="AA59" s="8"/>
      <c r="AB59" s="8"/>
      <c r="AC59" s="9"/>
    </row>
    <row r="60" spans="1:29">
      <c r="A60" s="39">
        <v>57</v>
      </c>
      <c r="B60" s="108"/>
      <c r="C60" s="47" t="s">
        <v>284</v>
      </c>
      <c r="D60" s="102">
        <v>1</v>
      </c>
      <c r="E60" s="122" t="s">
        <v>368</v>
      </c>
      <c r="F60" s="1" t="s">
        <v>3</v>
      </c>
      <c r="R60" s="9"/>
      <c r="S60" s="9"/>
      <c r="T60" s="9"/>
      <c r="U60" s="11"/>
      <c r="V60" s="11"/>
      <c r="W60" s="11"/>
      <c r="X60" s="11"/>
      <c r="Y60" s="96"/>
      <c r="Z60" s="96"/>
      <c r="AA60" s="8"/>
      <c r="AB60" s="11"/>
      <c r="AC60" s="9"/>
    </row>
    <row r="61" spans="1:29">
      <c r="A61" s="39">
        <v>58</v>
      </c>
      <c r="B61" s="109" t="s">
        <v>285</v>
      </c>
      <c r="C61" s="74" t="s">
        <v>286</v>
      </c>
      <c r="D61" s="103">
        <v>43684</v>
      </c>
      <c r="E61" s="122" t="s">
        <v>369</v>
      </c>
      <c r="F61" s="1" t="s">
        <v>3</v>
      </c>
      <c r="R61" s="9"/>
      <c r="S61" s="9"/>
      <c r="T61" s="9"/>
      <c r="U61" s="11"/>
      <c r="V61" s="63"/>
      <c r="W61" s="8"/>
      <c r="X61" s="71"/>
      <c r="Y61" s="14"/>
      <c r="Z61" s="8"/>
      <c r="AA61" s="8"/>
      <c r="AB61" s="11"/>
      <c r="AC61" s="9"/>
    </row>
    <row r="62" spans="1:29">
      <c r="A62" s="39">
        <v>59</v>
      </c>
      <c r="B62" s="109"/>
      <c r="C62" s="74" t="s">
        <v>287</v>
      </c>
      <c r="D62" s="103">
        <v>45605</v>
      </c>
      <c r="E62" s="122" t="s">
        <v>370</v>
      </c>
      <c r="F62" s="1" t="s">
        <v>3</v>
      </c>
      <c r="R62" s="9"/>
      <c r="S62" s="9"/>
      <c r="T62" s="9"/>
      <c r="U62" s="11"/>
      <c r="V62" s="63"/>
      <c r="W62" s="8"/>
      <c r="X62" s="71"/>
      <c r="Y62" s="14"/>
      <c r="Z62" s="8"/>
      <c r="AA62" s="8"/>
      <c r="AB62" s="8"/>
      <c r="AC62" s="9"/>
    </row>
    <row r="63" spans="1:29">
      <c r="A63" s="39">
        <v>60</v>
      </c>
      <c r="B63" s="109"/>
      <c r="C63" s="74" t="s">
        <v>288</v>
      </c>
      <c r="D63" s="97" t="s">
        <v>289</v>
      </c>
      <c r="E63" s="122" t="s">
        <v>371</v>
      </c>
      <c r="F63" s="1" t="s">
        <v>3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>
      <c r="A64" s="39">
        <v>61</v>
      </c>
      <c r="B64" s="109"/>
      <c r="C64" s="74" t="s">
        <v>290</v>
      </c>
      <c r="D64" s="97" t="s">
        <v>326</v>
      </c>
      <c r="E64" s="122" t="s">
        <v>372</v>
      </c>
      <c r="F64" s="1" t="s">
        <v>3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>
      <c r="A65" s="39">
        <v>62</v>
      </c>
      <c r="B65" s="109"/>
      <c r="C65" s="47" t="s">
        <v>291</v>
      </c>
      <c r="D65" s="92"/>
      <c r="E65" s="122" t="s">
        <v>373</v>
      </c>
      <c r="F65" s="1" t="s">
        <v>3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>
      <c r="A66" s="39">
        <v>63</v>
      </c>
      <c r="B66" s="109"/>
      <c r="C66" s="47" t="s">
        <v>292</v>
      </c>
      <c r="D66" s="92"/>
      <c r="E66" s="122" t="s">
        <v>374</v>
      </c>
      <c r="F66" s="1" t="s">
        <v>3</v>
      </c>
    </row>
    <row r="67" spans="1:29">
      <c r="A67" s="39">
        <v>64</v>
      </c>
      <c r="B67" s="109"/>
      <c r="C67" s="74" t="s">
        <v>293</v>
      </c>
      <c r="D67" s="92"/>
      <c r="E67" s="122" t="s">
        <v>375</v>
      </c>
      <c r="F67" s="1" t="s">
        <v>3</v>
      </c>
    </row>
    <row r="68" spans="1:29">
      <c r="A68" s="39">
        <v>65</v>
      </c>
      <c r="B68" s="110" t="s">
        <v>294</v>
      </c>
      <c r="C68" s="75" t="s">
        <v>295</v>
      </c>
      <c r="D68" s="50"/>
      <c r="E68" s="122" t="s">
        <v>3</v>
      </c>
    </row>
    <row r="69" spans="1:29">
      <c r="A69" s="39">
        <v>66</v>
      </c>
      <c r="B69" s="110"/>
      <c r="C69" s="75" t="s">
        <v>296</v>
      </c>
      <c r="D69" s="50"/>
      <c r="E69" s="122" t="s">
        <v>3</v>
      </c>
    </row>
    <row r="70" spans="1:29">
      <c r="A70" s="39">
        <v>67</v>
      </c>
      <c r="B70" s="110"/>
      <c r="C70" s="75" t="s">
        <v>297</v>
      </c>
      <c r="D70" s="50"/>
      <c r="E70" s="122" t="s">
        <v>3</v>
      </c>
    </row>
    <row r="71" spans="1:29">
      <c r="A71" s="39">
        <v>68</v>
      </c>
      <c r="B71" s="110"/>
      <c r="C71" s="75" t="s">
        <v>298</v>
      </c>
      <c r="D71" s="50"/>
      <c r="E71" s="122" t="s">
        <v>3</v>
      </c>
    </row>
    <row r="72" spans="1:29">
      <c r="A72" s="39">
        <v>69</v>
      </c>
      <c r="B72" s="111"/>
      <c r="C72" s="76" t="s">
        <v>299</v>
      </c>
      <c r="D72" s="68"/>
      <c r="E72" s="122" t="s">
        <v>3</v>
      </c>
    </row>
  </sheetData>
  <mergeCells count="10">
    <mergeCell ref="B26:B52"/>
    <mergeCell ref="B53:B60"/>
    <mergeCell ref="B61:B67"/>
    <mergeCell ref="B68:B72"/>
    <mergeCell ref="F2:K2"/>
    <mergeCell ref="B2:D2"/>
    <mergeCell ref="B4:B5"/>
    <mergeCell ref="B7:B10"/>
    <mergeCell ref="B11:B20"/>
    <mergeCell ref="B21:B2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X830"/>
  <sheetViews>
    <sheetView zoomScale="70" zoomScaleNormal="70" zoomScalePageLayoutView="70" workbookViewId="0">
      <selection activeCell="E1" sqref="E1"/>
    </sheetView>
  </sheetViews>
  <sheetFormatPr baseColWidth="10" defaultRowHeight="14.4"/>
  <cols>
    <col min="1" max="1" width="37.3125" bestFit="1" customWidth="1"/>
    <col min="2" max="2" width="9.62890625" customWidth="1"/>
    <col min="3" max="3" width="11.68359375" customWidth="1"/>
    <col min="4" max="4" width="17.3125" bestFit="1" customWidth="1"/>
    <col min="5" max="5" width="15.3125" bestFit="1" customWidth="1"/>
    <col min="6" max="6" width="9.68359375" bestFit="1" customWidth="1"/>
    <col min="7" max="7" width="11.7890625" bestFit="1" customWidth="1"/>
    <col min="8" max="8" width="8" bestFit="1" customWidth="1"/>
    <col min="9" max="9" width="22.3125" bestFit="1" customWidth="1"/>
    <col min="10" max="10" width="6" bestFit="1" customWidth="1"/>
    <col min="11" max="11" width="9" bestFit="1" customWidth="1"/>
    <col min="12" max="12" width="4.68359375" bestFit="1" customWidth="1"/>
    <col min="13" max="13" width="39.734375" customWidth="1"/>
    <col min="14" max="14" width="35.83984375" bestFit="1" customWidth="1"/>
    <col min="15" max="15" width="13.7890625" bestFit="1" customWidth="1"/>
    <col min="16" max="16" width="7.3125" bestFit="1" customWidth="1"/>
    <col min="17" max="17" width="41.7890625" bestFit="1" customWidth="1"/>
    <col min="18" max="18" width="50.7890625" bestFit="1" customWidth="1"/>
    <col min="19" max="19" width="26.68359375" bestFit="1" customWidth="1"/>
    <col min="20" max="20" width="6.1015625" bestFit="1" customWidth="1"/>
    <col min="21" max="21" width="6" bestFit="1" customWidth="1"/>
    <col min="22" max="22" width="12.47265625" bestFit="1" customWidth="1"/>
    <col min="23" max="23" width="6" bestFit="1" customWidth="1"/>
    <col min="24" max="24" width="25" bestFit="1" customWidth="1"/>
    <col min="25" max="25" width="8.47265625" bestFit="1" customWidth="1"/>
    <col min="26" max="26" width="6.68359375" bestFit="1" customWidth="1"/>
    <col min="27" max="27" width="7.1015625" bestFit="1" customWidth="1"/>
    <col min="28" max="28" width="6.68359375" bestFit="1" customWidth="1"/>
    <col min="29" max="29" width="4.47265625" bestFit="1" customWidth="1"/>
    <col min="30" max="30" width="16.1015625" bestFit="1" customWidth="1"/>
    <col min="31" max="31" width="31.3125" bestFit="1" customWidth="1"/>
  </cols>
  <sheetData>
    <row r="1" spans="1:180">
      <c r="A1" s="7" t="s">
        <v>233</v>
      </c>
      <c r="B1" s="7" t="s">
        <v>235</v>
      </c>
      <c r="C1" s="7" t="s">
        <v>319</v>
      </c>
      <c r="D1" s="2" t="s">
        <v>333</v>
      </c>
      <c r="E1" s="2" t="s">
        <v>43</v>
      </c>
      <c r="F1" s="2" t="s">
        <v>44</v>
      </c>
      <c r="G1" s="2" t="s">
        <v>330</v>
      </c>
      <c r="H1" s="2" t="s">
        <v>331</v>
      </c>
      <c r="I1" s="2" t="s">
        <v>332</v>
      </c>
      <c r="J1" s="2" t="s">
        <v>49</v>
      </c>
      <c r="K1" s="2" t="s">
        <v>48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</row>
    <row r="2" spans="1:180">
      <c r="A2" s="4" t="s">
        <v>159</v>
      </c>
      <c r="B2" s="4" t="s">
        <v>311</v>
      </c>
      <c r="C2" s="4" t="s">
        <v>320</v>
      </c>
      <c r="D2" s="5">
        <v>593.91318234627215</v>
      </c>
      <c r="E2" s="6">
        <v>0</v>
      </c>
      <c r="F2" s="6">
        <v>131.90656858722551</v>
      </c>
      <c r="G2" s="6">
        <v>21.665366905384627</v>
      </c>
      <c r="H2" s="6">
        <v>8.5818581555169544</v>
      </c>
      <c r="I2" s="6">
        <v>24.098388490906636</v>
      </c>
      <c r="J2" s="6">
        <v>0</v>
      </c>
      <c r="K2" s="6">
        <v>146.31739133125711</v>
      </c>
    </row>
    <row r="3" spans="1:180">
      <c r="A3" s="4" t="s">
        <v>161</v>
      </c>
      <c r="B3" s="4" t="s">
        <v>311</v>
      </c>
      <c r="C3" s="4" t="s">
        <v>320</v>
      </c>
      <c r="D3" s="5">
        <v>933.22672754179075</v>
      </c>
      <c r="E3" s="6">
        <v>0</v>
      </c>
      <c r="F3" s="6">
        <v>207.26722188185474</v>
      </c>
      <c r="G3" s="6">
        <v>34.043190249170294</v>
      </c>
      <c r="H3" s="6">
        <v>13.484831858861645</v>
      </c>
      <c r="I3" s="6">
        <v>37.866241900129317</v>
      </c>
      <c r="J3" s="6">
        <v>0</v>
      </c>
      <c r="K3" s="6">
        <v>229.91121320979337</v>
      </c>
    </row>
    <row r="4" spans="1:180">
      <c r="A4" s="4" t="s">
        <v>158</v>
      </c>
      <c r="B4" s="4" t="s">
        <v>311</v>
      </c>
      <c r="C4" s="4" t="s">
        <v>320</v>
      </c>
      <c r="D4" s="5">
        <v>334.27650201447852</v>
      </c>
      <c r="E4" s="6">
        <v>0</v>
      </c>
      <c r="F4" s="6">
        <v>74.241939143156998</v>
      </c>
      <c r="G4" s="6">
        <v>12.194076978358348</v>
      </c>
      <c r="H4" s="6">
        <v>4.8301900181398434</v>
      </c>
      <c r="I4" s="6">
        <v>13.5634723194771</v>
      </c>
      <c r="J4" s="6">
        <v>0</v>
      </c>
      <c r="K4" s="6">
        <v>82.352887950514798</v>
      </c>
    </row>
    <row r="5" spans="1:180">
      <c r="A5" s="4" t="s">
        <v>160</v>
      </c>
      <c r="B5" s="4" t="s">
        <v>311</v>
      </c>
      <c r="C5" s="4" t="s">
        <v>320</v>
      </c>
      <c r="D5" s="5">
        <v>784.40499719287914</v>
      </c>
      <c r="E5" s="6">
        <v>0</v>
      </c>
      <c r="F5" s="6">
        <v>174.21430377017526</v>
      </c>
      <c r="G5" s="6">
        <v>28.614320361545001</v>
      </c>
      <c r="H5" s="6">
        <v>11.334404795991167</v>
      </c>
      <c r="I5" s="6">
        <v>31.827709703101828</v>
      </c>
      <c r="J5" s="6">
        <v>0</v>
      </c>
      <c r="K5" s="6">
        <v>193.24725624552309</v>
      </c>
    </row>
    <row r="6" spans="1:180">
      <c r="A6" s="4" t="s">
        <v>163</v>
      </c>
      <c r="B6" s="4" t="s">
        <v>311</v>
      </c>
      <c r="C6" s="4" t="s">
        <v>320</v>
      </c>
      <c r="D6" s="5">
        <v>602.61352965897777</v>
      </c>
      <c r="E6" s="6">
        <v>0</v>
      </c>
      <c r="F6" s="6">
        <v>133.83889303067753</v>
      </c>
      <c r="G6" s="6">
        <v>21.98274699112272</v>
      </c>
      <c r="H6" s="6">
        <v>8.7075754299616897</v>
      </c>
      <c r="I6" s="6">
        <v>24.451410373194395</v>
      </c>
      <c r="J6" s="6">
        <v>0</v>
      </c>
      <c r="K6" s="6">
        <v>148.46082266147599</v>
      </c>
    </row>
    <row r="7" spans="1:180">
      <c r="A7" s="4" t="s">
        <v>165</v>
      </c>
      <c r="B7" s="4" t="s">
        <v>311</v>
      </c>
      <c r="C7" s="4" t="s">
        <v>320</v>
      </c>
      <c r="D7" s="5">
        <v>948.33785708491109</v>
      </c>
      <c r="E7" s="6">
        <v>0</v>
      </c>
      <c r="F7" s="6">
        <v>210.62336433627141</v>
      </c>
      <c r="G7" s="6">
        <v>34.594429345452248</v>
      </c>
      <c r="H7" s="6">
        <v>13.703182914476185</v>
      </c>
      <c r="I7" s="6">
        <v>38.479385169365955</v>
      </c>
      <c r="J7" s="6">
        <v>0</v>
      </c>
      <c r="K7" s="6">
        <v>233.63401499385773</v>
      </c>
    </row>
    <row r="8" spans="1:180">
      <c r="A8" s="4" t="s">
        <v>162</v>
      </c>
      <c r="B8" s="4" t="s">
        <v>311</v>
      </c>
      <c r="C8" s="4" t="s">
        <v>320</v>
      </c>
      <c r="D8" s="5">
        <v>340.01415211069968</v>
      </c>
      <c r="E8" s="6">
        <v>0</v>
      </c>
      <c r="F8" s="6">
        <v>75.516256262970359</v>
      </c>
      <c r="G8" s="6">
        <v>12.403380792795103</v>
      </c>
      <c r="H8" s="6">
        <v>4.9130972522868186</v>
      </c>
      <c r="I8" s="6">
        <v>13.796280960796379</v>
      </c>
      <c r="J8" s="6">
        <v>0</v>
      </c>
      <c r="K8" s="6">
        <v>83.766424506706514</v>
      </c>
    </row>
    <row r="9" spans="1:180">
      <c r="A9" s="4" t="s">
        <v>164</v>
      </c>
      <c r="B9" s="4" t="s">
        <v>311</v>
      </c>
      <c r="C9" s="4" t="s">
        <v>320</v>
      </c>
      <c r="D9" s="5">
        <v>794.79962266647988</v>
      </c>
      <c r="E9" s="6">
        <v>0</v>
      </c>
      <c r="F9" s="6">
        <v>176.5229229736679</v>
      </c>
      <c r="G9" s="6">
        <v>28.993506042926825</v>
      </c>
      <c r="H9" s="6">
        <v>11.484603855459348</v>
      </c>
      <c r="I9" s="6">
        <v>32.249477951940356</v>
      </c>
      <c r="J9" s="6">
        <v>0</v>
      </c>
      <c r="K9" s="6">
        <v>195.80809262425822</v>
      </c>
    </row>
    <row r="10" spans="1:180">
      <c r="A10" s="4" t="s">
        <v>167</v>
      </c>
      <c r="B10" s="4" t="s">
        <v>311</v>
      </c>
      <c r="C10" s="4" t="s">
        <v>320</v>
      </c>
      <c r="D10" s="5">
        <v>657.7232025847876</v>
      </c>
      <c r="E10" s="6">
        <v>0</v>
      </c>
      <c r="F10" s="6">
        <v>101.3769041882037</v>
      </c>
      <c r="G10" s="6">
        <v>15.848315876678297</v>
      </c>
      <c r="H10" s="6">
        <v>12.017271240682883</v>
      </c>
      <c r="I10" s="6">
        <v>55.374192840557313</v>
      </c>
      <c r="J10" s="6">
        <v>0</v>
      </c>
      <c r="K10" s="6">
        <v>149.94127823762105</v>
      </c>
    </row>
    <row r="11" spans="1:180">
      <c r="A11" s="4" t="s">
        <v>169</v>
      </c>
      <c r="B11" s="4" t="s">
        <v>311</v>
      </c>
      <c r="C11" s="4" t="s">
        <v>320</v>
      </c>
      <c r="D11" s="5">
        <v>1036.0429634443196</v>
      </c>
      <c r="E11" s="6">
        <v>0</v>
      </c>
      <c r="F11" s="6">
        <v>159.68849483672855</v>
      </c>
      <c r="G11" s="6">
        <v>24.964203911232385</v>
      </c>
      <c r="H11" s="6">
        <v>18.929557692023643</v>
      </c>
      <c r="I11" s="6">
        <v>87.225207539295553</v>
      </c>
      <c r="J11" s="6">
        <v>0</v>
      </c>
      <c r="K11" s="6">
        <v>236.18690299725054</v>
      </c>
    </row>
    <row r="12" spans="1:180">
      <c r="A12" s="4" t="s">
        <v>166</v>
      </c>
      <c r="B12" s="4" t="s">
        <v>311</v>
      </c>
      <c r="C12" s="4" t="s">
        <v>320</v>
      </c>
      <c r="D12" s="5">
        <v>377.04267804706416</v>
      </c>
      <c r="E12" s="6">
        <v>0</v>
      </c>
      <c r="F12" s="6">
        <v>58.114749938920617</v>
      </c>
      <c r="G12" s="6">
        <v>9.0851158012907192</v>
      </c>
      <c r="H12" s="6">
        <v>6.888952850680286</v>
      </c>
      <c r="I12" s="6">
        <v>31.743496171714945</v>
      </c>
      <c r="J12" s="6">
        <v>0</v>
      </c>
      <c r="K12" s="6">
        <v>85.954487958366883</v>
      </c>
    </row>
    <row r="13" spans="1:180">
      <c r="A13" s="4" t="s">
        <v>168</v>
      </c>
      <c r="B13" s="4" t="s">
        <v>311</v>
      </c>
      <c r="C13" s="4" t="s">
        <v>320</v>
      </c>
      <c r="D13" s="5">
        <v>860.74994614703633</v>
      </c>
      <c r="E13" s="6">
        <v>0</v>
      </c>
      <c r="F13" s="6">
        <v>132.67004186202601</v>
      </c>
      <c r="G13" s="6">
        <v>20.740391982162947</v>
      </c>
      <c r="H13" s="6">
        <v>15.726776146259921</v>
      </c>
      <c r="I13" s="6">
        <v>72.467161441367878</v>
      </c>
      <c r="J13" s="6">
        <v>0</v>
      </c>
      <c r="K13" s="6">
        <v>196.22532193033379</v>
      </c>
    </row>
    <row r="14" spans="1:180">
      <c r="A14" s="4" t="s">
        <v>171</v>
      </c>
      <c r="B14" s="4" t="s">
        <v>311</v>
      </c>
      <c r="C14" s="4" t="s">
        <v>320</v>
      </c>
      <c r="D14" s="6">
        <v>628.49904328101616</v>
      </c>
      <c r="E14" s="6">
        <v>0</v>
      </c>
      <c r="F14" s="6">
        <v>94.825380410780468</v>
      </c>
      <c r="G14" s="6">
        <v>38.386873422688431</v>
      </c>
      <c r="H14" s="6">
        <v>13.326639580695124</v>
      </c>
      <c r="I14" s="6">
        <v>78.580734311323226</v>
      </c>
      <c r="J14" s="6">
        <v>0</v>
      </c>
      <c r="K14" s="6">
        <v>135.07656016880844</v>
      </c>
    </row>
    <row r="15" spans="1:180">
      <c r="A15" s="4" t="s">
        <v>173</v>
      </c>
      <c r="B15" s="4" t="s">
        <v>311</v>
      </c>
      <c r="C15" s="4" t="s">
        <v>320</v>
      </c>
      <c r="D15" s="5">
        <v>963.38001243765996</v>
      </c>
      <c r="E15" s="6">
        <v>0</v>
      </c>
      <c r="F15" s="6">
        <v>145.35085953774092</v>
      </c>
      <c r="G15" s="6">
        <v>58.84041828025083</v>
      </c>
      <c r="H15" s="6">
        <v>20.427426807174697</v>
      </c>
      <c r="I15" s="6">
        <v>120.45063490153071</v>
      </c>
      <c r="J15" s="6">
        <v>0</v>
      </c>
      <c r="K15" s="6">
        <v>207.04893604313554</v>
      </c>
    </row>
    <row r="16" spans="1:180">
      <c r="A16" s="4" t="s">
        <v>170</v>
      </c>
      <c r="B16" s="4" t="s">
        <v>311</v>
      </c>
      <c r="C16" s="4" t="s">
        <v>320</v>
      </c>
      <c r="D16" s="5">
        <v>364.09654955601189</v>
      </c>
      <c r="E16" s="6">
        <v>0</v>
      </c>
      <c r="F16" s="6">
        <v>54.93340711811431</v>
      </c>
      <c r="G16" s="6">
        <v>22.237946598106454</v>
      </c>
      <c r="H16" s="6">
        <v>7.7202718769106387</v>
      </c>
      <c r="I16" s="6">
        <v>45.522701315454327</v>
      </c>
      <c r="J16" s="6">
        <v>0</v>
      </c>
      <c r="K16" s="6">
        <v>78.25136729980396</v>
      </c>
    </row>
    <row r="17" spans="1:11">
      <c r="A17" s="4" t="s">
        <v>172</v>
      </c>
      <c r="B17" s="4" t="s">
        <v>311</v>
      </c>
      <c r="C17" s="4" t="s">
        <v>320</v>
      </c>
      <c r="D17" s="5">
        <v>819.71837870465617</v>
      </c>
      <c r="E17" s="6">
        <v>0</v>
      </c>
      <c r="F17" s="6">
        <v>123.67577631398612</v>
      </c>
      <c r="G17" s="6">
        <v>50.065988137897079</v>
      </c>
      <c r="H17" s="6">
        <v>17.381237899170991</v>
      </c>
      <c r="I17" s="6">
        <v>102.48873536995701</v>
      </c>
      <c r="J17" s="6">
        <v>0</v>
      </c>
      <c r="K17" s="6">
        <v>176.17328154478997</v>
      </c>
    </row>
    <row r="18" spans="1:11">
      <c r="A18" s="4" t="s">
        <v>175</v>
      </c>
      <c r="B18" s="4" t="s">
        <v>311</v>
      </c>
      <c r="C18" s="4" t="s">
        <v>320</v>
      </c>
      <c r="D18" s="6">
        <v>715.98856977199068</v>
      </c>
      <c r="E18" s="6">
        <v>0</v>
      </c>
      <c r="F18" s="6">
        <v>29.517562608186445</v>
      </c>
      <c r="G18" s="6">
        <v>58.294326248798441</v>
      </c>
      <c r="H18" s="6">
        <v>12.54176435963201</v>
      </c>
      <c r="I18" s="6">
        <v>111.14242100025686</v>
      </c>
      <c r="J18" s="6">
        <v>0</v>
      </c>
      <c r="K18" s="6">
        <v>184.16566382104941</v>
      </c>
    </row>
    <row r="19" spans="1:11">
      <c r="A19" s="6" t="s">
        <v>177</v>
      </c>
      <c r="B19" s="4" t="s">
        <v>311</v>
      </c>
      <c r="C19" s="4" t="s">
        <v>320</v>
      </c>
      <c r="D19" s="6">
        <v>1091.7467275215645</v>
      </c>
      <c r="E19" s="6">
        <v>0</v>
      </c>
      <c r="F19" s="6">
        <v>45.008682739394629</v>
      </c>
      <c r="G19" s="6">
        <v>88.887787601787238</v>
      </c>
      <c r="H19" s="6">
        <v>19.12381115432505</v>
      </c>
      <c r="I19" s="6">
        <v>169.47110545981957</v>
      </c>
      <c r="J19" s="6">
        <v>0</v>
      </c>
      <c r="K19" s="6">
        <v>280.81769638095801</v>
      </c>
    </row>
    <row r="20" spans="1:11">
      <c r="A20" s="6" t="s">
        <v>174</v>
      </c>
      <c r="B20" s="4" t="s">
        <v>311</v>
      </c>
      <c r="C20" s="4" t="s">
        <v>320</v>
      </c>
      <c r="D20" s="6">
        <v>436.27112796395073</v>
      </c>
      <c r="E20" s="6">
        <v>0</v>
      </c>
      <c r="F20" s="6">
        <v>17.985846251597252</v>
      </c>
      <c r="G20" s="6">
        <v>35.52030373133023</v>
      </c>
      <c r="H20" s="6">
        <v>7.6420349637385803</v>
      </c>
      <c r="I20" s="6">
        <v>67.722071861939924</v>
      </c>
      <c r="J20" s="6">
        <v>0</v>
      </c>
      <c r="K20" s="6">
        <v>112.21710133309183</v>
      </c>
    </row>
    <row r="21" spans="1:11">
      <c r="A21" s="6" t="s">
        <v>176</v>
      </c>
      <c r="B21" s="4" t="s">
        <v>311</v>
      </c>
      <c r="C21" s="4" t="s">
        <v>320</v>
      </c>
      <c r="D21" s="6">
        <v>914.22248267020473</v>
      </c>
      <c r="E21" s="6">
        <v>0</v>
      </c>
      <c r="F21" s="6">
        <v>37.69001421157197</v>
      </c>
      <c r="G21" s="6">
        <v>74.434126351674962</v>
      </c>
      <c r="H21" s="6">
        <v>16.014170384841265</v>
      </c>
      <c r="I21" s="6">
        <v>141.9141371058335</v>
      </c>
      <c r="J21" s="6">
        <v>0</v>
      </c>
      <c r="K21" s="6">
        <v>235.15513725966835</v>
      </c>
    </row>
    <row r="22" spans="1:11">
      <c r="A22" s="6" t="s">
        <v>179</v>
      </c>
      <c r="B22" s="4" t="s">
        <v>311</v>
      </c>
      <c r="C22" s="4" t="s">
        <v>320</v>
      </c>
      <c r="D22" s="6">
        <v>608.07655530953593</v>
      </c>
      <c r="E22" s="6">
        <v>45.525916819981532</v>
      </c>
      <c r="F22" s="6">
        <v>28.958616224807525</v>
      </c>
      <c r="G22" s="6">
        <v>28.270371706910822</v>
      </c>
      <c r="H22" s="6">
        <v>7.2475263923225208</v>
      </c>
      <c r="I22" s="6">
        <v>47.890291524897592</v>
      </c>
      <c r="J22" s="6">
        <v>0</v>
      </c>
      <c r="K22" s="6">
        <v>174.50924074147358</v>
      </c>
    </row>
    <row r="23" spans="1:11">
      <c r="A23" s="6" t="s">
        <v>181</v>
      </c>
      <c r="B23" s="4" t="s">
        <v>311</v>
      </c>
      <c r="C23" s="4" t="s">
        <v>320</v>
      </c>
      <c r="D23" s="6">
        <v>944.37750332682663</v>
      </c>
      <c r="E23" s="6">
        <v>70.70434024747658</v>
      </c>
      <c r="F23" s="6">
        <v>44.974379379356733</v>
      </c>
      <c r="G23" s="6">
        <v>43.905496466811606</v>
      </c>
      <c r="H23" s="6">
        <v>11.25582103094362</v>
      </c>
      <c r="I23" s="6">
        <v>74.376348749138216</v>
      </c>
      <c r="J23" s="6">
        <v>0</v>
      </c>
      <c r="K23" s="6">
        <v>271.02278428577415</v>
      </c>
    </row>
    <row r="24" spans="1:11">
      <c r="A24" s="6" t="s">
        <v>178</v>
      </c>
      <c r="B24" s="4" t="s">
        <v>311</v>
      </c>
      <c r="C24" s="4" t="s">
        <v>320</v>
      </c>
      <c r="D24" s="6">
        <v>349.21491895003936</v>
      </c>
      <c r="E24" s="6">
        <v>26.145275974869946</v>
      </c>
      <c r="F24" s="6">
        <v>16.630769151597423</v>
      </c>
      <c r="G24" s="6">
        <v>16.235514226150151</v>
      </c>
      <c r="H24" s="6">
        <v>4.162213325910626</v>
      </c>
      <c r="I24" s="6">
        <v>27.503122965902978</v>
      </c>
      <c r="J24" s="6">
        <v>0</v>
      </c>
      <c r="K24" s="6">
        <v>100.21966778598299</v>
      </c>
    </row>
    <row r="25" spans="1:11">
      <c r="A25" s="6" t="s">
        <v>180</v>
      </c>
      <c r="B25" s="4" t="s">
        <v>311</v>
      </c>
      <c r="C25" s="4" t="s">
        <v>320</v>
      </c>
      <c r="D25" s="6">
        <v>818.37345634689098</v>
      </c>
      <c r="E25" s="6">
        <v>61.270577817893184</v>
      </c>
      <c r="F25" s="6">
        <v>38.973650018220397</v>
      </c>
      <c r="G25" s="6">
        <v>38.04738334997792</v>
      </c>
      <c r="H25" s="6">
        <v>9.7540074055824757</v>
      </c>
      <c r="I25" s="6">
        <v>64.452646724293217</v>
      </c>
      <c r="J25" s="6">
        <v>0</v>
      </c>
      <c r="K25" s="6">
        <v>234.86143194153141</v>
      </c>
    </row>
    <row r="26" spans="1:11">
      <c r="A26" s="6" t="s">
        <v>183</v>
      </c>
      <c r="B26" s="4" t="s">
        <v>311</v>
      </c>
      <c r="C26" s="4" t="s">
        <v>320</v>
      </c>
      <c r="D26" s="6">
        <v>240.75327503067197</v>
      </c>
      <c r="E26" s="6">
        <v>11.168690301996969</v>
      </c>
      <c r="F26" s="6">
        <v>38.395148320234092</v>
      </c>
      <c r="G26" s="6">
        <v>215.40063606035218</v>
      </c>
      <c r="H26" s="6">
        <v>26.652863059783218</v>
      </c>
      <c r="I26" s="6">
        <v>31.293781892651577</v>
      </c>
      <c r="J26" s="6">
        <v>0</v>
      </c>
      <c r="K26" s="6">
        <v>139.35838690707828</v>
      </c>
    </row>
    <row r="27" spans="1:11">
      <c r="A27" s="6" t="s">
        <v>185</v>
      </c>
      <c r="B27" s="4" t="s">
        <v>311</v>
      </c>
      <c r="C27" s="4" t="s">
        <v>320</v>
      </c>
      <c r="D27" s="6">
        <v>378.11295191152561</v>
      </c>
      <c r="E27" s="6">
        <v>17.540888939249896</v>
      </c>
      <c r="F27" s="6">
        <v>60.301164620065961</v>
      </c>
      <c r="G27" s="6">
        <v>338.29558635920438</v>
      </c>
      <c r="H27" s="6">
        <v>41.8594211320464</v>
      </c>
      <c r="I27" s="6">
        <v>49.148175643294842</v>
      </c>
      <c r="J27" s="6">
        <v>0</v>
      </c>
      <c r="K27" s="6">
        <v>218.86809656213714</v>
      </c>
    </row>
    <row r="28" spans="1:11">
      <c r="A28" s="6" t="s">
        <v>182</v>
      </c>
      <c r="B28" s="4" t="s">
        <v>311</v>
      </c>
      <c r="C28" s="4" t="s">
        <v>320</v>
      </c>
      <c r="D28" s="6">
        <v>127.65661992530642</v>
      </c>
      <c r="E28" s="6">
        <v>5.9220679459660159</v>
      </c>
      <c r="F28" s="6">
        <v>20.358580191556907</v>
      </c>
      <c r="G28" s="6">
        <v>114.21367840467579</v>
      </c>
      <c r="H28" s="6">
        <v>14.13237019978448</v>
      </c>
      <c r="I28" s="6">
        <v>16.59316335608192</v>
      </c>
      <c r="J28" s="6">
        <v>0</v>
      </c>
      <c r="K28" s="6">
        <v>73.893161488807337</v>
      </c>
    </row>
    <row r="29" spans="1:11">
      <c r="A29" s="6" t="s">
        <v>184</v>
      </c>
      <c r="B29" s="4" t="s">
        <v>311</v>
      </c>
      <c r="C29" s="4" t="s">
        <v>320</v>
      </c>
      <c r="D29" s="6">
        <v>300.11515923329819</v>
      </c>
      <c r="E29" s="6">
        <v>13.922524077747987</v>
      </c>
      <c r="F29" s="6">
        <v>47.862136249008991</v>
      </c>
      <c r="G29" s="6">
        <v>268.51138860715616</v>
      </c>
      <c r="H29" s="6">
        <v>33.224587454484542</v>
      </c>
      <c r="I29" s="6">
        <v>39.009805098305407</v>
      </c>
      <c r="J29" s="6">
        <v>0</v>
      </c>
      <c r="K29" s="6">
        <v>173.7196076430738</v>
      </c>
    </row>
    <row r="30" spans="1:11">
      <c r="A30" s="4" t="s">
        <v>187</v>
      </c>
      <c r="B30" s="4" t="s">
        <v>311</v>
      </c>
      <c r="C30" s="4" t="s">
        <v>320</v>
      </c>
      <c r="D30" s="5">
        <v>244.17124521744279</v>
      </c>
      <c r="E30" s="6">
        <v>11.327252009922391</v>
      </c>
      <c r="F30" s="6">
        <v>38.940243593635813</v>
      </c>
      <c r="G30" s="6">
        <v>218.45867525907943</v>
      </c>
      <c r="H30" s="6">
        <v>27.031253307304539</v>
      </c>
      <c r="I30" s="6">
        <v>31.738059186602261</v>
      </c>
      <c r="J30" s="6">
        <v>0</v>
      </c>
      <c r="K30" s="6">
        <v>141.33685557656651</v>
      </c>
    </row>
    <row r="31" spans="1:11">
      <c r="A31" s="4" t="s">
        <v>189</v>
      </c>
      <c r="B31" s="4" t="s">
        <v>311</v>
      </c>
      <c r="C31" s="4" t="s">
        <v>320</v>
      </c>
      <c r="D31" s="5">
        <v>384.09439973837459</v>
      </c>
      <c r="E31" s="6">
        <v>17.818371928119387</v>
      </c>
      <c r="F31" s="6">
        <v>61.255081348518978</v>
      </c>
      <c r="G31" s="6">
        <v>343.64715495697709</v>
      </c>
      <c r="H31" s="6">
        <v>42.521604065208713</v>
      </c>
      <c r="I31" s="6">
        <v>49.925660907708547</v>
      </c>
      <c r="J31" s="6">
        <v>0</v>
      </c>
      <c r="K31" s="6">
        <v>222.33041673374154</v>
      </c>
    </row>
    <row r="32" spans="1:11">
      <c r="A32" s="4" t="s">
        <v>186</v>
      </c>
      <c r="B32" s="4" t="s">
        <v>311</v>
      </c>
      <c r="C32" s="4" t="s">
        <v>320</v>
      </c>
      <c r="D32" s="5">
        <v>129.80533916655028</v>
      </c>
      <c r="E32" s="6">
        <v>6.0217483334844708</v>
      </c>
      <c r="F32" s="6">
        <v>20.701256294117041</v>
      </c>
      <c r="G32" s="6">
        <v>116.13612573678407</v>
      </c>
      <c r="H32" s="6">
        <v>14.370246588728714</v>
      </c>
      <c r="I32" s="6">
        <v>16.872459873545544</v>
      </c>
      <c r="J32" s="6">
        <v>0</v>
      </c>
      <c r="K32" s="6">
        <v>75.136932928002892</v>
      </c>
    </row>
    <row r="33" spans="1:11">
      <c r="A33" s="4" t="s">
        <v>188</v>
      </c>
      <c r="B33" s="4" t="s">
        <v>311</v>
      </c>
      <c r="C33" s="4" t="s">
        <v>320</v>
      </c>
      <c r="D33" s="5">
        <v>304.00789081958976</v>
      </c>
      <c r="E33" s="6">
        <v>14.103110254656913</v>
      </c>
      <c r="F33" s="6">
        <v>48.482946107597556</v>
      </c>
      <c r="G33" s="6">
        <v>271.99419422877276</v>
      </c>
      <c r="H33" s="6">
        <v>33.655536698621326</v>
      </c>
      <c r="I33" s="6">
        <v>39.5157932025691</v>
      </c>
      <c r="J33" s="6">
        <v>0</v>
      </c>
      <c r="K33" s="6">
        <v>175.97288870211119</v>
      </c>
    </row>
    <row r="34" spans="1:11">
      <c r="A34" s="4" t="s">
        <v>191</v>
      </c>
      <c r="B34" s="4" t="s">
        <v>311</v>
      </c>
      <c r="C34" s="4" t="s">
        <v>320</v>
      </c>
      <c r="D34" s="5">
        <v>270.24549809265579</v>
      </c>
      <c r="E34" s="6">
        <v>9.0569154334650239</v>
      </c>
      <c r="F34" s="6">
        <v>41.460046731549355</v>
      </c>
      <c r="G34" s="6">
        <v>208.13160661645145</v>
      </c>
      <c r="H34" s="6">
        <v>27.20666928977413</v>
      </c>
      <c r="I34" s="6">
        <v>50.105806369174111</v>
      </c>
      <c r="J34" s="6">
        <v>0</v>
      </c>
      <c r="K34" s="6">
        <v>132.56508960800215</v>
      </c>
    </row>
    <row r="35" spans="1:11">
      <c r="A35" s="4" t="s">
        <v>193</v>
      </c>
      <c r="B35" s="4" t="s">
        <v>311</v>
      </c>
      <c r="C35" s="4" t="s">
        <v>320</v>
      </c>
      <c r="D35" s="5">
        <v>425.67636811236127</v>
      </c>
      <c r="E35" s="6">
        <v>14.265972588732481</v>
      </c>
      <c r="F35" s="6">
        <v>65.305665548603343</v>
      </c>
      <c r="G35" s="6">
        <v>327.83786231105199</v>
      </c>
      <c r="H35" s="6">
        <v>42.854501752826422</v>
      </c>
      <c r="I35" s="6">
        <v>78.924007345567276</v>
      </c>
      <c r="J35" s="6">
        <v>0</v>
      </c>
      <c r="K35" s="6">
        <v>208.8094946302368</v>
      </c>
    </row>
    <row r="36" spans="1:11">
      <c r="A36" s="4" t="s">
        <v>190</v>
      </c>
      <c r="B36" s="4" t="s">
        <v>311</v>
      </c>
      <c r="C36" s="4" t="s">
        <v>320</v>
      </c>
      <c r="D36" s="5">
        <v>144.12427643694232</v>
      </c>
      <c r="E36" s="6">
        <v>4.8301318349850275</v>
      </c>
      <c r="F36" s="6">
        <v>22.111003803577344</v>
      </c>
      <c r="G36" s="6">
        <v>110.99839745330276</v>
      </c>
      <c r="H36" s="6">
        <v>14.509553547876241</v>
      </c>
      <c r="I36" s="6">
        <v>26.72186267380787</v>
      </c>
      <c r="J36" s="6">
        <v>0</v>
      </c>
      <c r="K36" s="6">
        <v>70.698116177317928</v>
      </c>
    </row>
    <row r="37" spans="1:11">
      <c r="A37" s="4" t="s">
        <v>192</v>
      </c>
      <c r="B37" s="4" t="s">
        <v>311</v>
      </c>
      <c r="C37" s="4" t="s">
        <v>320</v>
      </c>
      <c r="D37" s="5">
        <v>329.89630188133083</v>
      </c>
      <c r="E37" s="6">
        <v>11.05603212279102</v>
      </c>
      <c r="F37" s="6">
        <v>50.611448438914778</v>
      </c>
      <c r="G37" s="6">
        <v>254.07212261440156</v>
      </c>
      <c r="H37" s="6">
        <v>33.211948574727337</v>
      </c>
      <c r="I37" s="6">
        <v>61.165571084944503</v>
      </c>
      <c r="J37" s="6">
        <v>0</v>
      </c>
      <c r="K37" s="6">
        <v>161.82594392470895</v>
      </c>
    </row>
    <row r="38" spans="1:11">
      <c r="A38" s="4" t="s">
        <v>195</v>
      </c>
      <c r="B38" s="4" t="s">
        <v>311</v>
      </c>
      <c r="C38" s="4" t="s">
        <v>320</v>
      </c>
      <c r="D38" s="5">
        <v>256.16696552462736</v>
      </c>
      <c r="E38" s="6">
        <v>8.1801591626449603</v>
      </c>
      <c r="F38" s="6">
        <v>36.746812822086369</v>
      </c>
      <c r="G38" s="6">
        <v>200.81678336882325</v>
      </c>
      <c r="H38" s="6">
        <v>27.135285277657186</v>
      </c>
      <c r="I38" s="6">
        <v>61.656070146990551</v>
      </c>
      <c r="J38" s="6">
        <v>0</v>
      </c>
      <c r="K38" s="6">
        <v>120.66665177637951</v>
      </c>
    </row>
    <row r="39" spans="1:11">
      <c r="A39" s="4" t="s">
        <v>197</v>
      </c>
      <c r="B39" s="4" t="s">
        <v>311</v>
      </c>
      <c r="C39" s="4" t="s">
        <v>320</v>
      </c>
      <c r="D39" s="5">
        <v>392.33545218223657</v>
      </c>
      <c r="E39" s="6">
        <v>12.528416524848261</v>
      </c>
      <c r="F39" s="6">
        <v>56.280002362065829</v>
      </c>
      <c r="G39" s="6">
        <v>307.56324628912796</v>
      </c>
      <c r="H39" s="6">
        <v>41.559357186046384</v>
      </c>
      <c r="I39" s="6">
        <v>94.430060922799484</v>
      </c>
      <c r="J39" s="6">
        <v>0</v>
      </c>
      <c r="K39" s="6">
        <v>184.80839358442176</v>
      </c>
    </row>
    <row r="40" spans="1:11">
      <c r="A40" s="4" t="s">
        <v>194</v>
      </c>
      <c r="B40" s="4" t="s">
        <v>311</v>
      </c>
      <c r="C40" s="4" t="s">
        <v>320</v>
      </c>
      <c r="D40" s="5">
        <v>136.45275914969753</v>
      </c>
      <c r="E40" s="6">
        <v>4.3573350128913271</v>
      </c>
      <c r="F40" s="6">
        <v>19.573968053461261</v>
      </c>
      <c r="G40" s="6">
        <v>106.96931244871483</v>
      </c>
      <c r="H40" s="6">
        <v>14.454184359280788</v>
      </c>
      <c r="I40" s="6">
        <v>32.842411482113356</v>
      </c>
      <c r="J40" s="6">
        <v>0</v>
      </c>
      <c r="K40" s="6">
        <v>64.275647480626446</v>
      </c>
    </row>
    <row r="41" spans="1:11">
      <c r="A41" s="4" t="s">
        <v>196</v>
      </c>
      <c r="B41" s="4" t="s">
        <v>311</v>
      </c>
      <c r="C41" s="4" t="s">
        <v>320</v>
      </c>
      <c r="D41" s="5">
        <v>308.21999836191435</v>
      </c>
      <c r="E41" s="6">
        <v>9.8423644850031877</v>
      </c>
      <c r="F41" s="6">
        <v>44.213751623412058</v>
      </c>
      <c r="G41" s="6">
        <v>241.62267962311901</v>
      </c>
      <c r="H41" s="6">
        <v>32.649165229798193</v>
      </c>
      <c r="I41" s="6">
        <v>74.184560842137671</v>
      </c>
      <c r="J41" s="6">
        <v>0</v>
      </c>
      <c r="K41" s="6">
        <v>145.18607087640981</v>
      </c>
    </row>
    <row r="42" spans="1:11">
      <c r="A42" s="4" t="s">
        <v>199</v>
      </c>
      <c r="B42" s="4" t="s">
        <v>311</v>
      </c>
      <c r="C42" s="4" t="s">
        <v>320</v>
      </c>
      <c r="D42" s="5">
        <v>182.73595307676916</v>
      </c>
      <c r="E42" s="6">
        <v>0</v>
      </c>
      <c r="F42" s="6">
        <v>34.893081072625222</v>
      </c>
      <c r="G42" s="6">
        <v>290.29987203152535</v>
      </c>
      <c r="H42" s="6">
        <v>33.305790151975543</v>
      </c>
      <c r="I42" s="6">
        <v>101.30778047544456</v>
      </c>
      <c r="J42" s="6">
        <v>0</v>
      </c>
      <c r="K42" s="6">
        <v>171.63166855251129</v>
      </c>
    </row>
    <row r="43" spans="1:11">
      <c r="A43" s="4" t="s">
        <v>201</v>
      </c>
      <c r="B43" s="4" t="s">
        <v>311</v>
      </c>
      <c r="C43" s="4" t="s">
        <v>320</v>
      </c>
      <c r="D43" s="5">
        <v>278.55160580269677</v>
      </c>
      <c r="E43" s="6">
        <v>0</v>
      </c>
      <c r="F43" s="6">
        <v>53.188896878438442</v>
      </c>
      <c r="G43" s="6">
        <v>442.51552120521802</v>
      </c>
      <c r="H43" s="6">
        <v>50.76932685196828</v>
      </c>
      <c r="I43" s="6">
        <v>154.42743727550379</v>
      </c>
      <c r="J43" s="6">
        <v>0</v>
      </c>
      <c r="K43" s="6">
        <v>261.62490783526061</v>
      </c>
    </row>
    <row r="44" spans="1:11">
      <c r="A44" s="4" t="s">
        <v>198</v>
      </c>
      <c r="B44" s="4" t="s">
        <v>311</v>
      </c>
      <c r="C44" s="4" t="s">
        <v>320</v>
      </c>
      <c r="D44" s="5">
        <v>102.46367388307539</v>
      </c>
      <c r="E44" s="6">
        <v>0</v>
      </c>
      <c r="F44" s="6">
        <v>19.565242742894572</v>
      </c>
      <c r="G44" s="6">
        <v>162.77689702168507</v>
      </c>
      <c r="H44" s="6">
        <v>18.675217236076609</v>
      </c>
      <c r="I44" s="6">
        <v>56.805282188192322</v>
      </c>
      <c r="J44" s="6">
        <v>0</v>
      </c>
      <c r="K44" s="6">
        <v>96.23728127099622</v>
      </c>
    </row>
    <row r="45" spans="1:11">
      <c r="A45" s="4" t="s">
        <v>200</v>
      </c>
      <c r="B45" s="4" t="s">
        <v>311</v>
      </c>
      <c r="C45" s="4" t="s">
        <v>320</v>
      </c>
      <c r="D45" s="5">
        <v>215.57413474998822</v>
      </c>
      <c r="E45" s="6">
        <v>0</v>
      </c>
      <c r="F45" s="6">
        <v>41.163469116733083</v>
      </c>
      <c r="G45" s="6">
        <v>342.46760244787424</v>
      </c>
      <c r="H45" s="6">
        <v>39.290937406064117</v>
      </c>
      <c r="I45" s="6">
        <v>119.51308295779535</v>
      </c>
      <c r="J45" s="6">
        <v>0</v>
      </c>
      <c r="K45" s="6">
        <v>202.47437803528786</v>
      </c>
    </row>
    <row r="46" spans="1:11">
      <c r="A46" s="4" t="s">
        <v>203</v>
      </c>
      <c r="B46" s="4" t="s">
        <v>311</v>
      </c>
      <c r="C46" s="4" t="s">
        <v>320</v>
      </c>
      <c r="D46" s="5">
        <v>166.1086239340479</v>
      </c>
      <c r="E46" s="6">
        <v>18.269604846291394</v>
      </c>
      <c r="F46" s="6">
        <v>34.61010604694426</v>
      </c>
      <c r="G46" s="6">
        <v>274.43674460057633</v>
      </c>
      <c r="H46" s="6">
        <v>27.490179836310158</v>
      </c>
      <c r="I46" s="6">
        <v>48.826799560278708</v>
      </c>
      <c r="J46" s="6">
        <v>0</v>
      </c>
      <c r="K46" s="6">
        <v>146.19367485711308</v>
      </c>
    </row>
    <row r="47" spans="1:11">
      <c r="A47" s="4" t="s">
        <v>205</v>
      </c>
      <c r="B47" s="4" t="s">
        <v>311</v>
      </c>
      <c r="C47" s="4" t="s">
        <v>320</v>
      </c>
      <c r="D47" s="5">
        <v>257.89067715862353</v>
      </c>
      <c r="E47" s="6">
        <v>28.364335659665958</v>
      </c>
      <c r="F47" s="6">
        <v>53.733656167798202</v>
      </c>
      <c r="G47" s="6">
        <v>426.07467466801342</v>
      </c>
      <c r="H47" s="6">
        <v>42.679669034000177</v>
      </c>
      <c r="I47" s="6">
        <v>75.805675249517449</v>
      </c>
      <c r="J47" s="6">
        <v>0</v>
      </c>
      <c r="K47" s="6">
        <v>226.97187486290775</v>
      </c>
    </row>
    <row r="48" spans="1:11">
      <c r="A48" s="4" t="s">
        <v>202</v>
      </c>
      <c r="B48" s="4" t="s">
        <v>311</v>
      </c>
      <c r="C48" s="4" t="s">
        <v>320</v>
      </c>
      <c r="D48" s="5">
        <v>87.650530563898869</v>
      </c>
      <c r="E48" s="6">
        <v>9.6403216163299152</v>
      </c>
      <c r="F48" s="6">
        <v>18.262713193578278</v>
      </c>
      <c r="G48" s="6">
        <v>144.8120254130838</v>
      </c>
      <c r="H48" s="6">
        <v>14.505742031228095</v>
      </c>
      <c r="I48" s="6">
        <v>25.764435258308993</v>
      </c>
      <c r="J48" s="6">
        <v>0</v>
      </c>
      <c r="K48" s="6">
        <v>77.142010226993165</v>
      </c>
    </row>
    <row r="49" spans="1:11">
      <c r="A49" s="4" t="s">
        <v>204</v>
      </c>
      <c r="B49" s="4" t="s">
        <v>311</v>
      </c>
      <c r="C49" s="4" t="s">
        <v>320</v>
      </c>
      <c r="D49" s="5">
        <v>205.89191681802956</v>
      </c>
      <c r="E49" s="6">
        <v>22.645205722758838</v>
      </c>
      <c r="F49" s="6">
        <v>42.899284254560598</v>
      </c>
      <c r="G49" s="6">
        <v>340.16480332500538</v>
      </c>
      <c r="H49" s="6">
        <v>34.074123824043625</v>
      </c>
      <c r="I49" s="6">
        <v>60.520899610528261</v>
      </c>
      <c r="J49" s="6">
        <v>0</v>
      </c>
      <c r="K49" s="6">
        <v>181.20730417316435</v>
      </c>
    </row>
    <row r="50" spans="1:11">
      <c r="A50" s="12"/>
      <c r="B50" s="12"/>
      <c r="C50" s="12"/>
      <c r="D50" s="7"/>
    </row>
    <row r="51" spans="1:11">
      <c r="A51" s="12"/>
      <c r="B51" s="12"/>
      <c r="C51" s="12"/>
      <c r="D51" s="7"/>
    </row>
    <row r="52" spans="1:11">
      <c r="A52" s="12"/>
      <c r="B52" s="12"/>
      <c r="C52" s="12"/>
      <c r="D52" s="7"/>
    </row>
    <row r="53" spans="1:11">
      <c r="A53" s="12"/>
      <c r="B53" s="12"/>
      <c r="C53" s="12"/>
      <c r="D53" s="7"/>
    </row>
    <row r="54" spans="1:11">
      <c r="A54" s="12"/>
      <c r="B54" s="12"/>
      <c r="C54" s="12"/>
      <c r="D54" s="7"/>
    </row>
    <row r="55" spans="1:11">
      <c r="A55" s="12"/>
      <c r="B55" s="12"/>
      <c r="C55" s="12"/>
      <c r="D55" s="7"/>
    </row>
    <row r="56" spans="1:11">
      <c r="A56" s="12"/>
      <c r="B56" s="12"/>
      <c r="C56" s="12"/>
      <c r="D56" s="7"/>
    </row>
    <row r="57" spans="1:11">
      <c r="A57" s="12"/>
      <c r="B57" s="12"/>
      <c r="C57" s="12"/>
      <c r="D57" s="7"/>
    </row>
    <row r="58" spans="1:11">
      <c r="A58" s="12"/>
      <c r="B58" s="12"/>
      <c r="C58" s="12"/>
      <c r="D58" s="7"/>
    </row>
    <row r="59" spans="1:11">
      <c r="A59" s="12"/>
      <c r="B59" s="12"/>
      <c r="C59" s="12"/>
      <c r="D59" s="7"/>
    </row>
    <row r="60" spans="1:11">
      <c r="A60" s="12"/>
      <c r="B60" s="12"/>
      <c r="C60" s="12"/>
      <c r="D60" s="7"/>
    </row>
    <row r="61" spans="1:11">
      <c r="A61" s="12"/>
      <c r="B61" s="12"/>
      <c r="C61" s="12"/>
      <c r="D61" s="7"/>
    </row>
    <row r="62" spans="1:11">
      <c r="A62" s="12"/>
      <c r="B62" s="12"/>
      <c r="C62" s="12"/>
      <c r="D62" s="7"/>
    </row>
    <row r="63" spans="1:11">
      <c r="A63" s="12"/>
      <c r="B63" s="12"/>
      <c r="C63" s="12"/>
      <c r="D63" s="7"/>
    </row>
    <row r="64" spans="1:11">
      <c r="A64" s="12"/>
      <c r="B64" s="12"/>
      <c r="C64" s="12"/>
      <c r="D64" s="7"/>
    </row>
    <row r="65" spans="1:4">
      <c r="A65" s="12"/>
      <c r="B65" s="12"/>
      <c r="C65" s="12"/>
      <c r="D65" s="7"/>
    </row>
    <row r="66" spans="1:4">
      <c r="A66" s="12"/>
      <c r="B66" s="12"/>
      <c r="C66" s="12"/>
      <c r="D66" s="7"/>
    </row>
    <row r="67" spans="1:4">
      <c r="A67" s="12"/>
      <c r="B67" s="12"/>
      <c r="C67" s="12"/>
      <c r="D67" s="7"/>
    </row>
    <row r="68" spans="1:4">
      <c r="A68" s="12"/>
      <c r="B68" s="12"/>
      <c r="C68" s="12"/>
      <c r="D68" s="7"/>
    </row>
    <row r="69" spans="1:4">
      <c r="A69" s="12"/>
      <c r="B69" s="12"/>
      <c r="C69" s="12"/>
      <c r="D69" s="7"/>
    </row>
    <row r="70" spans="1:4">
      <c r="A70" s="12"/>
      <c r="B70" s="12"/>
      <c r="C70" s="12"/>
      <c r="D70" s="7"/>
    </row>
    <row r="71" spans="1:4">
      <c r="A71" s="12"/>
      <c r="B71" s="12"/>
      <c r="C71" s="12"/>
      <c r="D71" s="7"/>
    </row>
    <row r="72" spans="1:4">
      <c r="A72" s="12"/>
      <c r="B72" s="12"/>
      <c r="C72" s="12"/>
      <c r="D72" s="7"/>
    </row>
    <row r="73" spans="1:4">
      <c r="A73" s="12"/>
      <c r="B73" s="12"/>
      <c r="C73" s="12"/>
      <c r="D73" s="7"/>
    </row>
    <row r="74" spans="1:4">
      <c r="A74" s="12"/>
      <c r="B74" s="12"/>
      <c r="C74" s="12"/>
      <c r="D74" s="7"/>
    </row>
    <row r="75" spans="1:4">
      <c r="A75" s="12"/>
      <c r="B75" s="12"/>
      <c r="C75" s="12"/>
      <c r="D75" s="7"/>
    </row>
    <row r="76" spans="1:4">
      <c r="A76" s="12"/>
      <c r="B76" s="12"/>
      <c r="C76" s="12"/>
      <c r="D76" s="7"/>
    </row>
    <row r="77" spans="1:4">
      <c r="A77" s="12"/>
      <c r="B77" s="12"/>
      <c r="C77" s="12"/>
      <c r="D77" s="7"/>
    </row>
    <row r="78" spans="1:4">
      <c r="A78" s="12"/>
      <c r="B78" s="12"/>
      <c r="C78" s="12"/>
      <c r="D78" s="7"/>
    </row>
    <row r="79" spans="1:4">
      <c r="A79" s="12"/>
      <c r="B79" s="12"/>
      <c r="C79" s="12"/>
      <c r="D79" s="7"/>
    </row>
    <row r="80" spans="1:4">
      <c r="A80" s="12"/>
      <c r="B80" s="12"/>
      <c r="C80" s="12"/>
      <c r="D80" s="7"/>
    </row>
    <row r="81" spans="1:4">
      <c r="A81" s="12"/>
      <c r="B81" s="12"/>
      <c r="C81" s="12"/>
      <c r="D81" s="7"/>
    </row>
    <row r="82" spans="1:4">
      <c r="A82" s="12"/>
      <c r="B82" s="12"/>
      <c r="C82" s="12"/>
      <c r="D82" s="7"/>
    </row>
    <row r="83" spans="1:4">
      <c r="A83" s="12"/>
      <c r="B83" s="12"/>
      <c r="C83" s="12"/>
      <c r="D83" s="7"/>
    </row>
    <row r="84" spans="1:4">
      <c r="A84" s="12"/>
      <c r="B84" s="12"/>
      <c r="C84" s="12"/>
      <c r="D84" s="7"/>
    </row>
    <row r="85" spans="1:4">
      <c r="A85" s="12"/>
      <c r="B85" s="12"/>
      <c r="C85" s="12"/>
      <c r="D85" s="7"/>
    </row>
    <row r="86" spans="1:4">
      <c r="A86" s="12"/>
      <c r="B86" s="12"/>
      <c r="C86" s="12"/>
      <c r="D86" s="7"/>
    </row>
    <row r="87" spans="1:4">
      <c r="A87" s="12"/>
      <c r="B87" s="12"/>
      <c r="C87" s="12"/>
      <c r="D87" s="7"/>
    </row>
    <row r="88" spans="1:4">
      <c r="A88" s="12"/>
      <c r="B88" s="12"/>
      <c r="C88" s="12"/>
      <c r="D88" s="7"/>
    </row>
    <row r="89" spans="1:4">
      <c r="A89" s="12"/>
      <c r="B89" s="12"/>
      <c r="C89" s="12"/>
      <c r="D89" s="7"/>
    </row>
    <row r="90" spans="1:4">
      <c r="A90" s="12"/>
      <c r="B90" s="12"/>
      <c r="C90" s="12"/>
      <c r="D90" s="7"/>
    </row>
    <row r="91" spans="1:4">
      <c r="A91" s="12"/>
      <c r="B91" s="12"/>
      <c r="C91" s="12"/>
      <c r="D91" s="7"/>
    </row>
    <row r="92" spans="1:4">
      <c r="A92" s="12"/>
      <c r="B92" s="12"/>
      <c r="C92" s="12"/>
      <c r="D92" s="7"/>
    </row>
    <row r="93" spans="1:4">
      <c r="A93" s="12"/>
      <c r="B93" s="12"/>
      <c r="C93" s="12"/>
      <c r="D93" s="7"/>
    </row>
    <row r="94" spans="1:4">
      <c r="A94" s="12"/>
      <c r="B94" s="12"/>
      <c r="C94" s="12"/>
      <c r="D94" s="7"/>
    </row>
    <row r="95" spans="1:4">
      <c r="A95" s="12"/>
      <c r="B95" s="12"/>
      <c r="C95" s="12"/>
      <c r="D95" s="7"/>
    </row>
    <row r="96" spans="1:4">
      <c r="A96" s="12"/>
      <c r="B96" s="12"/>
      <c r="C96" s="12"/>
      <c r="D96" s="7"/>
    </row>
    <row r="97" spans="1:4">
      <c r="A97" s="12"/>
      <c r="B97" s="12"/>
      <c r="C97" s="12"/>
      <c r="D97" s="7"/>
    </row>
    <row r="98" spans="1:4">
      <c r="A98" s="12"/>
      <c r="B98" s="12"/>
      <c r="C98" s="12"/>
      <c r="D98" s="7"/>
    </row>
    <row r="99" spans="1:4">
      <c r="A99" s="12"/>
      <c r="B99" s="12"/>
      <c r="C99" s="12"/>
      <c r="D99" s="7"/>
    </row>
    <row r="100" spans="1:4">
      <c r="A100" s="12"/>
      <c r="B100" s="12"/>
      <c r="C100" s="12"/>
      <c r="D100" s="7"/>
    </row>
    <row r="101" spans="1:4">
      <c r="A101" s="12"/>
      <c r="B101" s="12"/>
      <c r="C101" s="12"/>
      <c r="D101" s="7"/>
    </row>
    <row r="102" spans="1:4">
      <c r="A102" s="12"/>
      <c r="B102" s="12"/>
      <c r="C102" s="12"/>
      <c r="D102" s="7"/>
    </row>
    <row r="103" spans="1:4">
      <c r="A103" s="12"/>
      <c r="B103" s="12"/>
      <c r="C103" s="12"/>
      <c r="D103" s="7"/>
    </row>
    <row r="104" spans="1:4">
      <c r="A104" s="12"/>
      <c r="B104" s="12"/>
      <c r="C104" s="12"/>
      <c r="D104" s="7"/>
    </row>
    <row r="105" spans="1:4">
      <c r="A105" s="12"/>
      <c r="B105" s="12"/>
      <c r="C105" s="12"/>
      <c r="D105" s="7"/>
    </row>
    <row r="106" spans="1:4">
      <c r="A106" s="12"/>
      <c r="B106" s="12"/>
      <c r="C106" s="12"/>
      <c r="D106" s="7"/>
    </row>
    <row r="107" spans="1:4">
      <c r="A107" s="12"/>
      <c r="B107" s="12"/>
      <c r="C107" s="12"/>
      <c r="D107" s="7"/>
    </row>
    <row r="108" spans="1:4">
      <c r="A108" s="12"/>
      <c r="B108" s="12"/>
      <c r="C108" s="12"/>
      <c r="D108" s="7"/>
    </row>
    <row r="109" spans="1:4">
      <c r="A109" s="12"/>
      <c r="B109" s="12"/>
      <c r="C109" s="12"/>
      <c r="D109" s="7"/>
    </row>
    <row r="110" spans="1:4">
      <c r="A110" s="12"/>
      <c r="B110" s="12"/>
      <c r="C110" s="12"/>
      <c r="D110" s="7"/>
    </row>
    <row r="111" spans="1:4">
      <c r="A111" s="12"/>
      <c r="B111" s="12"/>
      <c r="C111" s="12"/>
      <c r="D111" s="7"/>
    </row>
    <row r="112" spans="1:4">
      <c r="A112" s="12"/>
      <c r="B112" s="12"/>
      <c r="C112" s="12"/>
      <c r="D112" s="7"/>
    </row>
    <row r="113" spans="1:4">
      <c r="A113" s="12"/>
      <c r="B113" s="12"/>
      <c r="C113" s="12"/>
      <c r="D113" s="7"/>
    </row>
    <row r="114" spans="1:4">
      <c r="A114" s="12"/>
      <c r="B114" s="12"/>
      <c r="C114" s="12"/>
      <c r="D114" s="7"/>
    </row>
    <row r="115" spans="1:4">
      <c r="A115" s="12"/>
      <c r="B115" s="12"/>
      <c r="C115" s="12"/>
      <c r="D115" s="7"/>
    </row>
    <row r="116" spans="1:4">
      <c r="A116" s="12"/>
      <c r="B116" s="12"/>
      <c r="C116" s="12"/>
      <c r="D116" s="7"/>
    </row>
    <row r="117" spans="1:4">
      <c r="A117" s="12"/>
      <c r="B117" s="12"/>
      <c r="C117" s="12"/>
      <c r="D117" s="7"/>
    </row>
    <row r="118" spans="1:4">
      <c r="A118" s="12"/>
      <c r="B118" s="12"/>
      <c r="C118" s="12"/>
      <c r="D118" s="7"/>
    </row>
    <row r="119" spans="1:4">
      <c r="A119" s="12"/>
      <c r="B119" s="12"/>
      <c r="C119" s="12"/>
      <c r="D119" s="7"/>
    </row>
    <row r="120" spans="1:4">
      <c r="A120" s="12"/>
      <c r="B120" s="12"/>
      <c r="C120" s="12"/>
      <c r="D120" s="7"/>
    </row>
    <row r="121" spans="1:4">
      <c r="A121" s="12"/>
      <c r="B121" s="12"/>
      <c r="C121" s="12"/>
      <c r="D121" s="7"/>
    </row>
    <row r="122" spans="1:4">
      <c r="A122" s="12"/>
      <c r="B122" s="12"/>
      <c r="C122" s="12"/>
      <c r="D122" s="7"/>
    </row>
    <row r="123" spans="1:4">
      <c r="A123" s="12"/>
      <c r="B123" s="12"/>
      <c r="C123" s="12"/>
      <c r="D123" s="7"/>
    </row>
    <row r="124" spans="1:4">
      <c r="A124" s="12"/>
      <c r="B124" s="12"/>
      <c r="C124" s="12"/>
      <c r="D124" s="7"/>
    </row>
    <row r="125" spans="1:4">
      <c r="A125" s="12"/>
      <c r="B125" s="12"/>
      <c r="C125" s="12"/>
      <c r="D125" s="7"/>
    </row>
    <row r="126" spans="1:4">
      <c r="A126" s="12"/>
      <c r="B126" s="12"/>
      <c r="C126" s="12"/>
      <c r="D126" s="7"/>
    </row>
    <row r="127" spans="1:4">
      <c r="A127" s="12"/>
      <c r="B127" s="12"/>
      <c r="C127" s="12"/>
      <c r="D127" s="7"/>
    </row>
    <row r="128" spans="1:4">
      <c r="A128" s="12"/>
      <c r="B128" s="12"/>
      <c r="C128" s="12"/>
      <c r="D128" s="7"/>
    </row>
    <row r="129" spans="1:4">
      <c r="A129" s="12"/>
      <c r="B129" s="12"/>
      <c r="C129" s="12"/>
      <c r="D129" s="7"/>
    </row>
    <row r="130" spans="1:4">
      <c r="A130" s="12"/>
      <c r="B130" s="12"/>
      <c r="C130" s="12"/>
      <c r="D130" s="7"/>
    </row>
    <row r="131" spans="1:4">
      <c r="A131" s="12"/>
      <c r="B131" s="12"/>
      <c r="C131" s="12"/>
      <c r="D131" s="7"/>
    </row>
    <row r="132" spans="1:4">
      <c r="A132" s="12"/>
      <c r="B132" s="12"/>
      <c r="C132" s="12"/>
      <c r="D132" s="7"/>
    </row>
    <row r="133" spans="1:4">
      <c r="A133" s="12"/>
      <c r="B133" s="12"/>
      <c r="C133" s="12"/>
      <c r="D133" s="7"/>
    </row>
    <row r="134" spans="1:4">
      <c r="A134" s="12"/>
      <c r="B134" s="12"/>
      <c r="C134" s="12"/>
      <c r="D134" s="7"/>
    </row>
    <row r="135" spans="1:4">
      <c r="A135" s="12"/>
      <c r="B135" s="12"/>
      <c r="C135" s="12"/>
      <c r="D135" s="7"/>
    </row>
    <row r="136" spans="1:4">
      <c r="A136" s="12"/>
      <c r="B136" s="12"/>
      <c r="C136" s="12"/>
      <c r="D136" s="7"/>
    </row>
    <row r="137" spans="1:4">
      <c r="A137" s="12"/>
      <c r="B137" s="12"/>
      <c r="C137" s="12"/>
      <c r="D137" s="7"/>
    </row>
    <row r="138" spans="1:4">
      <c r="A138" s="12"/>
      <c r="B138" s="12"/>
      <c r="C138" s="12"/>
      <c r="D138" s="7"/>
    </row>
    <row r="139" spans="1:4">
      <c r="A139" s="12"/>
      <c r="B139" s="12"/>
      <c r="C139" s="12"/>
      <c r="D139" s="7"/>
    </row>
    <row r="140" spans="1:4">
      <c r="A140" s="12"/>
      <c r="B140" s="12"/>
      <c r="C140" s="12"/>
      <c r="D140" s="7"/>
    </row>
    <row r="141" spans="1:4">
      <c r="A141" s="12"/>
      <c r="B141" s="12"/>
      <c r="C141" s="12"/>
      <c r="D141" s="7"/>
    </row>
    <row r="142" spans="1:4">
      <c r="A142" s="12"/>
      <c r="B142" s="12"/>
      <c r="C142" s="12"/>
      <c r="D142" s="7"/>
    </row>
    <row r="143" spans="1:4">
      <c r="A143" s="12"/>
      <c r="B143" s="12"/>
      <c r="C143" s="12"/>
      <c r="D143" s="7"/>
    </row>
    <row r="144" spans="1:4">
      <c r="A144" s="12"/>
      <c r="B144" s="12"/>
      <c r="C144" s="12"/>
      <c r="D144" s="7"/>
    </row>
    <row r="145" spans="1:4">
      <c r="A145" s="12"/>
      <c r="B145" s="12"/>
      <c r="C145" s="12"/>
      <c r="D145" s="7"/>
    </row>
    <row r="146" spans="1:4">
      <c r="A146" s="12"/>
      <c r="B146" s="12"/>
      <c r="C146" s="12"/>
      <c r="D146" s="7"/>
    </row>
    <row r="147" spans="1:4">
      <c r="A147" s="12"/>
      <c r="B147" s="12"/>
      <c r="C147" s="12"/>
      <c r="D147" s="7"/>
    </row>
    <row r="148" spans="1:4">
      <c r="A148" s="12"/>
      <c r="B148" s="12"/>
      <c r="C148" s="12"/>
      <c r="D148" s="7"/>
    </row>
    <row r="149" spans="1:4">
      <c r="A149" s="12"/>
      <c r="B149" s="12"/>
      <c r="C149" s="12"/>
      <c r="D149" s="7"/>
    </row>
    <row r="150" spans="1:4">
      <c r="A150" s="12"/>
      <c r="B150" s="12"/>
      <c r="C150" s="12"/>
      <c r="D150" s="7"/>
    </row>
    <row r="151" spans="1:4">
      <c r="A151" s="12"/>
      <c r="B151" s="12"/>
      <c r="C151" s="12"/>
      <c r="D151" s="7"/>
    </row>
    <row r="152" spans="1:4">
      <c r="A152" s="12"/>
      <c r="B152" s="12"/>
      <c r="C152" s="12"/>
      <c r="D152" s="7"/>
    </row>
    <row r="153" spans="1:4">
      <c r="A153" s="12"/>
      <c r="B153" s="12"/>
      <c r="C153" s="12"/>
      <c r="D153" s="7"/>
    </row>
    <row r="154" spans="1:4">
      <c r="A154" s="12"/>
      <c r="B154" s="12"/>
      <c r="C154" s="12"/>
      <c r="D154" s="7"/>
    </row>
    <row r="155" spans="1:4">
      <c r="A155" s="12"/>
      <c r="B155" s="12"/>
      <c r="C155" s="12"/>
      <c r="D155" s="7"/>
    </row>
    <row r="156" spans="1:4">
      <c r="A156" s="12"/>
      <c r="B156" s="12"/>
      <c r="C156" s="12"/>
      <c r="D156" s="7"/>
    </row>
    <row r="157" spans="1:4">
      <c r="A157" s="12"/>
      <c r="B157" s="12"/>
      <c r="C157" s="12"/>
      <c r="D157" s="7"/>
    </row>
    <row r="158" spans="1:4">
      <c r="A158" s="12"/>
      <c r="B158" s="12"/>
      <c r="C158" s="12"/>
      <c r="D158" s="7"/>
    </row>
    <row r="159" spans="1:4">
      <c r="A159" s="12"/>
      <c r="B159" s="12"/>
      <c r="C159" s="12"/>
      <c r="D159" s="7"/>
    </row>
    <row r="160" spans="1:4">
      <c r="A160" s="12"/>
      <c r="B160" s="12"/>
      <c r="C160" s="12"/>
      <c r="D160" s="7"/>
    </row>
    <row r="161" spans="1:4">
      <c r="A161" s="12"/>
      <c r="B161" s="12"/>
      <c r="C161" s="12"/>
      <c r="D161" s="7"/>
    </row>
    <row r="162" spans="1:4">
      <c r="A162" s="12"/>
      <c r="B162" s="12"/>
      <c r="C162" s="12"/>
      <c r="D162" s="7"/>
    </row>
    <row r="163" spans="1:4">
      <c r="A163" s="12"/>
      <c r="B163" s="12"/>
      <c r="C163" s="12"/>
      <c r="D163" s="7"/>
    </row>
    <row r="164" spans="1:4">
      <c r="A164" s="12"/>
      <c r="B164" s="12"/>
      <c r="C164" s="12"/>
      <c r="D164" s="7"/>
    </row>
    <row r="165" spans="1:4">
      <c r="A165" s="12"/>
      <c r="B165" s="12"/>
      <c r="C165" s="12"/>
      <c r="D165" s="7"/>
    </row>
    <row r="166" spans="1:4">
      <c r="A166" s="12"/>
      <c r="B166" s="12"/>
      <c r="C166" s="12"/>
      <c r="D166" s="7"/>
    </row>
    <row r="167" spans="1:4">
      <c r="A167" s="12"/>
      <c r="B167" s="12"/>
      <c r="C167" s="12"/>
      <c r="D167" s="7"/>
    </row>
    <row r="168" spans="1:4">
      <c r="A168" s="12"/>
      <c r="B168" s="12"/>
      <c r="C168" s="12"/>
      <c r="D168" s="7"/>
    </row>
    <row r="169" spans="1:4">
      <c r="A169" s="12"/>
      <c r="B169" s="12"/>
      <c r="C169" s="12"/>
      <c r="D169" s="7"/>
    </row>
    <row r="170" spans="1:4">
      <c r="A170" s="12"/>
      <c r="B170" s="12"/>
      <c r="C170" s="12"/>
      <c r="D170" s="7"/>
    </row>
    <row r="171" spans="1:4">
      <c r="A171" s="12"/>
      <c r="B171" s="12"/>
      <c r="C171" s="12"/>
      <c r="D171" s="7"/>
    </row>
    <row r="172" spans="1:4">
      <c r="A172" s="12"/>
      <c r="B172" s="12"/>
      <c r="C172" s="12"/>
      <c r="D172" s="7"/>
    </row>
    <row r="173" spans="1:4">
      <c r="A173" s="12"/>
      <c r="B173" s="12"/>
      <c r="C173" s="12"/>
      <c r="D173" s="7"/>
    </row>
    <row r="174" spans="1:4">
      <c r="A174" s="12"/>
      <c r="B174" s="12"/>
      <c r="C174" s="12"/>
      <c r="D174" s="7"/>
    </row>
    <row r="175" spans="1:4">
      <c r="A175" s="12"/>
      <c r="B175" s="12"/>
      <c r="C175" s="12"/>
      <c r="D175" s="7"/>
    </row>
    <row r="176" spans="1:4">
      <c r="A176" s="12"/>
      <c r="B176" s="12"/>
      <c r="C176" s="12"/>
      <c r="D176" s="7"/>
    </row>
    <row r="177" spans="1:14">
      <c r="A177" s="12"/>
      <c r="B177" s="12"/>
      <c r="C177" s="12"/>
      <c r="D177" s="7"/>
    </row>
    <row r="178" spans="1:14">
      <c r="A178" s="12"/>
      <c r="B178" s="12"/>
      <c r="C178" s="12"/>
      <c r="D178" s="7"/>
      <c r="E178" s="2"/>
      <c r="F178" s="13"/>
      <c r="G178" s="13"/>
      <c r="H178" s="13"/>
      <c r="I178" s="13"/>
      <c r="J178" s="13"/>
      <c r="K178" s="13"/>
      <c r="L178" s="13"/>
      <c r="M178" s="13"/>
      <c r="N178" s="13"/>
    </row>
    <row r="179" spans="1:14">
      <c r="A179" s="12"/>
      <c r="B179" s="12"/>
      <c r="C179" s="12"/>
      <c r="D179" s="7"/>
      <c r="E179" s="2"/>
      <c r="F179" s="13"/>
      <c r="G179" s="13"/>
      <c r="H179" s="13"/>
      <c r="I179" s="13"/>
      <c r="J179" s="13"/>
      <c r="K179" s="13"/>
      <c r="L179" s="13"/>
      <c r="M179" s="13"/>
      <c r="N179" s="13"/>
    </row>
    <row r="180" spans="1:14">
      <c r="A180" s="12"/>
      <c r="B180" s="12"/>
      <c r="C180" s="12"/>
      <c r="D180" s="7"/>
      <c r="E180" s="2"/>
      <c r="F180" s="13"/>
      <c r="G180" s="13"/>
      <c r="H180" s="13"/>
      <c r="I180" s="13"/>
      <c r="J180" s="13"/>
      <c r="K180" s="13"/>
      <c r="L180" s="13"/>
      <c r="M180" s="13"/>
      <c r="N180" s="13"/>
    </row>
    <row r="181" spans="1:14">
      <c r="A181" s="12"/>
      <c r="B181" s="12"/>
      <c r="C181" s="12"/>
      <c r="D181" s="7"/>
      <c r="E181" s="2"/>
      <c r="F181" s="13"/>
      <c r="G181" s="13"/>
      <c r="H181" s="13"/>
      <c r="I181" s="13"/>
      <c r="J181" s="13"/>
      <c r="K181" s="13"/>
      <c r="L181" s="13"/>
      <c r="M181" s="13"/>
      <c r="N181" s="13"/>
    </row>
    <row r="182" spans="1:14">
      <c r="A182" s="12"/>
      <c r="B182" s="12"/>
      <c r="C182" s="12"/>
      <c r="D182" s="7"/>
      <c r="E182" s="2"/>
      <c r="F182" s="13"/>
      <c r="G182" s="13"/>
      <c r="H182" s="13"/>
      <c r="I182" s="13"/>
      <c r="J182" s="13"/>
      <c r="K182" s="13"/>
      <c r="L182" s="13"/>
      <c r="M182" s="13"/>
      <c r="N182" s="13"/>
    </row>
    <row r="183" spans="1:14">
      <c r="A183" s="12"/>
      <c r="B183" s="12"/>
      <c r="C183" s="12"/>
      <c r="D183" s="7"/>
      <c r="E183" s="2"/>
      <c r="F183" s="13"/>
      <c r="G183" s="13"/>
      <c r="H183" s="13"/>
      <c r="I183" s="13"/>
      <c r="J183" s="13"/>
      <c r="K183" s="13"/>
      <c r="L183" s="13"/>
      <c r="M183" s="13"/>
      <c r="N183" s="13"/>
    </row>
    <row r="184" spans="1:14">
      <c r="A184" s="12"/>
      <c r="B184" s="12"/>
      <c r="C184" s="12"/>
      <c r="D184" s="7"/>
      <c r="E184" s="2"/>
      <c r="F184" s="13"/>
      <c r="G184" s="13"/>
      <c r="H184" s="13"/>
      <c r="I184" s="13"/>
      <c r="J184" s="13"/>
      <c r="K184" s="13"/>
      <c r="L184" s="13"/>
      <c r="M184" s="13"/>
      <c r="N184" s="13"/>
    </row>
    <row r="185" spans="1:14">
      <c r="A185" s="12"/>
      <c r="B185" s="12"/>
      <c r="C185" s="12"/>
      <c r="D185" s="7"/>
      <c r="E185" s="2"/>
      <c r="F185" s="13"/>
      <c r="G185" s="13"/>
      <c r="H185" s="13"/>
      <c r="I185" s="13"/>
      <c r="J185" s="13"/>
      <c r="K185" s="13"/>
      <c r="L185" s="13"/>
      <c r="M185" s="13"/>
      <c r="N185" s="13"/>
    </row>
    <row r="186" spans="1:14">
      <c r="A186" s="12"/>
      <c r="B186" s="12"/>
      <c r="C186" s="12"/>
      <c r="D186" s="7"/>
      <c r="E186" s="2"/>
      <c r="F186" s="13"/>
      <c r="G186" s="13"/>
      <c r="H186" s="13"/>
      <c r="I186" s="13"/>
      <c r="J186" s="13"/>
      <c r="K186" s="13"/>
      <c r="L186" s="13"/>
      <c r="M186" s="13"/>
      <c r="N186" s="13"/>
    </row>
    <row r="187" spans="1:14">
      <c r="A187" s="12"/>
      <c r="B187" s="12"/>
      <c r="C187" s="12"/>
      <c r="D187" s="7"/>
      <c r="E187" s="2"/>
      <c r="F187" s="13"/>
      <c r="G187" s="13"/>
      <c r="H187" s="13"/>
      <c r="I187" s="13"/>
      <c r="J187" s="13"/>
      <c r="K187" s="13"/>
      <c r="L187" s="13"/>
      <c r="M187" s="13"/>
      <c r="N187" s="13"/>
    </row>
    <row r="188" spans="1:14">
      <c r="A188" s="12"/>
      <c r="B188" s="12"/>
      <c r="C188" s="12"/>
      <c r="D188" s="7"/>
      <c r="E188" s="2"/>
      <c r="F188" s="13"/>
      <c r="G188" s="13"/>
      <c r="H188" s="13"/>
      <c r="I188" s="13"/>
      <c r="J188" s="13"/>
      <c r="K188" s="13"/>
      <c r="L188" s="13"/>
      <c r="M188" s="13"/>
      <c r="N188" s="13"/>
    </row>
    <row r="189" spans="1:14">
      <c r="A189" s="12"/>
      <c r="B189" s="12"/>
      <c r="C189" s="12"/>
      <c r="D189" s="7"/>
      <c r="E189" s="2"/>
      <c r="F189" s="13"/>
      <c r="G189" s="13"/>
      <c r="H189" s="13"/>
      <c r="I189" s="13"/>
      <c r="J189" s="13"/>
      <c r="K189" s="13"/>
      <c r="L189" s="13"/>
      <c r="M189" s="13"/>
      <c r="N189" s="13"/>
    </row>
    <row r="190" spans="1:14">
      <c r="A190" s="12"/>
      <c r="B190" s="12"/>
      <c r="C190" s="12"/>
      <c r="D190" s="7"/>
      <c r="E190" s="2"/>
      <c r="F190" s="13"/>
      <c r="G190" s="13"/>
      <c r="H190" s="13"/>
      <c r="I190" s="13"/>
      <c r="J190" s="13"/>
      <c r="K190" s="13"/>
      <c r="L190" s="13"/>
      <c r="M190" s="13"/>
      <c r="N190" s="13"/>
    </row>
    <row r="191" spans="1:14">
      <c r="A191" s="12"/>
      <c r="B191" s="12"/>
      <c r="C191" s="12"/>
      <c r="D191" s="7"/>
      <c r="E191" s="2"/>
      <c r="F191" s="13"/>
      <c r="G191" s="13"/>
      <c r="H191" s="13"/>
      <c r="I191" s="13"/>
      <c r="J191" s="13"/>
      <c r="K191" s="13"/>
      <c r="L191" s="13"/>
      <c r="M191" s="13"/>
      <c r="N191" s="13"/>
    </row>
    <row r="192" spans="1:14">
      <c r="A192" s="12"/>
      <c r="B192" s="12"/>
      <c r="C192" s="12"/>
      <c r="D192" s="7"/>
      <c r="E192" s="2"/>
      <c r="F192" s="13"/>
      <c r="G192" s="13"/>
      <c r="H192" s="13"/>
      <c r="I192" s="13"/>
      <c r="J192" s="13"/>
      <c r="K192" s="13"/>
      <c r="L192" s="13"/>
      <c r="M192" s="13"/>
      <c r="N192" s="13"/>
    </row>
    <row r="193" spans="1:14">
      <c r="A193" s="12"/>
      <c r="B193" s="12"/>
      <c r="C193" s="12"/>
      <c r="D193" s="7"/>
      <c r="E193" s="2"/>
      <c r="F193" s="13"/>
      <c r="G193" s="13"/>
      <c r="H193" s="13"/>
      <c r="I193" s="13"/>
      <c r="J193" s="13"/>
      <c r="K193" s="13"/>
      <c r="L193" s="13"/>
      <c r="M193" s="13"/>
      <c r="N193" s="13"/>
    </row>
    <row r="194" spans="1:14">
      <c r="A194" s="12"/>
      <c r="B194" s="12"/>
      <c r="C194" s="12"/>
      <c r="D194" s="7"/>
      <c r="E194" s="2"/>
      <c r="F194" s="13"/>
      <c r="G194" s="13"/>
      <c r="H194" s="13"/>
      <c r="I194" s="13"/>
      <c r="J194" s="13"/>
      <c r="K194" s="13"/>
      <c r="L194" s="13"/>
      <c r="M194" s="13"/>
      <c r="N194" s="13"/>
    </row>
    <row r="195" spans="1:14">
      <c r="A195" s="12"/>
      <c r="B195" s="12"/>
      <c r="C195" s="12"/>
      <c r="D195" s="7"/>
      <c r="E195" s="2"/>
      <c r="F195" s="13"/>
      <c r="G195" s="13"/>
      <c r="H195" s="13"/>
      <c r="I195" s="13"/>
      <c r="J195" s="13"/>
      <c r="K195" s="13"/>
      <c r="L195" s="13"/>
      <c r="M195" s="13"/>
      <c r="N195" s="13"/>
    </row>
    <row r="196" spans="1:14">
      <c r="A196" s="12"/>
      <c r="B196" s="12"/>
      <c r="C196" s="12"/>
      <c r="D196" s="7"/>
      <c r="E196" s="2"/>
      <c r="F196" s="13"/>
      <c r="G196" s="13"/>
      <c r="H196" s="13"/>
      <c r="I196" s="13"/>
      <c r="J196" s="13"/>
      <c r="K196" s="13"/>
      <c r="L196" s="13"/>
      <c r="M196" s="13"/>
      <c r="N196" s="13"/>
    </row>
    <row r="197" spans="1:14">
      <c r="A197" s="12"/>
      <c r="B197" s="12"/>
      <c r="C197" s="12"/>
      <c r="D197" s="7"/>
      <c r="E197" s="2"/>
      <c r="F197" s="13"/>
      <c r="G197" s="13"/>
      <c r="H197" s="13"/>
      <c r="I197" s="13"/>
      <c r="J197" s="13"/>
      <c r="K197" s="13"/>
      <c r="L197" s="13"/>
      <c r="M197" s="13"/>
      <c r="N197" s="13"/>
    </row>
    <row r="198" spans="1:14">
      <c r="A198" s="12"/>
      <c r="B198" s="12"/>
      <c r="C198" s="12"/>
      <c r="D198" s="7"/>
      <c r="E198" s="2"/>
      <c r="F198" s="13"/>
      <c r="G198" s="13"/>
      <c r="H198" s="13"/>
      <c r="I198" s="13"/>
      <c r="J198" s="13"/>
      <c r="K198" s="13"/>
      <c r="L198" s="13"/>
      <c r="M198" s="13"/>
      <c r="N198" s="13"/>
    </row>
    <row r="199" spans="1:14">
      <c r="A199" s="12"/>
      <c r="B199" s="12"/>
      <c r="C199" s="12"/>
      <c r="D199" s="7"/>
      <c r="E199" s="2"/>
      <c r="F199" s="13"/>
      <c r="G199" s="13"/>
      <c r="H199" s="13"/>
      <c r="I199" s="13"/>
      <c r="J199" s="13"/>
      <c r="K199" s="13"/>
      <c r="L199" s="13"/>
      <c r="M199" s="13"/>
      <c r="N199" s="13"/>
    </row>
    <row r="200" spans="1:14">
      <c r="A200" s="12"/>
      <c r="B200" s="12"/>
      <c r="C200" s="12"/>
      <c r="D200" s="7"/>
      <c r="E200" s="2"/>
      <c r="F200" s="13"/>
      <c r="G200" s="13"/>
      <c r="H200" s="13"/>
      <c r="I200" s="13"/>
      <c r="J200" s="13"/>
      <c r="K200" s="13"/>
      <c r="L200" s="13"/>
      <c r="M200" s="13"/>
      <c r="N200" s="13"/>
    </row>
    <row r="201" spans="1:14">
      <c r="A201" s="12"/>
      <c r="B201" s="12"/>
      <c r="C201" s="12"/>
      <c r="D201" s="7"/>
      <c r="E201" s="2"/>
      <c r="F201" s="13"/>
      <c r="G201" s="13"/>
      <c r="H201" s="13"/>
      <c r="I201" s="13"/>
      <c r="J201" s="13"/>
      <c r="K201" s="13"/>
      <c r="L201" s="13"/>
      <c r="M201" s="13"/>
      <c r="N201" s="13"/>
    </row>
    <row r="202" spans="1:14">
      <c r="A202" s="12"/>
      <c r="B202" s="12"/>
      <c r="C202" s="12"/>
      <c r="D202" s="7"/>
      <c r="E202" s="2"/>
      <c r="F202" s="13"/>
      <c r="G202" s="13"/>
      <c r="H202" s="13"/>
      <c r="I202" s="13"/>
      <c r="J202" s="13"/>
      <c r="K202" s="13"/>
      <c r="L202" s="13"/>
      <c r="M202" s="13"/>
      <c r="N202" s="13"/>
    </row>
    <row r="203" spans="1:14">
      <c r="A203" s="12"/>
      <c r="B203" s="12"/>
      <c r="C203" s="12"/>
      <c r="D203" s="7"/>
      <c r="E203" s="2"/>
      <c r="F203" s="13"/>
      <c r="G203" s="13"/>
      <c r="H203" s="13"/>
      <c r="I203" s="13"/>
      <c r="J203" s="13"/>
      <c r="K203" s="13"/>
      <c r="L203" s="13"/>
      <c r="M203" s="13"/>
      <c r="N203" s="13"/>
    </row>
    <row r="204" spans="1:14">
      <c r="A204" s="12"/>
      <c r="B204" s="12"/>
      <c r="C204" s="12"/>
      <c r="D204" s="7"/>
      <c r="E204" s="2"/>
      <c r="F204" s="13"/>
      <c r="G204" s="13"/>
      <c r="H204" s="13"/>
      <c r="I204" s="13"/>
      <c r="J204" s="13"/>
      <c r="K204" s="13"/>
      <c r="L204" s="13"/>
      <c r="M204" s="13"/>
      <c r="N204" s="13"/>
    </row>
    <row r="205" spans="1:14">
      <c r="A205" s="12"/>
      <c r="B205" s="12"/>
      <c r="C205" s="12"/>
      <c r="D205" s="7"/>
      <c r="E205" s="2"/>
      <c r="F205" s="13"/>
      <c r="G205" s="13"/>
      <c r="H205" s="13"/>
      <c r="I205" s="13"/>
      <c r="J205" s="13"/>
      <c r="K205" s="13"/>
      <c r="L205" s="13"/>
      <c r="M205" s="13"/>
      <c r="N205" s="13"/>
    </row>
    <row r="206" spans="1:14">
      <c r="A206" s="12"/>
      <c r="B206" s="12"/>
      <c r="C206" s="12"/>
      <c r="D206" s="7"/>
      <c r="E206" s="2"/>
      <c r="F206" s="13"/>
      <c r="G206" s="13"/>
      <c r="H206" s="13"/>
      <c r="I206" s="13"/>
      <c r="J206" s="13"/>
      <c r="K206" s="13"/>
      <c r="L206" s="13"/>
      <c r="M206" s="13"/>
      <c r="N206" s="13"/>
    </row>
    <row r="207" spans="1:14">
      <c r="A207" s="12"/>
      <c r="B207" s="12"/>
      <c r="C207" s="12"/>
      <c r="D207" s="7"/>
      <c r="E207" s="2"/>
      <c r="F207" s="13"/>
      <c r="G207" s="13"/>
      <c r="H207" s="13"/>
      <c r="I207" s="13"/>
      <c r="J207" s="13"/>
      <c r="K207" s="13"/>
      <c r="L207" s="13"/>
      <c r="M207" s="13"/>
      <c r="N207" s="13"/>
    </row>
    <row r="208" spans="1:14">
      <c r="A208" s="12"/>
      <c r="B208" s="12"/>
      <c r="C208" s="12"/>
      <c r="D208" s="7"/>
      <c r="E208" s="2"/>
      <c r="F208" s="13"/>
      <c r="G208" s="13"/>
      <c r="H208" s="13"/>
      <c r="I208" s="13"/>
      <c r="J208" s="13"/>
      <c r="K208" s="13"/>
      <c r="L208" s="13"/>
      <c r="M208" s="13"/>
      <c r="N208" s="13"/>
    </row>
    <row r="209" spans="1:14">
      <c r="A209" s="12"/>
      <c r="B209" s="12"/>
      <c r="C209" s="12"/>
      <c r="D209" s="7"/>
      <c r="E209" s="2"/>
      <c r="F209" s="13"/>
      <c r="G209" s="13"/>
      <c r="H209" s="13"/>
      <c r="I209" s="13"/>
      <c r="J209" s="13"/>
      <c r="K209" s="13"/>
      <c r="L209" s="13"/>
      <c r="M209" s="13"/>
      <c r="N209" s="13"/>
    </row>
    <row r="210" spans="1:14">
      <c r="A210" s="12"/>
      <c r="B210" s="12"/>
      <c r="C210" s="12"/>
      <c r="D210" s="7"/>
      <c r="E210" s="2"/>
      <c r="F210" s="13"/>
      <c r="G210" s="13"/>
      <c r="H210" s="13"/>
      <c r="I210" s="13"/>
      <c r="J210" s="13"/>
      <c r="K210" s="13"/>
      <c r="L210" s="13"/>
      <c r="M210" s="13"/>
      <c r="N210" s="13"/>
    </row>
    <row r="211" spans="1:14">
      <c r="A211" s="12"/>
      <c r="B211" s="12"/>
      <c r="C211" s="12"/>
      <c r="D211" s="7"/>
      <c r="E211" s="2"/>
      <c r="F211" s="13"/>
      <c r="G211" s="13"/>
      <c r="H211" s="13"/>
      <c r="I211" s="13"/>
      <c r="J211" s="13"/>
      <c r="K211" s="13"/>
      <c r="L211" s="13"/>
      <c r="M211" s="13"/>
      <c r="N211" s="13"/>
    </row>
    <row r="212" spans="1:14">
      <c r="A212" s="12"/>
      <c r="B212" s="12"/>
      <c r="C212" s="12"/>
      <c r="D212" s="7"/>
      <c r="E212" s="2"/>
      <c r="F212" s="13"/>
      <c r="G212" s="13"/>
      <c r="H212" s="13"/>
      <c r="I212" s="13"/>
      <c r="J212" s="13"/>
      <c r="K212" s="13"/>
      <c r="L212" s="13"/>
      <c r="M212" s="13"/>
      <c r="N212" s="13"/>
    </row>
    <row r="213" spans="1:14">
      <c r="A213" s="12"/>
      <c r="B213" s="12"/>
      <c r="C213" s="12"/>
      <c r="D213" s="7"/>
      <c r="E213" s="2"/>
      <c r="F213" s="13"/>
      <c r="G213" s="13"/>
      <c r="H213" s="13"/>
      <c r="I213" s="13"/>
      <c r="J213" s="13"/>
      <c r="K213" s="13"/>
      <c r="L213" s="13"/>
      <c r="M213" s="13"/>
      <c r="N213" s="13"/>
    </row>
    <row r="214" spans="1:14">
      <c r="A214" s="12"/>
      <c r="B214" s="12"/>
      <c r="C214" s="12"/>
      <c r="D214" s="7"/>
      <c r="E214" s="2"/>
      <c r="F214" s="13"/>
      <c r="G214" s="13"/>
      <c r="H214" s="13"/>
      <c r="I214" s="13"/>
      <c r="J214" s="13"/>
      <c r="K214" s="13"/>
      <c r="L214" s="13"/>
      <c r="M214" s="13"/>
      <c r="N214" s="13"/>
    </row>
    <row r="215" spans="1:14">
      <c r="A215" s="12"/>
      <c r="B215" s="12"/>
      <c r="C215" s="12"/>
      <c r="D215" s="7"/>
      <c r="E215" s="2"/>
      <c r="F215" s="13"/>
      <c r="G215" s="13"/>
      <c r="H215" s="13"/>
      <c r="I215" s="13"/>
      <c r="J215" s="13"/>
      <c r="K215" s="13"/>
      <c r="L215" s="13"/>
      <c r="M215" s="13"/>
      <c r="N215" s="13"/>
    </row>
    <row r="216" spans="1:14">
      <c r="A216" s="12"/>
      <c r="B216" s="12"/>
      <c r="C216" s="12"/>
      <c r="D216" s="7"/>
      <c r="E216" s="2"/>
      <c r="F216" s="13"/>
      <c r="G216" s="13"/>
      <c r="H216" s="13"/>
      <c r="I216" s="13"/>
      <c r="J216" s="13"/>
      <c r="K216" s="13"/>
      <c r="L216" s="13"/>
      <c r="M216" s="13"/>
      <c r="N216" s="13"/>
    </row>
    <row r="217" spans="1:14">
      <c r="A217" s="12"/>
      <c r="B217" s="12"/>
      <c r="C217" s="12"/>
      <c r="D217" s="7"/>
      <c r="E217" s="2"/>
      <c r="F217" s="13"/>
      <c r="G217" s="13"/>
      <c r="H217" s="13"/>
      <c r="I217" s="13"/>
      <c r="J217" s="13"/>
      <c r="K217" s="13"/>
      <c r="L217" s="13"/>
      <c r="M217" s="13"/>
      <c r="N217" s="13"/>
    </row>
    <row r="218" spans="1:14">
      <c r="A218" s="12"/>
      <c r="B218" s="12"/>
      <c r="C218" s="12"/>
      <c r="D218" s="7"/>
      <c r="E218" s="2"/>
      <c r="F218" s="13"/>
      <c r="G218" s="13"/>
      <c r="H218" s="13"/>
      <c r="I218" s="13"/>
      <c r="J218" s="13"/>
      <c r="K218" s="13"/>
      <c r="L218" s="13"/>
      <c r="M218" s="13"/>
      <c r="N218" s="13"/>
    </row>
    <row r="219" spans="1:14">
      <c r="A219" s="12"/>
      <c r="B219" s="12"/>
      <c r="C219" s="12"/>
      <c r="D219" s="7"/>
      <c r="E219" s="2"/>
      <c r="F219" s="13"/>
      <c r="G219" s="13"/>
      <c r="H219" s="13"/>
      <c r="I219" s="13"/>
      <c r="J219" s="13"/>
      <c r="K219" s="13"/>
      <c r="L219" s="13"/>
      <c r="M219" s="13"/>
      <c r="N219" s="13"/>
    </row>
    <row r="220" spans="1:14">
      <c r="A220" s="12"/>
      <c r="B220" s="12"/>
      <c r="C220" s="12"/>
      <c r="D220" s="7"/>
      <c r="E220" s="2"/>
      <c r="F220" s="13"/>
      <c r="G220" s="13"/>
      <c r="H220" s="13"/>
      <c r="I220" s="13"/>
      <c r="J220" s="13"/>
      <c r="K220" s="13"/>
      <c r="L220" s="13"/>
      <c r="M220" s="13"/>
      <c r="N220" s="13"/>
    </row>
    <row r="221" spans="1:14">
      <c r="A221" s="12"/>
      <c r="B221" s="12"/>
      <c r="C221" s="12"/>
      <c r="D221" s="7"/>
      <c r="E221" s="2"/>
      <c r="F221" s="13"/>
      <c r="G221" s="13"/>
      <c r="H221" s="13"/>
      <c r="I221" s="13"/>
      <c r="J221" s="13"/>
      <c r="K221" s="13"/>
      <c r="L221" s="13"/>
      <c r="M221" s="13"/>
      <c r="N221" s="13"/>
    </row>
    <row r="222" spans="1:14">
      <c r="A222" s="12"/>
      <c r="B222" s="12"/>
      <c r="C222" s="12"/>
      <c r="D222" s="7"/>
      <c r="E222" s="2"/>
      <c r="F222" s="13"/>
      <c r="G222" s="13"/>
      <c r="H222" s="13"/>
      <c r="I222" s="13"/>
      <c r="J222" s="13"/>
      <c r="K222" s="13"/>
      <c r="L222" s="13"/>
      <c r="M222" s="13"/>
      <c r="N222" s="13"/>
    </row>
    <row r="223" spans="1:14">
      <c r="A223" s="12"/>
      <c r="B223" s="12"/>
      <c r="C223" s="12"/>
      <c r="D223" s="7"/>
      <c r="E223" s="2"/>
      <c r="F223" s="13"/>
      <c r="G223" s="13"/>
      <c r="H223" s="13"/>
      <c r="I223" s="13"/>
      <c r="J223" s="13"/>
      <c r="K223" s="13"/>
      <c r="L223" s="13"/>
      <c r="M223" s="13"/>
      <c r="N223" s="13"/>
    </row>
    <row r="224" spans="1:14">
      <c r="A224" s="12"/>
      <c r="B224" s="12"/>
      <c r="C224" s="12"/>
      <c r="D224" s="7"/>
      <c r="E224" s="2"/>
      <c r="F224" s="13"/>
      <c r="G224" s="13"/>
      <c r="H224" s="13"/>
      <c r="I224" s="13"/>
      <c r="J224" s="13"/>
      <c r="K224" s="13"/>
      <c r="L224" s="13"/>
      <c r="M224" s="13"/>
      <c r="N224" s="13"/>
    </row>
    <row r="225" spans="1:14">
      <c r="A225" s="12"/>
      <c r="B225" s="12"/>
      <c r="C225" s="12"/>
      <c r="D225" s="7"/>
      <c r="E225" s="2"/>
      <c r="F225" s="13"/>
      <c r="G225" s="13"/>
      <c r="H225" s="13"/>
      <c r="I225" s="13"/>
      <c r="J225" s="13"/>
      <c r="K225" s="13"/>
      <c r="L225" s="13"/>
      <c r="M225" s="13"/>
      <c r="N225" s="13"/>
    </row>
    <row r="226" spans="1:14">
      <c r="A226" s="12"/>
      <c r="B226" s="12"/>
      <c r="C226" s="12"/>
      <c r="D226" s="7"/>
      <c r="E226" s="2"/>
      <c r="F226" s="13"/>
      <c r="G226" s="13"/>
      <c r="H226" s="13"/>
      <c r="I226" s="13"/>
      <c r="J226" s="13"/>
      <c r="K226" s="13"/>
      <c r="L226" s="13"/>
      <c r="M226" s="13"/>
      <c r="N226" s="13"/>
    </row>
    <row r="227" spans="1:14">
      <c r="A227" s="12"/>
      <c r="B227" s="12"/>
      <c r="C227" s="12"/>
      <c r="D227" s="7"/>
      <c r="E227" s="2"/>
      <c r="F227" s="13"/>
      <c r="G227" s="13"/>
      <c r="H227" s="13"/>
      <c r="I227" s="13"/>
      <c r="J227" s="13"/>
      <c r="K227" s="13"/>
      <c r="L227" s="13"/>
      <c r="M227" s="13"/>
      <c r="N227" s="13"/>
    </row>
    <row r="228" spans="1:14">
      <c r="A228" s="12"/>
      <c r="B228" s="12"/>
      <c r="C228" s="12"/>
      <c r="D228" s="7"/>
      <c r="E228" s="2"/>
      <c r="F228" s="13"/>
      <c r="G228" s="13"/>
      <c r="H228" s="13"/>
      <c r="I228" s="13"/>
      <c r="J228" s="13"/>
      <c r="K228" s="13"/>
      <c r="L228" s="13"/>
      <c r="M228" s="13"/>
      <c r="N228" s="13"/>
    </row>
    <row r="229" spans="1:14">
      <c r="A229" s="12"/>
      <c r="B229" s="12"/>
      <c r="C229" s="12"/>
      <c r="D229" s="7"/>
      <c r="E229" s="2"/>
      <c r="F229" s="13"/>
      <c r="G229" s="13"/>
      <c r="H229" s="13"/>
      <c r="I229" s="13"/>
      <c r="J229" s="13"/>
      <c r="K229" s="13"/>
      <c r="L229" s="13"/>
      <c r="M229" s="13"/>
      <c r="N229" s="13"/>
    </row>
    <row r="230" spans="1:14">
      <c r="A230" s="12"/>
      <c r="B230" s="12"/>
      <c r="C230" s="12"/>
      <c r="D230" s="7"/>
      <c r="E230" s="2"/>
      <c r="F230" s="13"/>
      <c r="G230" s="13"/>
      <c r="H230" s="13"/>
      <c r="I230" s="13"/>
      <c r="J230" s="13"/>
      <c r="K230" s="13"/>
      <c r="L230" s="13"/>
      <c r="M230" s="13"/>
      <c r="N230" s="13"/>
    </row>
    <row r="231" spans="1:14">
      <c r="A231" s="12"/>
      <c r="B231" s="12"/>
      <c r="C231" s="12"/>
      <c r="D231" s="7"/>
      <c r="E231" s="2"/>
      <c r="F231" s="13"/>
      <c r="G231" s="13"/>
      <c r="H231" s="13"/>
      <c r="I231" s="13"/>
      <c r="J231" s="13"/>
      <c r="K231" s="13"/>
      <c r="L231" s="13"/>
      <c r="M231" s="13"/>
      <c r="N231" s="13"/>
    </row>
    <row r="232" spans="1:14">
      <c r="A232" s="12"/>
      <c r="B232" s="12"/>
      <c r="C232" s="12"/>
      <c r="D232" s="7"/>
      <c r="E232" s="2"/>
      <c r="F232" s="13"/>
      <c r="G232" s="13"/>
      <c r="H232" s="13"/>
      <c r="I232" s="13"/>
      <c r="J232" s="13"/>
      <c r="K232" s="13"/>
      <c r="L232" s="13"/>
      <c r="M232" s="13"/>
      <c r="N232" s="13"/>
    </row>
    <row r="233" spans="1:14">
      <c r="A233" s="12"/>
      <c r="B233" s="12"/>
      <c r="C233" s="12"/>
      <c r="D233" s="7"/>
      <c r="E233" s="2"/>
      <c r="F233" s="13"/>
      <c r="G233" s="13"/>
      <c r="H233" s="13"/>
      <c r="I233" s="13"/>
      <c r="J233" s="13"/>
      <c r="K233" s="13"/>
      <c r="L233" s="13"/>
      <c r="M233" s="13"/>
      <c r="N233" s="13"/>
    </row>
    <row r="234" spans="1:14">
      <c r="A234" s="12"/>
      <c r="B234" s="12"/>
      <c r="C234" s="12"/>
      <c r="D234" s="7"/>
      <c r="E234" s="2"/>
      <c r="F234" s="13"/>
      <c r="G234" s="13"/>
      <c r="H234" s="13"/>
      <c r="I234" s="13"/>
      <c r="J234" s="13"/>
      <c r="K234" s="13"/>
      <c r="L234" s="13"/>
      <c r="M234" s="13"/>
      <c r="N234" s="13"/>
    </row>
    <row r="235" spans="1:14">
      <c r="A235" s="12"/>
      <c r="B235" s="12"/>
      <c r="C235" s="12"/>
      <c r="D235" s="7"/>
      <c r="E235" s="2"/>
      <c r="F235" s="13"/>
      <c r="G235" s="13"/>
      <c r="H235" s="13"/>
      <c r="I235" s="13"/>
      <c r="J235" s="13"/>
      <c r="K235" s="13"/>
      <c r="L235" s="13"/>
      <c r="M235" s="13"/>
      <c r="N235" s="13"/>
    </row>
    <row r="236" spans="1:14">
      <c r="A236" s="12"/>
      <c r="B236" s="12"/>
      <c r="C236" s="12"/>
      <c r="D236" s="7"/>
      <c r="E236" s="2"/>
      <c r="F236" s="13"/>
      <c r="G236" s="13"/>
      <c r="H236" s="13"/>
      <c r="I236" s="13"/>
      <c r="J236" s="13"/>
      <c r="K236" s="13"/>
      <c r="L236" s="13"/>
      <c r="M236" s="13"/>
      <c r="N236" s="13"/>
    </row>
    <row r="237" spans="1:14">
      <c r="A237" s="12"/>
      <c r="B237" s="12"/>
      <c r="C237" s="12"/>
      <c r="D237" s="7"/>
      <c r="E237" s="2"/>
      <c r="F237" s="13"/>
      <c r="G237" s="13"/>
      <c r="H237" s="13"/>
      <c r="I237" s="13"/>
      <c r="J237" s="13"/>
      <c r="K237" s="13"/>
      <c r="L237" s="13"/>
      <c r="M237" s="13"/>
      <c r="N237" s="13"/>
    </row>
    <row r="238" spans="1:14">
      <c r="A238" s="12"/>
      <c r="B238" s="12"/>
      <c r="C238" s="12"/>
      <c r="D238" s="7"/>
      <c r="E238" s="2"/>
      <c r="F238" s="13"/>
      <c r="G238" s="13"/>
      <c r="H238" s="13"/>
      <c r="I238" s="13"/>
      <c r="J238" s="13"/>
      <c r="K238" s="13"/>
      <c r="L238" s="13"/>
      <c r="M238" s="13"/>
      <c r="N238" s="13"/>
    </row>
    <row r="239" spans="1:14">
      <c r="A239" s="12"/>
      <c r="B239" s="12"/>
      <c r="C239" s="12"/>
      <c r="D239" s="7"/>
      <c r="E239" s="2"/>
      <c r="F239" s="13"/>
      <c r="G239" s="13"/>
      <c r="H239" s="13"/>
      <c r="I239" s="13"/>
      <c r="J239" s="13"/>
      <c r="K239" s="13"/>
      <c r="L239" s="13"/>
      <c r="M239" s="13"/>
      <c r="N239" s="13"/>
    </row>
    <row r="240" spans="1:14">
      <c r="A240" s="12"/>
      <c r="B240" s="12"/>
      <c r="C240" s="12"/>
      <c r="D240" s="7"/>
      <c r="E240" s="2"/>
      <c r="F240" s="13"/>
      <c r="G240" s="13"/>
      <c r="H240" s="13"/>
      <c r="I240" s="13"/>
      <c r="J240" s="13"/>
      <c r="K240" s="13"/>
      <c r="L240" s="13"/>
      <c r="M240" s="13"/>
      <c r="N240" s="13"/>
    </row>
    <row r="241" spans="1:14">
      <c r="A241" s="12"/>
      <c r="B241" s="12"/>
      <c r="C241" s="12"/>
      <c r="D241" s="7"/>
      <c r="E241" s="2"/>
      <c r="F241" s="13"/>
      <c r="G241" s="13"/>
      <c r="H241" s="13"/>
      <c r="I241" s="13"/>
      <c r="J241" s="13"/>
      <c r="K241" s="13"/>
      <c r="L241" s="13"/>
      <c r="M241" s="13"/>
      <c r="N241" s="13"/>
    </row>
    <row r="242" spans="1:14">
      <c r="A242" s="12"/>
      <c r="B242" s="12"/>
      <c r="C242" s="12"/>
      <c r="D242" s="7"/>
      <c r="E242" s="2"/>
      <c r="F242" s="13"/>
      <c r="G242" s="13"/>
      <c r="H242" s="13"/>
      <c r="I242" s="13"/>
      <c r="J242" s="13"/>
      <c r="K242" s="13"/>
      <c r="L242" s="13"/>
      <c r="M242" s="13"/>
      <c r="N242" s="13"/>
    </row>
    <row r="243" spans="1:14">
      <c r="A243" s="12"/>
      <c r="B243" s="12"/>
      <c r="C243" s="12"/>
      <c r="D243" s="7"/>
      <c r="E243" s="2"/>
      <c r="F243" s="13"/>
      <c r="G243" s="13"/>
      <c r="H243" s="13"/>
      <c r="I243" s="13"/>
      <c r="J243" s="13"/>
      <c r="K243" s="13"/>
      <c r="L243" s="13"/>
      <c r="M243" s="13"/>
      <c r="N243" s="13"/>
    </row>
    <row r="244" spans="1:14">
      <c r="A244" s="12"/>
      <c r="B244" s="12"/>
      <c r="C244" s="12"/>
      <c r="D244" s="7"/>
      <c r="E244" s="2"/>
      <c r="F244" s="13"/>
      <c r="G244" s="13"/>
      <c r="H244" s="13"/>
      <c r="I244" s="13"/>
      <c r="J244" s="13"/>
      <c r="K244" s="13"/>
      <c r="L244" s="13"/>
      <c r="M244" s="13"/>
      <c r="N244" s="13"/>
    </row>
    <row r="245" spans="1:14">
      <c r="A245" s="12"/>
      <c r="B245" s="12"/>
      <c r="C245" s="12"/>
      <c r="D245" s="7"/>
      <c r="E245" s="2"/>
      <c r="F245" s="13"/>
      <c r="G245" s="13"/>
      <c r="H245" s="13"/>
      <c r="I245" s="13"/>
      <c r="J245" s="13"/>
      <c r="K245" s="13"/>
      <c r="L245" s="13"/>
      <c r="M245" s="13"/>
      <c r="N245" s="13"/>
    </row>
    <row r="246" spans="1:14">
      <c r="A246" s="12"/>
      <c r="B246" s="12"/>
      <c r="C246" s="12"/>
      <c r="D246" s="7"/>
      <c r="E246" s="2"/>
      <c r="F246" s="13"/>
      <c r="G246" s="13"/>
      <c r="H246" s="13"/>
      <c r="I246" s="13"/>
      <c r="J246" s="13"/>
      <c r="K246" s="13"/>
      <c r="L246" s="13"/>
      <c r="M246" s="13"/>
      <c r="N246" s="13"/>
    </row>
    <row r="247" spans="1:14">
      <c r="A247" s="12"/>
      <c r="B247" s="12"/>
      <c r="C247" s="12"/>
      <c r="D247" s="7"/>
      <c r="E247" s="2"/>
      <c r="F247" s="13"/>
      <c r="G247" s="13"/>
      <c r="H247" s="13"/>
      <c r="I247" s="13"/>
      <c r="J247" s="13"/>
      <c r="K247" s="13"/>
      <c r="L247" s="13"/>
      <c r="M247" s="13"/>
      <c r="N247" s="13"/>
    </row>
    <row r="248" spans="1:14">
      <c r="A248" s="12"/>
      <c r="B248" s="12"/>
      <c r="C248" s="12"/>
      <c r="D248" s="7"/>
      <c r="E248" s="2"/>
      <c r="F248" s="13"/>
      <c r="G248" s="13"/>
      <c r="H248" s="13"/>
      <c r="I248" s="13"/>
      <c r="J248" s="13"/>
      <c r="K248" s="13"/>
      <c r="L248" s="13"/>
      <c r="M248" s="13"/>
      <c r="N248" s="13"/>
    </row>
    <row r="249" spans="1:14">
      <c r="A249" s="12"/>
      <c r="B249" s="12"/>
      <c r="C249" s="12"/>
      <c r="D249" s="7"/>
      <c r="E249" s="2"/>
      <c r="F249" s="13"/>
      <c r="G249" s="13"/>
      <c r="H249" s="13"/>
      <c r="I249" s="13"/>
      <c r="J249" s="13"/>
      <c r="K249" s="13"/>
      <c r="L249" s="13"/>
      <c r="M249" s="13"/>
      <c r="N249" s="13"/>
    </row>
    <row r="250" spans="1:14">
      <c r="A250" s="12"/>
      <c r="B250" s="12"/>
      <c r="C250" s="12"/>
      <c r="D250" s="7"/>
      <c r="E250" s="2"/>
      <c r="F250" s="13"/>
      <c r="G250" s="13"/>
      <c r="H250" s="13"/>
      <c r="I250" s="13"/>
      <c r="J250" s="13"/>
      <c r="K250" s="13"/>
      <c r="L250" s="13"/>
      <c r="M250" s="13"/>
      <c r="N250" s="13"/>
    </row>
    <row r="251" spans="1:14">
      <c r="A251" s="12"/>
      <c r="B251" s="12"/>
      <c r="C251" s="12"/>
      <c r="D251" s="7"/>
      <c r="E251" s="2"/>
      <c r="F251" s="13"/>
      <c r="G251" s="13"/>
      <c r="H251" s="13"/>
      <c r="I251" s="13"/>
      <c r="J251" s="13"/>
      <c r="K251" s="13"/>
      <c r="L251" s="13"/>
      <c r="M251" s="13"/>
      <c r="N251" s="13"/>
    </row>
    <row r="252" spans="1:14">
      <c r="A252" s="12"/>
      <c r="B252" s="12"/>
      <c r="C252" s="12"/>
      <c r="D252" s="7"/>
      <c r="E252" s="2"/>
      <c r="F252" s="13"/>
      <c r="G252" s="13"/>
      <c r="H252" s="13"/>
      <c r="I252" s="13"/>
      <c r="J252" s="13"/>
      <c r="K252" s="13"/>
      <c r="L252" s="13"/>
      <c r="M252" s="13"/>
      <c r="N252" s="13"/>
    </row>
    <row r="253" spans="1:14">
      <c r="A253" s="12"/>
      <c r="B253" s="12"/>
      <c r="C253" s="12"/>
      <c r="D253" s="7"/>
      <c r="E253" s="2"/>
      <c r="F253" s="13"/>
      <c r="G253" s="13"/>
      <c r="H253" s="13"/>
      <c r="I253" s="13"/>
      <c r="J253" s="13"/>
      <c r="K253" s="13"/>
      <c r="L253" s="13"/>
      <c r="M253" s="13"/>
      <c r="N253" s="13"/>
    </row>
    <row r="254" spans="1:14">
      <c r="A254" s="12"/>
      <c r="B254" s="12"/>
      <c r="C254" s="12"/>
      <c r="D254" s="7"/>
      <c r="E254" s="2"/>
      <c r="F254" s="13"/>
      <c r="G254" s="13"/>
      <c r="H254" s="13"/>
      <c r="I254" s="13"/>
      <c r="J254" s="13"/>
      <c r="K254" s="13"/>
      <c r="L254" s="13"/>
      <c r="M254" s="13"/>
      <c r="N254" s="13"/>
    </row>
    <row r="255" spans="1:14">
      <c r="A255" s="12"/>
      <c r="B255" s="12"/>
      <c r="C255" s="12"/>
      <c r="D255" s="7"/>
      <c r="E255" s="2"/>
      <c r="F255" s="13"/>
      <c r="G255" s="13"/>
      <c r="H255" s="13"/>
      <c r="I255" s="13"/>
      <c r="J255" s="13"/>
      <c r="K255" s="13"/>
      <c r="L255" s="13"/>
      <c r="M255" s="13"/>
      <c r="N255" s="13"/>
    </row>
    <row r="256" spans="1:14">
      <c r="A256" s="12"/>
      <c r="B256" s="12"/>
      <c r="C256" s="12"/>
      <c r="D256" s="7"/>
      <c r="E256" s="2"/>
      <c r="F256" s="13"/>
      <c r="G256" s="13"/>
      <c r="H256" s="13"/>
      <c r="I256" s="13"/>
      <c r="J256" s="13"/>
      <c r="K256" s="13"/>
      <c r="L256" s="13"/>
      <c r="M256" s="13"/>
      <c r="N256" s="13"/>
    </row>
    <row r="257" spans="1:14">
      <c r="A257" s="12"/>
      <c r="B257" s="12"/>
      <c r="C257" s="12"/>
      <c r="D257" s="7"/>
      <c r="E257" s="2"/>
      <c r="F257" s="13"/>
      <c r="G257" s="13"/>
      <c r="H257" s="13"/>
      <c r="I257" s="13"/>
      <c r="J257" s="13"/>
      <c r="K257" s="13"/>
      <c r="L257" s="13"/>
      <c r="M257" s="13"/>
      <c r="N257" s="13"/>
    </row>
    <row r="258" spans="1:14">
      <c r="A258" s="12"/>
      <c r="B258" s="12"/>
      <c r="C258" s="12"/>
      <c r="D258" s="7"/>
      <c r="E258" s="2"/>
      <c r="F258" s="13"/>
      <c r="G258" s="13"/>
      <c r="H258" s="13"/>
      <c r="I258" s="13"/>
      <c r="J258" s="13"/>
      <c r="K258" s="13"/>
      <c r="L258" s="13"/>
      <c r="M258" s="13"/>
      <c r="N258" s="13"/>
    </row>
    <row r="259" spans="1:14">
      <c r="A259" s="12"/>
      <c r="B259" s="12"/>
      <c r="C259" s="12"/>
      <c r="D259" s="7"/>
      <c r="E259" s="2"/>
      <c r="F259" s="13"/>
      <c r="G259" s="13"/>
      <c r="H259" s="13"/>
      <c r="I259" s="13"/>
      <c r="J259" s="13"/>
      <c r="K259" s="13"/>
      <c r="L259" s="13"/>
      <c r="M259" s="13"/>
      <c r="N259" s="13"/>
    </row>
    <row r="260" spans="1:14">
      <c r="A260" s="12"/>
      <c r="B260" s="12"/>
      <c r="C260" s="12"/>
      <c r="D260" s="7"/>
      <c r="E260" s="2"/>
      <c r="F260" s="13"/>
      <c r="G260" s="13"/>
      <c r="H260" s="13"/>
      <c r="I260" s="13"/>
      <c r="J260" s="13"/>
      <c r="K260" s="13"/>
      <c r="L260" s="13"/>
      <c r="M260" s="13"/>
      <c r="N260" s="13"/>
    </row>
    <row r="261" spans="1:14">
      <c r="A261" s="12"/>
      <c r="B261" s="12"/>
      <c r="C261" s="12"/>
      <c r="D261" s="7"/>
      <c r="E261" s="2"/>
      <c r="F261" s="13"/>
      <c r="G261" s="13"/>
      <c r="H261" s="13"/>
      <c r="I261" s="13"/>
      <c r="J261" s="13"/>
      <c r="K261" s="13"/>
      <c r="L261" s="13"/>
      <c r="M261" s="13"/>
      <c r="N261" s="13"/>
    </row>
    <row r="262" spans="1:14">
      <c r="A262" s="12"/>
      <c r="B262" s="12"/>
      <c r="C262" s="12"/>
      <c r="D262" s="7"/>
      <c r="E262" s="2"/>
      <c r="F262" s="13"/>
      <c r="G262" s="13"/>
      <c r="H262" s="13"/>
      <c r="I262" s="13"/>
      <c r="J262" s="13"/>
      <c r="K262" s="13"/>
      <c r="L262" s="13"/>
      <c r="M262" s="13"/>
      <c r="N262" s="13"/>
    </row>
    <row r="263" spans="1:14">
      <c r="A263" s="12"/>
      <c r="B263" s="12"/>
      <c r="C263" s="12"/>
      <c r="D263" s="7"/>
      <c r="E263" s="2"/>
      <c r="F263" s="13"/>
      <c r="G263" s="13"/>
      <c r="H263" s="13"/>
      <c r="I263" s="13"/>
      <c r="J263" s="13"/>
      <c r="K263" s="13"/>
      <c r="L263" s="13"/>
      <c r="M263" s="13"/>
      <c r="N263" s="13"/>
    </row>
    <row r="264" spans="1:14">
      <c r="A264" s="12"/>
      <c r="B264" s="12"/>
      <c r="C264" s="12"/>
      <c r="D264" s="7"/>
      <c r="E264" s="2"/>
      <c r="F264" s="13"/>
      <c r="G264" s="13"/>
      <c r="H264" s="13"/>
      <c r="I264" s="13"/>
      <c r="J264" s="13"/>
      <c r="K264" s="13"/>
      <c r="L264" s="13"/>
      <c r="M264" s="13"/>
      <c r="N264" s="13"/>
    </row>
    <row r="265" spans="1:14">
      <c r="A265" s="12"/>
      <c r="B265" s="12"/>
      <c r="C265" s="12"/>
      <c r="D265" s="7"/>
      <c r="E265" s="2"/>
      <c r="F265" s="13"/>
      <c r="G265" s="13"/>
      <c r="H265" s="13"/>
      <c r="I265" s="13"/>
      <c r="J265" s="13"/>
      <c r="K265" s="13"/>
      <c r="L265" s="13"/>
      <c r="M265" s="13"/>
      <c r="N265" s="13"/>
    </row>
    <row r="266" spans="1:14">
      <c r="A266" s="12"/>
      <c r="B266" s="12"/>
      <c r="C266" s="12"/>
      <c r="D266" s="7"/>
      <c r="E266" s="2"/>
      <c r="F266" s="13"/>
      <c r="G266" s="13"/>
      <c r="H266" s="13"/>
      <c r="I266" s="13"/>
      <c r="J266" s="13"/>
      <c r="K266" s="13"/>
      <c r="L266" s="13"/>
      <c r="M266" s="13"/>
      <c r="N266" s="13"/>
    </row>
    <row r="267" spans="1:14">
      <c r="A267" s="12"/>
      <c r="B267" s="12"/>
      <c r="C267" s="12"/>
      <c r="D267" s="7"/>
      <c r="E267" s="2"/>
      <c r="F267" s="13"/>
      <c r="G267" s="13"/>
      <c r="H267" s="13"/>
      <c r="I267" s="13"/>
      <c r="J267" s="13"/>
      <c r="K267" s="13"/>
      <c r="L267" s="13"/>
      <c r="M267" s="13"/>
      <c r="N267" s="13"/>
    </row>
    <row r="268" spans="1:14">
      <c r="A268" s="12"/>
      <c r="B268" s="12"/>
      <c r="C268" s="12"/>
      <c r="D268" s="7"/>
      <c r="E268" s="2"/>
      <c r="F268" s="13"/>
      <c r="G268" s="13"/>
      <c r="H268" s="13"/>
      <c r="I268" s="13"/>
      <c r="J268" s="13"/>
      <c r="K268" s="13"/>
      <c r="L268" s="13"/>
      <c r="M268" s="13"/>
      <c r="N268" s="13"/>
    </row>
    <row r="269" spans="1:14">
      <c r="A269" s="12"/>
      <c r="B269" s="12"/>
      <c r="C269" s="12"/>
      <c r="D269" s="7"/>
      <c r="E269" s="2"/>
      <c r="F269" s="13"/>
      <c r="G269" s="13"/>
      <c r="H269" s="13"/>
      <c r="I269" s="13"/>
      <c r="J269" s="13"/>
      <c r="K269" s="13"/>
      <c r="L269" s="13"/>
      <c r="M269" s="13"/>
      <c r="N269" s="13"/>
    </row>
    <row r="270" spans="1:14">
      <c r="A270" s="12"/>
      <c r="B270" s="12"/>
      <c r="C270" s="12"/>
      <c r="D270" s="7"/>
      <c r="E270" s="2"/>
      <c r="F270" s="13"/>
      <c r="G270" s="13"/>
      <c r="H270" s="13"/>
      <c r="I270" s="13"/>
      <c r="J270" s="13"/>
      <c r="K270" s="13"/>
      <c r="L270" s="13"/>
      <c r="M270" s="13"/>
      <c r="N270" s="13"/>
    </row>
    <row r="271" spans="1:14">
      <c r="A271" s="12"/>
      <c r="B271" s="12"/>
      <c r="C271" s="12"/>
      <c r="D271" s="7"/>
      <c r="E271" s="2"/>
      <c r="F271" s="13"/>
      <c r="G271" s="13"/>
      <c r="H271" s="13"/>
      <c r="I271" s="13"/>
      <c r="J271" s="13"/>
      <c r="K271" s="13"/>
      <c r="L271" s="13"/>
      <c r="M271" s="13"/>
      <c r="N271" s="13"/>
    </row>
    <row r="272" spans="1:14">
      <c r="A272" s="12"/>
      <c r="B272" s="12"/>
      <c r="C272" s="12"/>
      <c r="D272" s="7"/>
      <c r="E272" s="2"/>
      <c r="F272" s="13"/>
      <c r="G272" s="13"/>
      <c r="H272" s="13"/>
      <c r="I272" s="13"/>
      <c r="J272" s="13"/>
      <c r="K272" s="13"/>
      <c r="L272" s="13"/>
      <c r="M272" s="13"/>
      <c r="N272" s="13"/>
    </row>
    <row r="273" spans="1:14">
      <c r="A273" s="12"/>
      <c r="B273" s="12"/>
      <c r="C273" s="12"/>
      <c r="D273" s="7"/>
      <c r="E273" s="2"/>
      <c r="F273" s="13"/>
      <c r="G273" s="13"/>
      <c r="H273" s="13"/>
      <c r="I273" s="13"/>
      <c r="J273" s="13"/>
      <c r="K273" s="13"/>
      <c r="L273" s="13"/>
      <c r="M273" s="13"/>
      <c r="N273" s="13"/>
    </row>
    <row r="274" spans="1:14">
      <c r="A274" s="12"/>
      <c r="B274" s="12"/>
      <c r="C274" s="12"/>
      <c r="D274" s="7"/>
      <c r="E274" s="2"/>
      <c r="F274" s="13"/>
      <c r="G274" s="13"/>
      <c r="H274" s="13"/>
      <c r="I274" s="13"/>
      <c r="J274" s="13"/>
      <c r="K274" s="13"/>
      <c r="L274" s="13"/>
      <c r="M274" s="13"/>
      <c r="N274" s="13"/>
    </row>
    <row r="275" spans="1:14">
      <c r="A275" s="12"/>
      <c r="B275" s="12"/>
      <c r="C275" s="12"/>
      <c r="D275" s="7"/>
      <c r="E275" s="2"/>
      <c r="F275" s="13"/>
      <c r="G275" s="13"/>
      <c r="H275" s="13"/>
      <c r="I275" s="13"/>
      <c r="J275" s="13"/>
      <c r="K275" s="13"/>
      <c r="L275" s="13"/>
      <c r="M275" s="13"/>
      <c r="N275" s="13"/>
    </row>
    <row r="276" spans="1:14">
      <c r="A276" s="12"/>
      <c r="B276" s="12"/>
      <c r="C276" s="12"/>
      <c r="D276" s="7"/>
      <c r="E276" s="2"/>
      <c r="F276" s="13"/>
      <c r="G276" s="13"/>
      <c r="H276" s="13"/>
      <c r="I276" s="13"/>
      <c r="J276" s="13"/>
      <c r="K276" s="13"/>
      <c r="L276" s="13"/>
      <c r="M276" s="13"/>
      <c r="N276" s="13"/>
    </row>
    <row r="277" spans="1:14">
      <c r="A277" s="12"/>
      <c r="B277" s="12"/>
      <c r="C277" s="12"/>
      <c r="D277" s="7"/>
      <c r="E277" s="2"/>
      <c r="F277" s="13"/>
      <c r="G277" s="13"/>
      <c r="H277" s="13"/>
      <c r="I277" s="13"/>
      <c r="J277" s="13"/>
      <c r="K277" s="13"/>
      <c r="L277" s="13"/>
      <c r="M277" s="13"/>
      <c r="N277" s="13"/>
    </row>
    <row r="278" spans="1:14">
      <c r="A278" s="12"/>
      <c r="B278" s="12"/>
      <c r="C278" s="12"/>
      <c r="D278" s="7"/>
      <c r="E278" s="2"/>
      <c r="F278" s="13"/>
      <c r="G278" s="13"/>
      <c r="H278" s="13"/>
      <c r="I278" s="13"/>
      <c r="J278" s="13"/>
      <c r="K278" s="13"/>
      <c r="L278" s="13"/>
      <c r="M278" s="13"/>
      <c r="N278" s="13"/>
    </row>
    <row r="279" spans="1:14">
      <c r="A279" s="12"/>
      <c r="B279" s="12"/>
      <c r="C279" s="12"/>
      <c r="D279" s="7"/>
      <c r="E279" s="2"/>
      <c r="F279" s="13"/>
      <c r="G279" s="13"/>
      <c r="H279" s="13"/>
      <c r="I279" s="13"/>
      <c r="J279" s="13"/>
      <c r="K279" s="13"/>
      <c r="L279" s="13"/>
      <c r="M279" s="13"/>
      <c r="N279" s="13"/>
    </row>
    <row r="280" spans="1:14">
      <c r="A280" s="12"/>
      <c r="B280" s="12"/>
      <c r="C280" s="12"/>
      <c r="D280" s="7"/>
      <c r="E280" s="2"/>
      <c r="F280" s="13"/>
      <c r="G280" s="13"/>
      <c r="H280" s="13"/>
      <c r="I280" s="13"/>
      <c r="J280" s="13"/>
      <c r="K280" s="13"/>
      <c r="L280" s="13"/>
      <c r="M280" s="13"/>
      <c r="N280" s="13"/>
    </row>
    <row r="281" spans="1:14">
      <c r="A281" s="12"/>
      <c r="B281" s="12"/>
      <c r="C281" s="12"/>
      <c r="D281" s="7"/>
      <c r="E281" s="2"/>
      <c r="F281" s="13"/>
      <c r="G281" s="13"/>
      <c r="H281" s="13"/>
      <c r="I281" s="13"/>
      <c r="J281" s="13"/>
      <c r="K281" s="13"/>
      <c r="L281" s="13"/>
      <c r="M281" s="13"/>
      <c r="N281" s="13"/>
    </row>
    <row r="282" spans="1:14">
      <c r="A282" s="12"/>
      <c r="B282" s="12"/>
      <c r="C282" s="12"/>
      <c r="D282" s="7"/>
      <c r="E282" s="2"/>
      <c r="F282" s="13"/>
      <c r="G282" s="13"/>
      <c r="H282" s="13"/>
      <c r="I282" s="13"/>
      <c r="J282" s="13"/>
      <c r="K282" s="13"/>
      <c r="L282" s="13"/>
      <c r="M282" s="13"/>
      <c r="N282" s="13"/>
    </row>
    <row r="283" spans="1:14">
      <c r="A283" s="12"/>
      <c r="B283" s="12"/>
      <c r="C283" s="12"/>
      <c r="D283" s="7"/>
      <c r="E283" s="2"/>
      <c r="F283" s="13"/>
      <c r="G283" s="13"/>
      <c r="H283" s="13"/>
      <c r="I283" s="13"/>
      <c r="J283" s="13"/>
      <c r="K283" s="13"/>
      <c r="L283" s="13"/>
      <c r="M283" s="13"/>
      <c r="N283" s="13"/>
    </row>
    <row r="284" spans="1:14">
      <c r="A284" s="12"/>
      <c r="B284" s="12"/>
      <c r="C284" s="12"/>
      <c r="D284" s="7"/>
      <c r="E284" s="2"/>
      <c r="F284" s="13"/>
      <c r="G284" s="13"/>
      <c r="H284" s="13"/>
      <c r="I284" s="13"/>
      <c r="J284" s="13"/>
      <c r="K284" s="13"/>
      <c r="L284" s="13"/>
      <c r="M284" s="13"/>
      <c r="N284" s="13"/>
    </row>
    <row r="285" spans="1:14">
      <c r="A285" s="12"/>
      <c r="B285" s="12"/>
      <c r="C285" s="12"/>
      <c r="D285" s="7"/>
      <c r="E285" s="2"/>
      <c r="F285" s="13"/>
      <c r="G285" s="13"/>
      <c r="H285" s="13"/>
      <c r="I285" s="13"/>
      <c r="J285" s="13"/>
      <c r="K285" s="13"/>
      <c r="L285" s="13"/>
      <c r="M285" s="13"/>
      <c r="N285" s="13"/>
    </row>
    <row r="286" spans="1:14">
      <c r="A286" s="12"/>
      <c r="B286" s="12"/>
      <c r="C286" s="12"/>
      <c r="D286" s="7"/>
      <c r="E286" s="2"/>
      <c r="F286" s="13"/>
      <c r="G286" s="13"/>
      <c r="H286" s="13"/>
      <c r="I286" s="13"/>
      <c r="J286" s="13"/>
      <c r="K286" s="13"/>
      <c r="L286" s="13"/>
      <c r="M286" s="13"/>
      <c r="N286" s="13"/>
    </row>
    <row r="287" spans="1:14">
      <c r="A287" s="12"/>
      <c r="B287" s="12"/>
      <c r="C287" s="12"/>
      <c r="D287" s="7"/>
      <c r="E287" s="2"/>
      <c r="F287" s="13"/>
      <c r="G287" s="13"/>
      <c r="H287" s="13"/>
      <c r="I287" s="13"/>
      <c r="J287" s="13"/>
      <c r="K287" s="13"/>
      <c r="L287" s="13"/>
      <c r="M287" s="13"/>
      <c r="N287" s="13"/>
    </row>
    <row r="288" spans="1:14">
      <c r="A288" s="12"/>
      <c r="B288" s="12"/>
      <c r="C288" s="12"/>
      <c r="D288" s="7"/>
      <c r="E288" s="2"/>
      <c r="F288" s="13"/>
      <c r="G288" s="13"/>
      <c r="H288" s="13"/>
      <c r="I288" s="13"/>
      <c r="J288" s="13"/>
      <c r="K288" s="13"/>
      <c r="L288" s="13"/>
      <c r="M288" s="13"/>
      <c r="N288" s="13"/>
    </row>
    <row r="289" spans="1:14">
      <c r="A289" s="12"/>
      <c r="B289" s="12"/>
      <c r="C289" s="12"/>
      <c r="D289" s="7"/>
      <c r="E289" s="2"/>
      <c r="F289" s="13"/>
      <c r="G289" s="13"/>
      <c r="H289" s="13"/>
      <c r="I289" s="13"/>
      <c r="J289" s="13"/>
      <c r="K289" s="13"/>
      <c r="L289" s="13"/>
      <c r="M289" s="13"/>
      <c r="N289" s="13"/>
    </row>
    <row r="290" spans="1:14">
      <c r="A290" s="12"/>
      <c r="B290" s="12"/>
      <c r="C290" s="12"/>
      <c r="D290" s="7"/>
      <c r="E290" s="2"/>
      <c r="F290" s="13"/>
      <c r="G290" s="13"/>
      <c r="H290" s="13"/>
      <c r="I290" s="13"/>
      <c r="J290" s="13"/>
      <c r="K290" s="13"/>
      <c r="L290" s="13"/>
      <c r="M290" s="13"/>
      <c r="N290" s="13"/>
    </row>
    <row r="291" spans="1:14">
      <c r="A291" s="12"/>
      <c r="B291" s="12"/>
      <c r="C291" s="12"/>
      <c r="D291" s="7"/>
      <c r="E291" s="2"/>
      <c r="F291" s="13"/>
      <c r="G291" s="13"/>
      <c r="H291" s="13"/>
      <c r="I291" s="13"/>
      <c r="J291" s="13"/>
      <c r="K291" s="13"/>
      <c r="L291" s="13"/>
      <c r="M291" s="13"/>
      <c r="N291" s="13"/>
    </row>
    <row r="292" spans="1:14">
      <c r="A292" s="12"/>
      <c r="B292" s="12"/>
      <c r="C292" s="12"/>
      <c r="D292" s="7"/>
      <c r="E292" s="2"/>
      <c r="F292" s="13"/>
      <c r="G292" s="13"/>
      <c r="H292" s="13"/>
      <c r="I292" s="13"/>
      <c r="J292" s="13"/>
      <c r="K292" s="13"/>
      <c r="L292" s="13"/>
      <c r="M292" s="13"/>
      <c r="N292" s="13"/>
    </row>
    <row r="293" spans="1:14">
      <c r="A293" s="12"/>
      <c r="B293" s="12"/>
      <c r="C293" s="12"/>
      <c r="D293" s="7"/>
      <c r="E293" s="2"/>
      <c r="F293" s="13"/>
      <c r="G293" s="13"/>
      <c r="H293" s="13"/>
      <c r="I293" s="13"/>
      <c r="J293" s="13"/>
      <c r="K293" s="13"/>
      <c r="L293" s="13"/>
      <c r="M293" s="13"/>
      <c r="N293" s="13"/>
    </row>
    <row r="294" spans="1:14">
      <c r="A294" s="12"/>
      <c r="B294" s="12"/>
      <c r="C294" s="12"/>
      <c r="D294" s="7"/>
      <c r="E294" s="2"/>
      <c r="F294" s="13"/>
      <c r="G294" s="13"/>
      <c r="H294" s="13"/>
      <c r="I294" s="13"/>
      <c r="J294" s="13"/>
      <c r="K294" s="13"/>
      <c r="L294" s="13"/>
      <c r="M294" s="13"/>
      <c r="N294" s="13"/>
    </row>
    <row r="295" spans="1:14">
      <c r="A295" s="12"/>
      <c r="B295" s="12"/>
      <c r="C295" s="12"/>
      <c r="D295" s="7"/>
      <c r="E295" s="2"/>
      <c r="F295" s="13"/>
      <c r="G295" s="13"/>
      <c r="H295" s="13"/>
      <c r="I295" s="13"/>
      <c r="J295" s="13"/>
      <c r="K295" s="13"/>
      <c r="L295" s="13"/>
      <c r="M295" s="13"/>
      <c r="N295" s="13"/>
    </row>
    <row r="296" spans="1:14">
      <c r="A296" s="12"/>
      <c r="B296" s="12"/>
      <c r="C296" s="12"/>
      <c r="D296" s="7"/>
      <c r="E296" s="2"/>
      <c r="F296" s="13"/>
      <c r="G296" s="13"/>
      <c r="H296" s="13"/>
      <c r="I296" s="13"/>
      <c r="J296" s="13"/>
      <c r="K296" s="13"/>
      <c r="L296" s="13"/>
      <c r="M296" s="13"/>
      <c r="N296" s="13"/>
    </row>
    <row r="297" spans="1:14">
      <c r="A297" s="12"/>
      <c r="B297" s="12"/>
      <c r="C297" s="12"/>
      <c r="D297" s="7"/>
      <c r="E297" s="2"/>
      <c r="F297" s="13"/>
      <c r="G297" s="13"/>
      <c r="H297" s="13"/>
      <c r="I297" s="13"/>
      <c r="J297" s="13"/>
      <c r="K297" s="13"/>
      <c r="L297" s="13"/>
      <c r="M297" s="13"/>
      <c r="N297" s="13"/>
    </row>
    <row r="298" spans="1:14">
      <c r="A298" s="12"/>
      <c r="B298" s="12"/>
      <c r="C298" s="12"/>
      <c r="D298" s="7"/>
      <c r="E298" s="2"/>
      <c r="F298" s="13"/>
      <c r="G298" s="13"/>
      <c r="H298" s="13"/>
      <c r="I298" s="13"/>
      <c r="J298" s="13"/>
      <c r="K298" s="13"/>
      <c r="L298" s="13"/>
      <c r="M298" s="13"/>
      <c r="N298" s="13"/>
    </row>
    <row r="299" spans="1:14">
      <c r="A299" s="12"/>
      <c r="B299" s="12"/>
      <c r="C299" s="12"/>
      <c r="D299" s="7"/>
      <c r="E299" s="2"/>
      <c r="F299" s="13"/>
      <c r="G299" s="13"/>
      <c r="H299" s="13"/>
      <c r="I299" s="13"/>
      <c r="J299" s="13"/>
      <c r="K299" s="13"/>
      <c r="L299" s="13"/>
      <c r="M299" s="13"/>
      <c r="N299" s="13"/>
    </row>
    <row r="300" spans="1:14">
      <c r="A300" s="12"/>
      <c r="B300" s="12"/>
      <c r="C300" s="12"/>
      <c r="D300" s="7"/>
      <c r="E300" s="2"/>
      <c r="F300" s="13"/>
      <c r="G300" s="13"/>
      <c r="H300" s="13"/>
      <c r="I300" s="13"/>
      <c r="J300" s="13"/>
      <c r="K300" s="13"/>
      <c r="L300" s="13"/>
      <c r="M300" s="13"/>
      <c r="N300" s="13"/>
    </row>
    <row r="301" spans="1:14">
      <c r="A301" s="12"/>
      <c r="B301" s="12"/>
      <c r="C301" s="12"/>
      <c r="D301" s="7"/>
      <c r="E301" s="2"/>
      <c r="F301" s="13"/>
      <c r="G301" s="13"/>
      <c r="H301" s="13"/>
      <c r="I301" s="13"/>
      <c r="J301" s="13"/>
      <c r="K301" s="13"/>
      <c r="L301" s="13"/>
      <c r="M301" s="13"/>
      <c r="N301" s="13"/>
    </row>
    <row r="302" spans="1:14">
      <c r="A302" s="12"/>
      <c r="B302" s="12"/>
      <c r="C302" s="12"/>
      <c r="D302" s="7"/>
      <c r="E302" s="2"/>
      <c r="F302" s="13"/>
      <c r="G302" s="13"/>
      <c r="H302" s="13"/>
      <c r="I302" s="13"/>
      <c r="J302" s="13"/>
      <c r="K302" s="13"/>
      <c r="L302" s="13"/>
      <c r="M302" s="13"/>
      <c r="N302" s="13"/>
    </row>
    <row r="303" spans="1:14">
      <c r="A303" s="12"/>
      <c r="B303" s="12"/>
      <c r="C303" s="12"/>
      <c r="D303" s="7"/>
      <c r="E303" s="2"/>
      <c r="F303" s="13"/>
      <c r="G303" s="13"/>
      <c r="H303" s="13"/>
      <c r="I303" s="13"/>
      <c r="J303" s="13"/>
      <c r="K303" s="13"/>
      <c r="L303" s="13"/>
      <c r="M303" s="13"/>
      <c r="N303" s="13"/>
    </row>
    <row r="304" spans="1:14">
      <c r="A304" s="12"/>
      <c r="B304" s="12"/>
      <c r="C304" s="12"/>
      <c r="D304" s="7"/>
      <c r="E304" s="2"/>
      <c r="F304" s="13"/>
      <c r="G304" s="13"/>
      <c r="H304" s="13"/>
      <c r="I304" s="13"/>
      <c r="J304" s="13"/>
      <c r="K304" s="13"/>
      <c r="L304" s="13"/>
      <c r="M304" s="13"/>
      <c r="N304" s="13"/>
    </row>
    <row r="305" spans="1:14">
      <c r="A305" s="12"/>
      <c r="B305" s="12"/>
      <c r="C305" s="12"/>
      <c r="D305" s="7"/>
      <c r="E305" s="2"/>
      <c r="F305" s="13"/>
      <c r="G305" s="13"/>
      <c r="H305" s="13"/>
      <c r="I305" s="13"/>
      <c r="J305" s="13"/>
      <c r="K305" s="13"/>
      <c r="L305" s="13"/>
      <c r="M305" s="13"/>
      <c r="N305" s="13"/>
    </row>
    <row r="306" spans="1:14">
      <c r="A306" s="12"/>
      <c r="B306" s="12"/>
      <c r="C306" s="12"/>
      <c r="D306" s="7"/>
      <c r="E306" s="2"/>
      <c r="F306" s="13"/>
      <c r="G306" s="13"/>
      <c r="H306" s="13"/>
      <c r="I306" s="13"/>
      <c r="J306" s="13"/>
      <c r="K306" s="13"/>
      <c r="L306" s="13"/>
      <c r="M306" s="13"/>
      <c r="N306" s="13"/>
    </row>
    <row r="307" spans="1:14">
      <c r="A307" s="12"/>
      <c r="B307" s="12"/>
      <c r="C307" s="12"/>
      <c r="D307" s="7"/>
      <c r="E307" s="2"/>
      <c r="F307" s="13"/>
      <c r="G307" s="13"/>
      <c r="H307" s="13"/>
      <c r="I307" s="13"/>
      <c r="J307" s="13"/>
      <c r="K307" s="13"/>
      <c r="L307" s="13"/>
      <c r="M307" s="13"/>
      <c r="N307" s="13"/>
    </row>
    <row r="308" spans="1:14">
      <c r="A308" s="12"/>
      <c r="B308" s="12"/>
      <c r="C308" s="12"/>
      <c r="D308" s="7"/>
      <c r="E308" s="2"/>
      <c r="F308" s="13"/>
      <c r="G308" s="13"/>
      <c r="H308" s="13"/>
      <c r="I308" s="13"/>
      <c r="J308" s="13"/>
      <c r="K308" s="13"/>
      <c r="L308" s="13"/>
      <c r="M308" s="13"/>
      <c r="N308" s="13"/>
    </row>
    <row r="309" spans="1:14">
      <c r="A309" s="12"/>
      <c r="B309" s="12"/>
      <c r="C309" s="12"/>
      <c r="D309" s="7"/>
      <c r="E309" s="2"/>
      <c r="F309" s="13"/>
      <c r="G309" s="13"/>
      <c r="H309" s="13"/>
      <c r="I309" s="13"/>
      <c r="J309" s="13"/>
      <c r="K309" s="13"/>
      <c r="L309" s="13"/>
      <c r="M309" s="13"/>
      <c r="N309" s="13"/>
    </row>
    <row r="310" spans="1:14">
      <c r="A310" s="12"/>
      <c r="B310" s="12"/>
      <c r="C310" s="12"/>
      <c r="D310" s="7"/>
      <c r="E310" s="2"/>
      <c r="F310" s="13"/>
      <c r="G310" s="13"/>
      <c r="H310" s="13"/>
      <c r="I310" s="13"/>
      <c r="J310" s="13"/>
      <c r="K310" s="13"/>
      <c r="L310" s="13"/>
      <c r="M310" s="13"/>
      <c r="N310" s="13"/>
    </row>
    <row r="311" spans="1:14">
      <c r="A311" s="12"/>
      <c r="B311" s="12"/>
      <c r="C311" s="12"/>
      <c r="D311" s="7"/>
      <c r="E311" s="2"/>
      <c r="F311" s="13"/>
      <c r="G311" s="13"/>
      <c r="H311" s="13"/>
      <c r="I311" s="13"/>
      <c r="J311" s="13"/>
      <c r="K311" s="13"/>
      <c r="L311" s="13"/>
      <c r="M311" s="13"/>
      <c r="N311" s="13"/>
    </row>
    <row r="312" spans="1:14">
      <c r="A312" s="12"/>
      <c r="B312" s="12"/>
      <c r="C312" s="12"/>
      <c r="D312" s="7"/>
      <c r="E312" s="2"/>
      <c r="F312" s="13"/>
      <c r="G312" s="13"/>
      <c r="H312" s="13"/>
      <c r="I312" s="13"/>
      <c r="J312" s="13"/>
      <c r="K312" s="13"/>
      <c r="L312" s="13"/>
      <c r="M312" s="13"/>
      <c r="N312" s="13"/>
    </row>
    <row r="313" spans="1:14">
      <c r="A313" s="12"/>
      <c r="B313" s="12"/>
      <c r="C313" s="12"/>
      <c r="D313" s="7"/>
      <c r="E313" s="2"/>
      <c r="F313" s="13"/>
      <c r="G313" s="13"/>
      <c r="H313" s="13"/>
      <c r="I313" s="13"/>
      <c r="J313" s="13"/>
      <c r="K313" s="13"/>
      <c r="L313" s="13"/>
      <c r="M313" s="13"/>
      <c r="N313" s="13"/>
    </row>
    <row r="314" spans="1:14">
      <c r="A314" s="12"/>
      <c r="B314" s="12"/>
      <c r="C314" s="12"/>
      <c r="D314" s="7"/>
      <c r="E314" s="2"/>
      <c r="F314" s="13"/>
      <c r="G314" s="13"/>
      <c r="H314" s="13"/>
      <c r="I314" s="13"/>
      <c r="J314" s="13"/>
      <c r="K314" s="13"/>
      <c r="L314" s="13"/>
      <c r="M314" s="13"/>
      <c r="N314" s="13"/>
    </row>
    <row r="315" spans="1:14">
      <c r="A315" s="12"/>
      <c r="B315" s="12"/>
      <c r="C315" s="12"/>
      <c r="D315" s="7"/>
      <c r="E315" s="2"/>
      <c r="F315" s="13"/>
      <c r="G315" s="13"/>
      <c r="H315" s="13"/>
      <c r="I315" s="13"/>
      <c r="J315" s="13"/>
      <c r="K315" s="13"/>
      <c r="L315" s="13"/>
      <c r="M315" s="13"/>
      <c r="N315" s="13"/>
    </row>
    <row r="316" spans="1:14">
      <c r="A316" s="12"/>
      <c r="B316" s="12"/>
      <c r="C316" s="12"/>
      <c r="D316" s="7"/>
      <c r="E316" s="2"/>
      <c r="F316" s="13"/>
      <c r="G316" s="13"/>
      <c r="H316" s="13"/>
      <c r="I316" s="13"/>
      <c r="J316" s="13"/>
      <c r="K316" s="13"/>
      <c r="L316" s="13"/>
      <c r="M316" s="13"/>
      <c r="N316" s="13"/>
    </row>
    <row r="317" spans="1:14">
      <c r="A317" s="12"/>
      <c r="B317" s="12"/>
      <c r="C317" s="12"/>
      <c r="D317" s="7"/>
      <c r="E317" s="2"/>
      <c r="F317" s="13"/>
      <c r="G317" s="13"/>
      <c r="H317" s="13"/>
      <c r="I317" s="13"/>
      <c r="J317" s="13"/>
      <c r="K317" s="13"/>
      <c r="L317" s="13"/>
      <c r="M317" s="13"/>
      <c r="N317" s="13"/>
    </row>
    <row r="318" spans="1:14">
      <c r="A318" s="12"/>
      <c r="B318" s="12"/>
      <c r="C318" s="12"/>
      <c r="D318" s="7"/>
      <c r="E318" s="2"/>
      <c r="F318" s="13"/>
      <c r="G318" s="13"/>
      <c r="H318" s="13"/>
      <c r="I318" s="13"/>
      <c r="J318" s="13"/>
      <c r="K318" s="13"/>
      <c r="L318" s="13"/>
      <c r="M318" s="13"/>
      <c r="N318" s="13"/>
    </row>
    <row r="319" spans="1:14">
      <c r="A319" s="12"/>
      <c r="B319" s="12"/>
      <c r="C319" s="12"/>
      <c r="D319" s="7"/>
      <c r="E319" s="2"/>
      <c r="F319" s="13"/>
      <c r="G319" s="13"/>
      <c r="H319" s="13"/>
      <c r="I319" s="13"/>
      <c r="J319" s="13"/>
      <c r="K319" s="13"/>
      <c r="L319" s="13"/>
      <c r="M319" s="13"/>
      <c r="N319" s="13"/>
    </row>
    <row r="320" spans="1:14">
      <c r="A320" s="12"/>
      <c r="B320" s="12"/>
      <c r="C320" s="12"/>
      <c r="D320" s="7"/>
      <c r="E320" s="2"/>
      <c r="F320" s="13"/>
      <c r="G320" s="13"/>
      <c r="H320" s="13"/>
      <c r="I320" s="13"/>
      <c r="J320" s="13"/>
      <c r="K320" s="13"/>
      <c r="L320" s="13"/>
      <c r="M320" s="13"/>
      <c r="N320" s="13"/>
    </row>
    <row r="321" spans="1:14">
      <c r="A321" s="12"/>
      <c r="B321" s="12"/>
      <c r="C321" s="12"/>
      <c r="D321" s="7"/>
      <c r="E321" s="2"/>
      <c r="F321" s="13"/>
      <c r="G321" s="13"/>
      <c r="H321" s="13"/>
      <c r="I321" s="13"/>
      <c r="J321" s="13"/>
      <c r="K321" s="13"/>
      <c r="L321" s="13"/>
      <c r="M321" s="13"/>
      <c r="N321" s="13"/>
    </row>
    <row r="322" spans="1:14">
      <c r="A322" s="12"/>
      <c r="B322" s="12"/>
      <c r="C322" s="12"/>
      <c r="D322" s="7"/>
      <c r="E322" s="2"/>
      <c r="F322" s="13"/>
      <c r="G322" s="13"/>
      <c r="H322" s="13"/>
      <c r="I322" s="13"/>
      <c r="J322" s="13"/>
      <c r="K322" s="13"/>
      <c r="L322" s="13"/>
      <c r="M322" s="13"/>
      <c r="N322" s="13"/>
    </row>
    <row r="323" spans="1:14">
      <c r="A323" s="12"/>
      <c r="B323" s="12"/>
      <c r="C323" s="12"/>
      <c r="D323" s="7"/>
      <c r="E323" s="2"/>
      <c r="F323" s="13"/>
      <c r="G323" s="13"/>
      <c r="H323" s="13"/>
      <c r="I323" s="13"/>
      <c r="J323" s="13"/>
      <c r="K323" s="13"/>
      <c r="L323" s="13"/>
      <c r="M323" s="13"/>
      <c r="N323" s="13"/>
    </row>
    <row r="324" spans="1:14">
      <c r="A324" s="12"/>
      <c r="B324" s="12"/>
      <c r="C324" s="12"/>
      <c r="D324" s="7"/>
      <c r="E324" s="2"/>
      <c r="F324" s="13"/>
      <c r="G324" s="13"/>
      <c r="H324" s="13"/>
      <c r="I324" s="13"/>
      <c r="J324" s="13"/>
      <c r="K324" s="13"/>
      <c r="L324" s="13"/>
      <c r="M324" s="13"/>
      <c r="N324" s="13"/>
    </row>
    <row r="325" spans="1:14">
      <c r="A325" s="12"/>
      <c r="B325" s="12"/>
      <c r="C325" s="12"/>
      <c r="D325" s="7"/>
      <c r="E325" s="2"/>
      <c r="F325" s="13"/>
      <c r="G325" s="13"/>
      <c r="H325" s="13"/>
      <c r="I325" s="13"/>
      <c r="J325" s="13"/>
      <c r="K325" s="13"/>
      <c r="L325" s="13"/>
      <c r="M325" s="13"/>
      <c r="N325" s="13"/>
    </row>
    <row r="326" spans="1:14">
      <c r="A326" s="12"/>
      <c r="B326" s="12"/>
      <c r="C326" s="12"/>
      <c r="D326" s="7"/>
      <c r="E326" s="2"/>
      <c r="F326" s="13"/>
      <c r="G326" s="13"/>
      <c r="H326" s="13"/>
      <c r="I326" s="13"/>
      <c r="J326" s="13"/>
      <c r="K326" s="13"/>
      <c r="L326" s="13"/>
      <c r="M326" s="13"/>
      <c r="N326" s="13"/>
    </row>
    <row r="327" spans="1:14">
      <c r="A327" s="12"/>
      <c r="B327" s="12"/>
      <c r="C327" s="12"/>
      <c r="D327" s="7"/>
      <c r="E327" s="2"/>
      <c r="F327" s="13"/>
      <c r="G327" s="13"/>
      <c r="H327" s="13"/>
      <c r="I327" s="13"/>
      <c r="J327" s="13"/>
      <c r="K327" s="13"/>
      <c r="L327" s="13"/>
      <c r="M327" s="13"/>
      <c r="N327" s="13"/>
    </row>
    <row r="328" spans="1:14">
      <c r="A328" s="12"/>
      <c r="B328" s="12"/>
      <c r="C328" s="12"/>
      <c r="D328" s="7"/>
      <c r="E328" s="2"/>
      <c r="F328" s="13"/>
      <c r="G328" s="13"/>
      <c r="H328" s="13"/>
      <c r="I328" s="13"/>
      <c r="J328" s="13"/>
      <c r="K328" s="13"/>
      <c r="L328" s="13"/>
      <c r="M328" s="13"/>
      <c r="N328" s="13"/>
    </row>
    <row r="329" spans="1:14">
      <c r="A329" s="12"/>
      <c r="B329" s="12"/>
      <c r="C329" s="12"/>
      <c r="D329" s="7"/>
      <c r="E329" s="2"/>
      <c r="F329" s="13"/>
      <c r="G329" s="13"/>
      <c r="H329" s="13"/>
      <c r="I329" s="13"/>
      <c r="J329" s="13"/>
      <c r="K329" s="13"/>
      <c r="L329" s="13"/>
      <c r="M329" s="13"/>
      <c r="N329" s="13"/>
    </row>
    <row r="330" spans="1:14">
      <c r="A330" s="12"/>
      <c r="B330" s="12"/>
      <c r="C330" s="12"/>
      <c r="D330" s="7"/>
      <c r="E330" s="2"/>
      <c r="F330" s="13"/>
      <c r="G330" s="13"/>
      <c r="H330" s="13"/>
      <c r="I330" s="13"/>
      <c r="J330" s="13"/>
      <c r="K330" s="13"/>
      <c r="L330" s="13"/>
      <c r="M330" s="13"/>
      <c r="N330" s="13"/>
    </row>
    <row r="331" spans="1:14">
      <c r="A331" s="12"/>
      <c r="B331" s="12"/>
      <c r="C331" s="12"/>
      <c r="D331" s="7"/>
      <c r="E331" s="2"/>
      <c r="F331" s="13"/>
      <c r="G331" s="13"/>
      <c r="H331" s="13"/>
      <c r="I331" s="13"/>
      <c r="J331" s="13"/>
      <c r="K331" s="13"/>
      <c r="L331" s="13"/>
      <c r="M331" s="13"/>
      <c r="N331" s="13"/>
    </row>
    <row r="332" spans="1:14">
      <c r="A332" s="12"/>
      <c r="B332" s="12"/>
      <c r="C332" s="12"/>
      <c r="D332" s="7"/>
      <c r="E332" s="2"/>
      <c r="F332" s="13"/>
      <c r="G332" s="13"/>
      <c r="H332" s="13"/>
      <c r="I332" s="13"/>
      <c r="J332" s="13"/>
      <c r="K332" s="13"/>
      <c r="L332" s="13"/>
      <c r="M332" s="13"/>
      <c r="N332" s="13"/>
    </row>
    <row r="333" spans="1:14">
      <c r="A333" s="12"/>
      <c r="B333" s="12"/>
      <c r="C333" s="12"/>
      <c r="D333" s="7"/>
      <c r="E333" s="2"/>
      <c r="F333" s="13"/>
      <c r="G333" s="13"/>
      <c r="H333" s="13"/>
      <c r="I333" s="13"/>
      <c r="J333" s="13"/>
      <c r="K333" s="13"/>
      <c r="L333" s="13"/>
      <c r="M333" s="13"/>
      <c r="N333" s="13"/>
    </row>
    <row r="334" spans="1:14">
      <c r="A334" s="12"/>
      <c r="B334" s="12"/>
      <c r="C334" s="12"/>
      <c r="D334" s="7"/>
      <c r="E334" s="2"/>
      <c r="F334" s="13"/>
      <c r="G334" s="13"/>
      <c r="H334" s="13"/>
      <c r="I334" s="13"/>
      <c r="J334" s="13"/>
      <c r="K334" s="13"/>
      <c r="L334" s="13"/>
      <c r="M334" s="13"/>
      <c r="N334" s="13"/>
    </row>
    <row r="335" spans="1:14">
      <c r="A335" s="12"/>
      <c r="B335" s="12"/>
      <c r="C335" s="12"/>
      <c r="D335" s="7"/>
      <c r="E335" s="2"/>
      <c r="F335" s="13"/>
      <c r="G335" s="13"/>
      <c r="H335" s="13"/>
      <c r="I335" s="13"/>
      <c r="J335" s="13"/>
      <c r="K335" s="13"/>
      <c r="L335" s="13"/>
      <c r="M335" s="13"/>
      <c r="N335" s="13"/>
    </row>
    <row r="336" spans="1:14">
      <c r="A336" s="12"/>
      <c r="B336" s="12"/>
      <c r="C336" s="12"/>
      <c r="D336" s="7"/>
      <c r="E336" s="2"/>
      <c r="F336" s="13"/>
      <c r="G336" s="13"/>
      <c r="H336" s="13"/>
      <c r="I336" s="13"/>
      <c r="J336" s="13"/>
      <c r="K336" s="13"/>
      <c r="L336" s="13"/>
      <c r="M336" s="13"/>
      <c r="N336" s="13"/>
    </row>
    <row r="337" spans="1:14">
      <c r="A337" s="12"/>
      <c r="B337" s="12"/>
      <c r="C337" s="12"/>
      <c r="D337" s="7"/>
      <c r="E337" s="2"/>
      <c r="F337" s="13"/>
      <c r="G337" s="13"/>
      <c r="H337" s="13"/>
      <c r="I337" s="13"/>
      <c r="J337" s="13"/>
      <c r="K337" s="13"/>
      <c r="L337" s="13"/>
      <c r="M337" s="13"/>
      <c r="N337" s="13"/>
    </row>
    <row r="338" spans="1:14">
      <c r="A338" s="12"/>
      <c r="B338" s="12"/>
      <c r="C338" s="12"/>
      <c r="D338" s="7"/>
      <c r="E338" s="2"/>
      <c r="F338" s="13"/>
      <c r="G338" s="13"/>
      <c r="H338" s="13"/>
      <c r="I338" s="13"/>
      <c r="J338" s="13"/>
      <c r="K338" s="13"/>
      <c r="L338" s="13"/>
      <c r="M338" s="13"/>
      <c r="N338" s="13"/>
    </row>
    <row r="339" spans="1:14">
      <c r="A339" s="12"/>
      <c r="B339" s="12"/>
      <c r="C339" s="12"/>
      <c r="D339" s="7"/>
      <c r="E339" s="2"/>
      <c r="F339" s="13"/>
      <c r="G339" s="13"/>
      <c r="H339" s="13"/>
      <c r="I339" s="13"/>
      <c r="J339" s="13"/>
      <c r="K339" s="13"/>
      <c r="L339" s="13"/>
      <c r="M339" s="13"/>
      <c r="N339" s="13"/>
    </row>
    <row r="340" spans="1:14">
      <c r="A340" s="12"/>
      <c r="B340" s="12"/>
      <c r="C340" s="12"/>
      <c r="D340" s="7"/>
      <c r="E340" s="2"/>
      <c r="F340" s="13"/>
      <c r="G340" s="13"/>
      <c r="H340" s="13"/>
      <c r="I340" s="13"/>
      <c r="J340" s="13"/>
      <c r="K340" s="13"/>
      <c r="L340" s="13"/>
      <c r="M340" s="13"/>
      <c r="N340" s="13"/>
    </row>
    <row r="341" spans="1:14">
      <c r="A341" s="12"/>
      <c r="B341" s="12"/>
      <c r="C341" s="12"/>
      <c r="D341" s="7"/>
      <c r="E341" s="2"/>
      <c r="F341" s="13"/>
      <c r="G341" s="13"/>
      <c r="H341" s="13"/>
      <c r="I341" s="13"/>
      <c r="J341" s="13"/>
      <c r="K341" s="13"/>
      <c r="L341" s="13"/>
      <c r="M341" s="13"/>
      <c r="N341" s="13"/>
    </row>
    <row r="342" spans="1:14">
      <c r="A342" s="12"/>
      <c r="B342" s="12"/>
      <c r="C342" s="12"/>
      <c r="D342" s="7"/>
      <c r="E342" s="2"/>
      <c r="F342" s="13"/>
      <c r="G342" s="13"/>
      <c r="H342" s="13"/>
      <c r="I342" s="13"/>
      <c r="J342" s="13"/>
      <c r="K342" s="13"/>
      <c r="L342" s="13"/>
      <c r="M342" s="13"/>
      <c r="N342" s="13"/>
    </row>
    <row r="343" spans="1:14">
      <c r="A343" s="12"/>
      <c r="B343" s="12"/>
      <c r="C343" s="12"/>
      <c r="D343" s="7"/>
      <c r="E343" s="2"/>
      <c r="F343" s="13"/>
      <c r="G343" s="13"/>
      <c r="H343" s="13"/>
      <c r="I343" s="13"/>
      <c r="J343" s="13"/>
      <c r="K343" s="13"/>
      <c r="L343" s="13"/>
      <c r="M343" s="13"/>
      <c r="N343" s="13"/>
    </row>
    <row r="344" spans="1:14">
      <c r="A344" s="12"/>
      <c r="B344" s="12"/>
      <c r="C344" s="12"/>
      <c r="D344" s="7"/>
      <c r="E344" s="2"/>
      <c r="F344" s="13"/>
      <c r="G344" s="13"/>
      <c r="H344" s="13"/>
      <c r="I344" s="13"/>
      <c r="J344" s="13"/>
      <c r="K344" s="13"/>
      <c r="L344" s="13"/>
      <c r="M344" s="13"/>
      <c r="N344" s="13"/>
    </row>
    <row r="345" spans="1:14">
      <c r="A345" s="12"/>
      <c r="B345" s="12"/>
      <c r="C345" s="12"/>
      <c r="D345" s="7"/>
      <c r="E345" s="2"/>
      <c r="F345" s="13"/>
      <c r="G345" s="13"/>
      <c r="H345" s="13"/>
      <c r="I345" s="13"/>
      <c r="J345" s="13"/>
      <c r="K345" s="13"/>
      <c r="L345" s="13"/>
      <c r="M345" s="13"/>
      <c r="N345" s="13"/>
    </row>
    <row r="346" spans="1:14">
      <c r="A346" s="12"/>
      <c r="B346" s="12"/>
      <c r="C346" s="12"/>
      <c r="D346" s="7"/>
      <c r="E346" s="2"/>
      <c r="F346" s="13"/>
      <c r="G346" s="13"/>
      <c r="H346" s="13"/>
      <c r="I346" s="13"/>
      <c r="J346" s="13"/>
      <c r="K346" s="13"/>
      <c r="L346" s="13"/>
      <c r="M346" s="13"/>
      <c r="N346" s="13"/>
    </row>
    <row r="347" spans="1:14">
      <c r="A347" s="12"/>
      <c r="B347" s="12"/>
      <c r="C347" s="12"/>
      <c r="D347" s="7"/>
      <c r="E347" s="2"/>
      <c r="F347" s="13"/>
      <c r="G347" s="13"/>
      <c r="H347" s="13"/>
      <c r="I347" s="13"/>
      <c r="J347" s="13"/>
      <c r="K347" s="13"/>
      <c r="L347" s="13"/>
      <c r="M347" s="13"/>
      <c r="N347" s="13"/>
    </row>
    <row r="348" spans="1:14">
      <c r="A348" s="12"/>
      <c r="B348" s="12"/>
      <c r="C348" s="12"/>
      <c r="D348" s="7"/>
      <c r="E348" s="2"/>
      <c r="F348" s="13"/>
      <c r="G348" s="13"/>
      <c r="H348" s="13"/>
      <c r="I348" s="13"/>
      <c r="J348" s="13"/>
      <c r="K348" s="13"/>
      <c r="L348" s="13"/>
      <c r="M348" s="13"/>
      <c r="N348" s="13"/>
    </row>
    <row r="349" spans="1:14">
      <c r="A349" s="12"/>
      <c r="B349" s="12"/>
      <c r="C349" s="12"/>
      <c r="D349" s="7"/>
      <c r="E349" s="2"/>
      <c r="F349" s="13"/>
      <c r="G349" s="13"/>
      <c r="H349" s="13"/>
      <c r="I349" s="13"/>
      <c r="J349" s="13"/>
      <c r="K349" s="13"/>
      <c r="L349" s="13"/>
      <c r="M349" s="13"/>
      <c r="N349" s="13"/>
    </row>
    <row r="350" spans="1:14">
      <c r="A350" s="12"/>
      <c r="B350" s="12"/>
      <c r="C350" s="12"/>
      <c r="D350" s="7"/>
      <c r="E350" s="2"/>
      <c r="F350" s="13"/>
      <c r="G350" s="13"/>
      <c r="H350" s="13"/>
      <c r="I350" s="13"/>
      <c r="J350" s="13"/>
      <c r="K350" s="13"/>
      <c r="L350" s="13"/>
      <c r="M350" s="13"/>
      <c r="N350" s="13"/>
    </row>
    <row r="351" spans="1:14">
      <c r="A351" s="12"/>
      <c r="B351" s="12"/>
      <c r="C351" s="12"/>
      <c r="D351" s="7"/>
      <c r="E351" s="2"/>
      <c r="F351" s="13"/>
      <c r="G351" s="13"/>
      <c r="H351" s="13"/>
      <c r="I351" s="13"/>
      <c r="J351" s="13"/>
      <c r="K351" s="13"/>
      <c r="L351" s="13"/>
      <c r="M351" s="13"/>
      <c r="N351" s="13"/>
    </row>
    <row r="352" spans="1:14">
      <c r="A352" s="12"/>
      <c r="B352" s="12"/>
      <c r="C352" s="12"/>
      <c r="D352" s="7"/>
      <c r="E352" s="2"/>
      <c r="F352" s="13"/>
      <c r="G352" s="13"/>
      <c r="H352" s="13"/>
      <c r="I352" s="13"/>
      <c r="J352" s="13"/>
      <c r="K352" s="13"/>
      <c r="L352" s="13"/>
      <c r="M352" s="13"/>
      <c r="N352" s="13"/>
    </row>
    <row r="353" spans="1:14">
      <c r="A353" s="12"/>
      <c r="B353" s="12"/>
      <c r="C353" s="12"/>
      <c r="D353" s="7"/>
      <c r="E353" s="2"/>
      <c r="F353" s="13"/>
      <c r="G353" s="13"/>
      <c r="H353" s="13"/>
      <c r="I353" s="13"/>
      <c r="J353" s="13"/>
      <c r="K353" s="13"/>
      <c r="L353" s="13"/>
      <c r="M353" s="13"/>
      <c r="N353" s="13"/>
    </row>
    <row r="354" spans="1:14">
      <c r="A354" s="12"/>
      <c r="B354" s="12"/>
      <c r="C354" s="12"/>
      <c r="D354" s="7"/>
      <c r="E354" s="2"/>
      <c r="F354" s="13"/>
      <c r="G354" s="13"/>
      <c r="H354" s="13"/>
      <c r="I354" s="13"/>
      <c r="J354" s="13"/>
      <c r="K354" s="13"/>
      <c r="L354" s="13"/>
      <c r="M354" s="13"/>
      <c r="N354" s="13"/>
    </row>
    <row r="355" spans="1:14">
      <c r="A355" s="12"/>
      <c r="B355" s="12"/>
      <c r="C355" s="12"/>
      <c r="D355" s="7"/>
      <c r="E355" s="2"/>
      <c r="F355" s="13"/>
      <c r="G355" s="13"/>
      <c r="H355" s="13"/>
      <c r="I355" s="13"/>
      <c r="J355" s="13"/>
      <c r="K355" s="13"/>
      <c r="L355" s="13"/>
      <c r="M355" s="13"/>
      <c r="N355" s="13"/>
    </row>
    <row r="356" spans="1:14">
      <c r="A356" s="12"/>
      <c r="B356" s="12"/>
      <c r="C356" s="12"/>
      <c r="D356" s="7"/>
      <c r="E356" s="2"/>
      <c r="F356" s="13"/>
      <c r="G356" s="13"/>
      <c r="H356" s="13"/>
      <c r="I356" s="13"/>
      <c r="J356" s="13"/>
      <c r="K356" s="13"/>
      <c r="L356" s="13"/>
      <c r="M356" s="13"/>
      <c r="N356" s="13"/>
    </row>
    <row r="357" spans="1:14">
      <c r="A357" s="12"/>
      <c r="B357" s="12"/>
      <c r="C357" s="12"/>
      <c r="D357" s="7"/>
      <c r="E357" s="2"/>
      <c r="F357" s="13"/>
      <c r="G357" s="13"/>
      <c r="H357" s="13"/>
      <c r="I357" s="13"/>
      <c r="J357" s="13"/>
      <c r="K357" s="13"/>
      <c r="L357" s="13"/>
      <c r="M357" s="13"/>
      <c r="N357" s="13"/>
    </row>
    <row r="358" spans="1:14">
      <c r="A358" s="12"/>
      <c r="B358" s="12"/>
      <c r="C358" s="12"/>
      <c r="D358" s="7"/>
      <c r="E358" s="2"/>
      <c r="F358" s="13"/>
      <c r="G358" s="13"/>
      <c r="H358" s="13"/>
      <c r="I358" s="13"/>
      <c r="J358" s="13"/>
      <c r="K358" s="13"/>
      <c r="L358" s="13"/>
      <c r="M358" s="13"/>
      <c r="N358" s="13"/>
    </row>
    <row r="359" spans="1:14">
      <c r="A359" s="12"/>
      <c r="B359" s="12"/>
      <c r="C359" s="12"/>
      <c r="D359" s="7"/>
      <c r="E359" s="2"/>
      <c r="F359" s="13"/>
      <c r="G359" s="13"/>
      <c r="H359" s="13"/>
      <c r="I359" s="13"/>
      <c r="J359" s="13"/>
      <c r="K359" s="13"/>
      <c r="L359" s="13"/>
      <c r="M359" s="13"/>
      <c r="N359" s="13"/>
    </row>
    <row r="360" spans="1:14">
      <c r="A360" s="12"/>
      <c r="B360" s="12"/>
      <c r="C360" s="12"/>
      <c r="D360" s="7"/>
      <c r="E360" s="2"/>
      <c r="F360" s="13"/>
      <c r="G360" s="13"/>
      <c r="H360" s="13"/>
      <c r="I360" s="13"/>
      <c r="J360" s="13"/>
      <c r="K360" s="13"/>
      <c r="L360" s="13"/>
      <c r="M360" s="13"/>
      <c r="N360" s="13"/>
    </row>
    <row r="361" spans="1:14">
      <c r="A361" s="12"/>
      <c r="B361" s="12"/>
      <c r="C361" s="12"/>
      <c r="D361" s="7"/>
      <c r="E361" s="2"/>
      <c r="F361" s="13"/>
      <c r="G361" s="13"/>
      <c r="H361" s="13"/>
      <c r="I361" s="13"/>
      <c r="J361" s="13"/>
      <c r="K361" s="13"/>
      <c r="L361" s="13"/>
      <c r="M361" s="13"/>
      <c r="N361" s="13"/>
    </row>
    <row r="362" spans="1:14">
      <c r="A362" s="12"/>
      <c r="B362" s="12"/>
      <c r="C362" s="12"/>
      <c r="D362" s="7"/>
      <c r="E362" s="2"/>
      <c r="F362" s="13"/>
      <c r="G362" s="13"/>
      <c r="H362" s="13"/>
      <c r="I362" s="13"/>
      <c r="J362" s="13"/>
      <c r="K362" s="13"/>
      <c r="L362" s="13"/>
      <c r="M362" s="13"/>
      <c r="N362" s="13"/>
    </row>
    <row r="363" spans="1:14">
      <c r="A363" s="12"/>
      <c r="B363" s="12"/>
      <c r="C363" s="12"/>
      <c r="D363" s="7"/>
      <c r="E363" s="2"/>
      <c r="F363" s="13"/>
      <c r="G363" s="13"/>
      <c r="H363" s="13"/>
      <c r="I363" s="13"/>
      <c r="J363" s="13"/>
      <c r="K363" s="13"/>
      <c r="L363" s="13"/>
      <c r="M363" s="13"/>
      <c r="N363" s="13"/>
    </row>
    <row r="364" spans="1:14">
      <c r="A364" s="12"/>
      <c r="B364" s="12"/>
      <c r="C364" s="12"/>
      <c r="D364" s="7"/>
      <c r="E364" s="2"/>
      <c r="F364" s="13"/>
      <c r="G364" s="13"/>
      <c r="H364" s="13"/>
      <c r="I364" s="13"/>
      <c r="J364" s="13"/>
      <c r="K364" s="13"/>
      <c r="L364" s="13"/>
      <c r="M364" s="13"/>
      <c r="N364" s="13"/>
    </row>
    <row r="365" spans="1:14">
      <c r="A365" s="12"/>
      <c r="B365" s="12"/>
      <c r="C365" s="12"/>
      <c r="D365" s="7"/>
      <c r="E365" s="2"/>
      <c r="F365" s="13"/>
      <c r="G365" s="13"/>
      <c r="H365" s="13"/>
      <c r="I365" s="13"/>
      <c r="J365" s="13"/>
      <c r="K365" s="13"/>
      <c r="L365" s="13"/>
      <c r="M365" s="13"/>
      <c r="N365" s="13"/>
    </row>
    <row r="366" spans="1:14">
      <c r="A366" s="12"/>
      <c r="B366" s="12"/>
      <c r="C366" s="12"/>
      <c r="D366" s="7"/>
      <c r="E366" s="2"/>
      <c r="F366" s="13"/>
      <c r="G366" s="13"/>
      <c r="H366" s="13"/>
      <c r="I366" s="13"/>
      <c r="J366" s="13"/>
      <c r="K366" s="13"/>
      <c r="L366" s="13"/>
      <c r="M366" s="13"/>
      <c r="N366" s="13"/>
    </row>
    <row r="367" spans="1:14">
      <c r="A367" s="12"/>
      <c r="B367" s="12"/>
      <c r="C367" s="12"/>
      <c r="D367" s="7"/>
      <c r="E367" s="2"/>
      <c r="F367" s="13"/>
      <c r="G367" s="13"/>
      <c r="H367" s="13"/>
      <c r="I367" s="13"/>
      <c r="J367" s="13"/>
      <c r="K367" s="13"/>
      <c r="L367" s="13"/>
      <c r="M367" s="13"/>
      <c r="N367" s="13"/>
    </row>
    <row r="368" spans="1:14">
      <c r="A368" s="12"/>
      <c r="B368" s="12"/>
      <c r="C368" s="12"/>
      <c r="D368" s="7"/>
      <c r="E368" s="2"/>
      <c r="F368" s="13"/>
      <c r="G368" s="13"/>
      <c r="H368" s="13"/>
      <c r="I368" s="13"/>
      <c r="J368" s="13"/>
      <c r="K368" s="13"/>
      <c r="L368" s="13"/>
      <c r="M368" s="13"/>
      <c r="N368" s="13"/>
    </row>
    <row r="369" spans="1:14">
      <c r="A369" s="12"/>
      <c r="B369" s="12"/>
      <c r="C369" s="12"/>
      <c r="D369" s="7"/>
      <c r="E369" s="2"/>
      <c r="F369" s="13"/>
      <c r="G369" s="13"/>
      <c r="H369" s="13"/>
      <c r="I369" s="13"/>
      <c r="J369" s="13"/>
      <c r="K369" s="13"/>
      <c r="L369" s="13"/>
      <c r="M369" s="13"/>
      <c r="N369" s="13"/>
    </row>
    <row r="370" spans="1:14">
      <c r="A370" s="12"/>
      <c r="B370" s="12"/>
      <c r="C370" s="12"/>
      <c r="D370" s="7"/>
      <c r="E370" s="2"/>
      <c r="F370" s="13"/>
      <c r="G370" s="13"/>
      <c r="H370" s="13"/>
      <c r="I370" s="13"/>
      <c r="J370" s="13"/>
      <c r="K370" s="13"/>
      <c r="L370" s="13"/>
      <c r="M370" s="13"/>
      <c r="N370" s="13"/>
    </row>
    <row r="371" spans="1:14">
      <c r="A371" s="12"/>
      <c r="B371" s="12"/>
      <c r="C371" s="12"/>
      <c r="D371" s="7"/>
      <c r="E371" s="2"/>
      <c r="F371" s="13"/>
      <c r="G371" s="13"/>
      <c r="H371" s="13"/>
      <c r="I371" s="13"/>
      <c r="J371" s="13"/>
      <c r="K371" s="13"/>
      <c r="L371" s="13"/>
      <c r="M371" s="13"/>
      <c r="N371" s="13"/>
    </row>
    <row r="372" spans="1:14">
      <c r="A372" s="12"/>
      <c r="B372" s="12"/>
      <c r="C372" s="12"/>
      <c r="D372" s="7"/>
      <c r="E372" s="2"/>
      <c r="F372" s="13"/>
      <c r="G372" s="13"/>
      <c r="H372" s="13"/>
      <c r="I372" s="13"/>
      <c r="J372" s="13"/>
      <c r="K372" s="13"/>
      <c r="L372" s="13"/>
      <c r="M372" s="13"/>
      <c r="N372" s="13"/>
    </row>
    <row r="373" spans="1:14">
      <c r="A373" s="12"/>
      <c r="B373" s="12"/>
      <c r="C373" s="12"/>
      <c r="D373" s="7"/>
      <c r="E373" s="2"/>
      <c r="F373" s="13"/>
      <c r="G373" s="13"/>
      <c r="H373" s="13"/>
      <c r="I373" s="13"/>
      <c r="J373" s="13"/>
      <c r="K373" s="13"/>
      <c r="L373" s="13"/>
      <c r="M373" s="13"/>
      <c r="N373" s="13"/>
    </row>
    <row r="374" spans="1:14">
      <c r="A374" s="12"/>
      <c r="B374" s="12"/>
      <c r="C374" s="12"/>
      <c r="D374" s="7"/>
      <c r="E374" s="2"/>
      <c r="F374" s="13"/>
      <c r="G374" s="13"/>
      <c r="H374" s="13"/>
      <c r="I374" s="13"/>
      <c r="J374" s="13"/>
      <c r="K374" s="13"/>
      <c r="L374" s="13"/>
      <c r="M374" s="13"/>
      <c r="N374" s="13"/>
    </row>
    <row r="375" spans="1:14">
      <c r="A375" s="12"/>
      <c r="B375" s="12"/>
      <c r="C375" s="12"/>
      <c r="D375" s="7"/>
      <c r="E375" s="2"/>
      <c r="F375" s="13"/>
      <c r="G375" s="13"/>
      <c r="H375" s="13"/>
      <c r="I375" s="13"/>
      <c r="J375" s="13"/>
      <c r="K375" s="13"/>
      <c r="L375" s="13"/>
      <c r="M375" s="13"/>
      <c r="N375" s="13"/>
    </row>
    <row r="376" spans="1:14">
      <c r="A376" s="12"/>
      <c r="B376" s="12"/>
      <c r="C376" s="12"/>
      <c r="D376" s="7"/>
      <c r="E376" s="2"/>
      <c r="F376" s="13"/>
      <c r="G376" s="13"/>
      <c r="H376" s="13"/>
      <c r="I376" s="13"/>
      <c r="J376" s="13"/>
      <c r="K376" s="13"/>
      <c r="L376" s="13"/>
      <c r="M376" s="13"/>
      <c r="N376" s="13"/>
    </row>
    <row r="377" spans="1:14">
      <c r="A377" s="12"/>
      <c r="B377" s="12"/>
      <c r="C377" s="12"/>
      <c r="D377" s="7"/>
      <c r="E377" s="2"/>
      <c r="F377" s="13"/>
      <c r="G377" s="13"/>
      <c r="H377" s="13"/>
      <c r="I377" s="13"/>
      <c r="J377" s="13"/>
      <c r="K377" s="13"/>
      <c r="L377" s="13"/>
      <c r="M377" s="13"/>
      <c r="N377" s="13"/>
    </row>
    <row r="378" spans="1:14">
      <c r="A378" s="12"/>
      <c r="B378" s="12"/>
      <c r="C378" s="12"/>
      <c r="D378" s="7"/>
      <c r="E378" s="2"/>
      <c r="F378" s="13"/>
      <c r="G378" s="13"/>
      <c r="H378" s="13"/>
      <c r="I378" s="13"/>
      <c r="J378" s="13"/>
      <c r="K378" s="13"/>
      <c r="L378" s="13"/>
      <c r="M378" s="13"/>
      <c r="N378" s="13"/>
    </row>
    <row r="379" spans="1:14">
      <c r="A379" s="12"/>
      <c r="B379" s="12"/>
      <c r="C379" s="12"/>
      <c r="D379" s="7"/>
      <c r="E379" s="2"/>
      <c r="F379" s="13"/>
      <c r="G379" s="13"/>
      <c r="H379" s="13"/>
      <c r="I379" s="13"/>
      <c r="J379" s="13"/>
      <c r="K379" s="13"/>
      <c r="L379" s="13"/>
      <c r="M379" s="13"/>
      <c r="N379" s="13"/>
    </row>
    <row r="380" spans="1:14">
      <c r="A380" s="12"/>
      <c r="B380" s="12"/>
      <c r="C380" s="12"/>
      <c r="D380" s="7"/>
      <c r="E380" s="2"/>
      <c r="F380" s="13"/>
      <c r="G380" s="13"/>
      <c r="H380" s="13"/>
      <c r="I380" s="13"/>
      <c r="J380" s="13"/>
      <c r="K380" s="13"/>
      <c r="L380" s="13"/>
      <c r="M380" s="13"/>
      <c r="N380" s="13"/>
    </row>
    <row r="381" spans="1:14">
      <c r="A381" s="12"/>
      <c r="B381" s="12"/>
      <c r="C381" s="12"/>
      <c r="D381" s="7"/>
      <c r="E381" s="2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>
      <c r="A382" s="12"/>
      <c r="B382" s="12"/>
      <c r="C382" s="12"/>
      <c r="D382" s="7"/>
      <c r="E382" s="2"/>
      <c r="F382" s="13"/>
      <c r="G382" s="13"/>
      <c r="H382" s="13"/>
      <c r="I382" s="13"/>
      <c r="J382" s="13"/>
      <c r="K382" s="13"/>
      <c r="L382" s="13"/>
      <c r="M382" s="13"/>
      <c r="N382" s="13"/>
    </row>
    <row r="383" spans="1:14">
      <c r="A383" s="12"/>
      <c r="B383" s="12"/>
      <c r="C383" s="12"/>
      <c r="D383" s="7"/>
      <c r="E383" s="2"/>
      <c r="F383" s="13"/>
      <c r="G383" s="13"/>
      <c r="H383" s="13"/>
      <c r="I383" s="13"/>
      <c r="J383" s="13"/>
      <c r="K383" s="13"/>
      <c r="L383" s="13"/>
      <c r="M383" s="13"/>
      <c r="N383" s="13"/>
    </row>
    <row r="384" spans="1:14">
      <c r="A384" s="12"/>
      <c r="B384" s="12"/>
      <c r="C384" s="12"/>
      <c r="D384" s="7"/>
      <c r="E384" s="2"/>
      <c r="F384" s="13"/>
      <c r="G384" s="13"/>
      <c r="H384" s="13"/>
      <c r="I384" s="13"/>
      <c r="J384" s="13"/>
      <c r="K384" s="13"/>
      <c r="L384" s="13"/>
      <c r="M384" s="13"/>
      <c r="N384" s="13"/>
    </row>
    <row r="385" spans="1:14">
      <c r="A385" s="12"/>
      <c r="B385" s="12"/>
      <c r="C385" s="12"/>
      <c r="D385" s="7"/>
      <c r="E385" s="2"/>
      <c r="F385" s="13"/>
      <c r="G385" s="13"/>
      <c r="H385" s="13"/>
      <c r="I385" s="13"/>
      <c r="J385" s="13"/>
      <c r="K385" s="13"/>
      <c r="L385" s="13"/>
      <c r="M385" s="13"/>
      <c r="N385" s="13"/>
    </row>
    <row r="386" spans="1:14">
      <c r="A386" s="12"/>
      <c r="B386" s="12"/>
      <c r="C386" s="12"/>
      <c r="D386" s="7"/>
      <c r="E386" s="2"/>
      <c r="F386" s="13"/>
      <c r="G386" s="13"/>
      <c r="H386" s="13"/>
      <c r="I386" s="13"/>
      <c r="J386" s="13"/>
      <c r="K386" s="13"/>
      <c r="L386" s="13"/>
      <c r="M386" s="13"/>
      <c r="N386" s="13"/>
    </row>
    <row r="387" spans="1:14">
      <c r="A387" s="12"/>
      <c r="B387" s="12"/>
      <c r="C387" s="12"/>
      <c r="D387" s="7"/>
      <c r="E387" s="2"/>
      <c r="F387" s="13"/>
      <c r="G387" s="13"/>
      <c r="H387" s="13"/>
      <c r="I387" s="13"/>
      <c r="J387" s="13"/>
      <c r="K387" s="13"/>
      <c r="L387" s="13"/>
      <c r="M387" s="13"/>
      <c r="N387" s="13"/>
    </row>
    <row r="388" spans="1:14">
      <c r="A388" s="12"/>
      <c r="B388" s="12"/>
      <c r="C388" s="12"/>
      <c r="D388" s="7"/>
      <c r="E388" s="2"/>
      <c r="F388" s="13"/>
      <c r="G388" s="13"/>
      <c r="H388" s="13"/>
      <c r="I388" s="13"/>
      <c r="J388" s="13"/>
      <c r="K388" s="13"/>
      <c r="L388" s="13"/>
      <c r="M388" s="13"/>
      <c r="N388" s="13"/>
    </row>
    <row r="389" spans="1:14">
      <c r="A389" s="12"/>
      <c r="B389" s="12"/>
      <c r="C389" s="12"/>
      <c r="D389" s="7"/>
      <c r="E389" s="2"/>
      <c r="F389" s="13"/>
      <c r="G389" s="13"/>
      <c r="H389" s="13"/>
      <c r="I389" s="13"/>
      <c r="J389" s="13"/>
      <c r="K389" s="13"/>
      <c r="L389" s="13"/>
      <c r="M389" s="13"/>
      <c r="N389" s="13"/>
    </row>
    <row r="390" spans="1:14">
      <c r="A390" s="12"/>
      <c r="B390" s="12"/>
      <c r="C390" s="12"/>
      <c r="D390" s="7"/>
      <c r="E390" s="2"/>
      <c r="F390" s="13"/>
      <c r="G390" s="13"/>
      <c r="H390" s="13"/>
      <c r="I390" s="13"/>
      <c r="J390" s="13"/>
      <c r="K390" s="13"/>
      <c r="L390" s="13"/>
      <c r="M390" s="13"/>
      <c r="N390" s="13"/>
    </row>
    <row r="391" spans="1:14">
      <c r="A391" s="12"/>
      <c r="B391" s="12"/>
      <c r="C391" s="12"/>
      <c r="D391" s="7"/>
      <c r="E391" s="2"/>
      <c r="F391" s="13"/>
      <c r="G391" s="13"/>
      <c r="H391" s="13"/>
      <c r="I391" s="13"/>
      <c r="J391" s="13"/>
      <c r="K391" s="13"/>
      <c r="L391" s="13"/>
      <c r="M391" s="13"/>
      <c r="N391" s="13"/>
    </row>
    <row r="392" spans="1:14">
      <c r="A392" s="12"/>
      <c r="B392" s="12"/>
      <c r="C392" s="12"/>
      <c r="D392" s="7"/>
      <c r="E392" s="2"/>
      <c r="F392" s="13"/>
      <c r="G392" s="13"/>
      <c r="H392" s="13"/>
      <c r="I392" s="13"/>
      <c r="J392" s="13"/>
      <c r="K392" s="13"/>
      <c r="L392" s="13"/>
      <c r="M392" s="13"/>
      <c r="N392" s="13"/>
    </row>
    <row r="393" spans="1:14">
      <c r="A393" s="12"/>
      <c r="B393" s="12"/>
      <c r="C393" s="12"/>
      <c r="D393" s="7"/>
      <c r="E393" s="2"/>
      <c r="F393" s="13"/>
      <c r="G393" s="13"/>
      <c r="H393" s="13"/>
      <c r="I393" s="13"/>
      <c r="J393" s="13"/>
      <c r="K393" s="13"/>
      <c r="L393" s="13"/>
      <c r="M393" s="13"/>
      <c r="N393" s="13"/>
    </row>
    <row r="394" spans="1:14">
      <c r="A394" s="12"/>
      <c r="B394" s="12"/>
      <c r="C394" s="12"/>
      <c r="D394" s="7"/>
      <c r="E394" s="2"/>
      <c r="F394" s="13"/>
      <c r="G394" s="13"/>
      <c r="H394" s="13"/>
      <c r="I394" s="13"/>
      <c r="J394" s="13"/>
      <c r="K394" s="13"/>
      <c r="L394" s="13"/>
      <c r="M394" s="13"/>
      <c r="N394" s="13"/>
    </row>
    <row r="395" spans="1:14">
      <c r="A395" s="12"/>
      <c r="B395" s="12"/>
      <c r="C395" s="12"/>
      <c r="D395" s="7"/>
      <c r="E395" s="2"/>
      <c r="F395" s="13"/>
      <c r="G395" s="13"/>
      <c r="H395" s="13"/>
      <c r="I395" s="13"/>
      <c r="J395" s="13"/>
      <c r="K395" s="13"/>
      <c r="L395" s="13"/>
      <c r="M395" s="13"/>
      <c r="N395" s="13"/>
    </row>
    <row r="396" spans="1:14">
      <c r="A396" s="12"/>
      <c r="B396" s="12"/>
      <c r="C396" s="12"/>
      <c r="D396" s="7"/>
      <c r="E396" s="2"/>
      <c r="F396" s="13"/>
      <c r="G396" s="13"/>
      <c r="H396" s="13"/>
      <c r="I396" s="13"/>
      <c r="J396" s="13"/>
      <c r="K396" s="13"/>
      <c r="L396" s="13"/>
      <c r="M396" s="13"/>
      <c r="N396" s="13"/>
    </row>
    <row r="397" spans="1:14">
      <c r="A397" s="12"/>
      <c r="B397" s="12"/>
      <c r="C397" s="12"/>
      <c r="D397" s="7"/>
      <c r="E397" s="2"/>
      <c r="F397" s="13"/>
      <c r="G397" s="13"/>
      <c r="H397" s="13"/>
      <c r="I397" s="13"/>
      <c r="J397" s="13"/>
      <c r="K397" s="13"/>
      <c r="L397" s="13"/>
      <c r="M397" s="13"/>
      <c r="N397" s="13"/>
    </row>
    <row r="398" spans="1:14">
      <c r="A398" s="12"/>
      <c r="B398" s="12"/>
      <c r="C398" s="12"/>
      <c r="D398" s="7"/>
      <c r="E398" s="2"/>
      <c r="F398" s="13"/>
      <c r="G398" s="13"/>
      <c r="H398" s="13"/>
      <c r="I398" s="13"/>
      <c r="J398" s="13"/>
      <c r="K398" s="13"/>
      <c r="L398" s="13"/>
      <c r="M398" s="13"/>
      <c r="N398" s="13"/>
    </row>
    <row r="399" spans="1:14">
      <c r="A399" s="12"/>
      <c r="B399" s="12"/>
      <c r="C399" s="12"/>
      <c r="D399" s="7"/>
      <c r="E399" s="2"/>
      <c r="F399" s="13"/>
      <c r="G399" s="13"/>
      <c r="H399" s="13"/>
      <c r="I399" s="13"/>
      <c r="J399" s="13"/>
      <c r="K399" s="13"/>
      <c r="L399" s="13"/>
      <c r="M399" s="13"/>
      <c r="N399" s="13"/>
    </row>
    <row r="400" spans="1:14">
      <c r="A400" s="12"/>
      <c r="B400" s="12"/>
      <c r="C400" s="12"/>
      <c r="D400" s="7"/>
      <c r="E400" s="2"/>
      <c r="F400" s="13"/>
      <c r="G400" s="13"/>
      <c r="H400" s="13"/>
      <c r="I400" s="13"/>
      <c r="J400" s="13"/>
      <c r="K400" s="13"/>
      <c r="L400" s="13"/>
      <c r="M400" s="13"/>
      <c r="N400" s="13"/>
    </row>
    <row r="401" spans="1:14">
      <c r="A401" s="12"/>
      <c r="B401" s="12"/>
      <c r="C401" s="12"/>
      <c r="D401" s="7"/>
      <c r="E401" s="2"/>
      <c r="F401" s="13"/>
      <c r="G401" s="13"/>
      <c r="H401" s="13"/>
      <c r="I401" s="13"/>
      <c r="J401" s="13"/>
      <c r="K401" s="13"/>
      <c r="L401" s="13"/>
      <c r="M401" s="13"/>
      <c r="N401" s="13"/>
    </row>
    <row r="402" spans="1:14">
      <c r="A402" s="12"/>
      <c r="B402" s="12"/>
      <c r="C402" s="12"/>
      <c r="D402" s="7"/>
      <c r="E402" s="2"/>
      <c r="F402" s="13"/>
      <c r="G402" s="13"/>
      <c r="H402" s="13"/>
      <c r="I402" s="13"/>
      <c r="J402" s="13"/>
      <c r="K402" s="13"/>
      <c r="L402" s="13"/>
      <c r="M402" s="13"/>
      <c r="N402" s="13"/>
    </row>
    <row r="403" spans="1:14">
      <c r="A403" s="12"/>
      <c r="B403" s="12"/>
      <c r="C403" s="12"/>
      <c r="D403" s="7"/>
      <c r="E403" s="2"/>
      <c r="F403" s="13"/>
      <c r="G403" s="13"/>
      <c r="H403" s="13"/>
      <c r="I403" s="13"/>
      <c r="J403" s="13"/>
      <c r="K403" s="13"/>
      <c r="L403" s="13"/>
      <c r="M403" s="13"/>
      <c r="N403" s="13"/>
    </row>
    <row r="404" spans="1:14">
      <c r="A404" s="12"/>
      <c r="B404" s="12"/>
      <c r="C404" s="12"/>
      <c r="D404" s="7"/>
      <c r="E404" s="2"/>
      <c r="F404" s="13"/>
      <c r="G404" s="13"/>
      <c r="H404" s="13"/>
      <c r="I404" s="13"/>
      <c r="J404" s="13"/>
      <c r="K404" s="13"/>
      <c r="L404" s="13"/>
      <c r="M404" s="13"/>
      <c r="N404" s="13"/>
    </row>
    <row r="405" spans="1:14">
      <c r="A405" s="12"/>
      <c r="B405" s="12"/>
      <c r="C405" s="12"/>
      <c r="D405" s="7"/>
      <c r="E405" s="2"/>
      <c r="F405" s="13"/>
      <c r="G405" s="13"/>
      <c r="H405" s="13"/>
      <c r="I405" s="13"/>
      <c r="J405" s="13"/>
      <c r="K405" s="13"/>
      <c r="L405" s="13"/>
      <c r="M405" s="13"/>
      <c r="N405" s="13"/>
    </row>
    <row r="406" spans="1:14">
      <c r="A406" s="12"/>
      <c r="B406" s="12"/>
      <c r="C406" s="12"/>
      <c r="D406" s="7"/>
      <c r="E406" s="2"/>
      <c r="F406" s="13"/>
      <c r="G406" s="13"/>
      <c r="H406" s="13"/>
      <c r="I406" s="13"/>
      <c r="J406" s="13"/>
      <c r="K406" s="13"/>
      <c r="L406" s="13"/>
      <c r="M406" s="13"/>
      <c r="N406" s="13"/>
    </row>
    <row r="407" spans="1:14">
      <c r="A407" s="12"/>
      <c r="B407" s="12"/>
      <c r="C407" s="12"/>
      <c r="D407" s="7"/>
      <c r="E407" s="2"/>
      <c r="F407" s="13"/>
      <c r="G407" s="13"/>
      <c r="H407" s="13"/>
      <c r="I407" s="13"/>
      <c r="J407" s="13"/>
      <c r="K407" s="13"/>
      <c r="L407" s="13"/>
      <c r="M407" s="13"/>
      <c r="N407" s="13"/>
    </row>
    <row r="408" spans="1:14">
      <c r="A408" s="12"/>
      <c r="B408" s="12"/>
      <c r="C408" s="12"/>
      <c r="D408" s="7"/>
      <c r="E408" s="2"/>
      <c r="F408" s="13"/>
      <c r="G408" s="13"/>
      <c r="H408" s="13"/>
      <c r="I408" s="13"/>
      <c r="J408" s="13"/>
      <c r="K408" s="13"/>
      <c r="L408" s="13"/>
      <c r="M408" s="13"/>
      <c r="N408" s="13"/>
    </row>
    <row r="409" spans="1:14">
      <c r="A409" s="12"/>
      <c r="B409" s="12"/>
      <c r="C409" s="12"/>
      <c r="D409" s="7"/>
      <c r="E409" s="2"/>
      <c r="F409" s="13"/>
      <c r="G409" s="13"/>
      <c r="H409" s="13"/>
      <c r="I409" s="13"/>
      <c r="J409" s="13"/>
      <c r="K409" s="13"/>
      <c r="L409" s="13"/>
      <c r="M409" s="13"/>
      <c r="N409" s="13"/>
    </row>
    <row r="410" spans="1:14">
      <c r="A410" s="12"/>
      <c r="B410" s="12"/>
      <c r="C410" s="12"/>
      <c r="D410" s="7"/>
      <c r="E410" s="2"/>
      <c r="F410" s="13"/>
      <c r="G410" s="13"/>
      <c r="H410" s="13"/>
      <c r="I410" s="13"/>
      <c r="J410" s="13"/>
      <c r="K410" s="13"/>
      <c r="L410" s="13"/>
      <c r="M410" s="13"/>
      <c r="N410" s="13"/>
    </row>
    <row r="411" spans="1:14">
      <c r="A411" s="12"/>
      <c r="B411" s="12"/>
      <c r="C411" s="12"/>
      <c r="D411" s="7"/>
      <c r="E411" s="2"/>
      <c r="F411" s="13"/>
      <c r="G411" s="13"/>
      <c r="H411" s="13"/>
      <c r="I411" s="13"/>
      <c r="J411" s="13"/>
      <c r="K411" s="13"/>
      <c r="L411" s="13"/>
      <c r="M411" s="13"/>
      <c r="N411" s="13"/>
    </row>
    <row r="412" spans="1:14">
      <c r="A412" s="12"/>
      <c r="B412" s="12"/>
      <c r="C412" s="12"/>
      <c r="D412" s="7"/>
      <c r="E412" s="2"/>
      <c r="F412" s="13"/>
      <c r="G412" s="13"/>
      <c r="H412" s="13"/>
      <c r="I412" s="13"/>
      <c r="J412" s="13"/>
      <c r="K412" s="13"/>
      <c r="L412" s="13"/>
      <c r="M412" s="13"/>
      <c r="N412" s="13"/>
    </row>
    <row r="413" spans="1:14">
      <c r="A413" s="12"/>
      <c r="B413" s="12"/>
      <c r="C413" s="12"/>
      <c r="D413" s="7"/>
      <c r="E413" s="2"/>
      <c r="F413" s="13"/>
      <c r="G413" s="13"/>
      <c r="H413" s="13"/>
      <c r="I413" s="13"/>
      <c r="J413" s="13"/>
      <c r="K413" s="13"/>
      <c r="L413" s="13"/>
      <c r="M413" s="13"/>
      <c r="N413" s="13"/>
    </row>
    <row r="414" spans="1:14">
      <c r="A414" s="12"/>
      <c r="B414" s="12"/>
      <c r="C414" s="12"/>
      <c r="D414" s="7"/>
      <c r="E414" s="2"/>
      <c r="F414" s="13"/>
      <c r="G414" s="13"/>
      <c r="H414" s="13"/>
      <c r="I414" s="13"/>
      <c r="J414" s="13"/>
      <c r="K414" s="13"/>
      <c r="L414" s="13"/>
      <c r="M414" s="13"/>
      <c r="N414" s="13"/>
    </row>
    <row r="415" spans="1:14">
      <c r="A415" s="12"/>
      <c r="B415" s="12"/>
      <c r="C415" s="12"/>
      <c r="D415" s="7"/>
      <c r="E415" s="2"/>
      <c r="F415" s="13"/>
      <c r="G415" s="13"/>
      <c r="H415" s="13"/>
      <c r="I415" s="13"/>
      <c r="J415" s="13"/>
      <c r="K415" s="13"/>
      <c r="L415" s="13"/>
      <c r="M415" s="13"/>
      <c r="N415" s="13"/>
    </row>
    <row r="416" spans="1:14">
      <c r="A416" s="12"/>
      <c r="B416" s="12"/>
      <c r="C416" s="12"/>
      <c r="D416" s="7"/>
      <c r="E416" s="2"/>
      <c r="F416" s="13"/>
      <c r="G416" s="13"/>
      <c r="H416" s="13"/>
      <c r="I416" s="13"/>
      <c r="J416" s="13"/>
      <c r="K416" s="13"/>
      <c r="L416" s="13"/>
      <c r="M416" s="13"/>
      <c r="N416" s="13"/>
    </row>
    <row r="417" spans="1:14">
      <c r="A417" s="12"/>
      <c r="B417" s="12"/>
      <c r="C417" s="12"/>
      <c r="D417" s="7"/>
      <c r="E417" s="2"/>
      <c r="F417" s="13"/>
      <c r="G417" s="13"/>
      <c r="H417" s="13"/>
      <c r="I417" s="13"/>
      <c r="J417" s="13"/>
      <c r="K417" s="13"/>
      <c r="L417" s="13"/>
      <c r="M417" s="13"/>
      <c r="N417" s="13"/>
    </row>
    <row r="418" spans="1:14">
      <c r="A418" s="12"/>
      <c r="B418" s="12"/>
      <c r="C418" s="12"/>
      <c r="D418" s="7"/>
      <c r="E418" s="2"/>
      <c r="F418" s="13"/>
      <c r="G418" s="13"/>
      <c r="H418" s="13"/>
      <c r="I418" s="13"/>
      <c r="J418" s="13"/>
      <c r="K418" s="13"/>
      <c r="L418" s="13"/>
      <c r="M418" s="13"/>
      <c r="N418" s="13"/>
    </row>
    <row r="419" spans="1:14">
      <c r="A419" s="12"/>
      <c r="B419" s="12"/>
      <c r="C419" s="12"/>
      <c r="D419" s="7"/>
      <c r="E419" s="2"/>
      <c r="F419" s="13"/>
      <c r="G419" s="13"/>
      <c r="H419" s="13"/>
      <c r="I419" s="13"/>
      <c r="J419" s="13"/>
      <c r="K419" s="13"/>
      <c r="L419" s="13"/>
      <c r="M419" s="13"/>
      <c r="N419" s="13"/>
    </row>
    <row r="420" spans="1:14">
      <c r="A420" s="12"/>
      <c r="B420" s="12"/>
      <c r="C420" s="12"/>
      <c r="D420" s="7"/>
      <c r="E420" s="2"/>
      <c r="F420" s="13"/>
      <c r="G420" s="13"/>
      <c r="H420" s="13"/>
      <c r="I420" s="13"/>
      <c r="J420" s="13"/>
      <c r="K420" s="13"/>
      <c r="L420" s="13"/>
      <c r="M420" s="13"/>
      <c r="N420" s="13"/>
    </row>
    <row r="421" spans="1:14">
      <c r="A421" s="12"/>
      <c r="B421" s="12"/>
      <c r="C421" s="12"/>
      <c r="D421" s="7"/>
      <c r="E421" s="2"/>
      <c r="F421" s="13"/>
      <c r="G421" s="13"/>
      <c r="H421" s="13"/>
      <c r="I421" s="13"/>
      <c r="J421" s="13"/>
      <c r="K421" s="13"/>
      <c r="L421" s="13"/>
      <c r="M421" s="13"/>
      <c r="N421" s="13"/>
    </row>
    <row r="422" spans="1:14">
      <c r="A422" s="12"/>
      <c r="B422" s="12"/>
      <c r="C422" s="12"/>
      <c r="D422" s="7"/>
      <c r="E422" s="2"/>
      <c r="F422" s="13"/>
      <c r="G422" s="13"/>
      <c r="H422" s="13"/>
      <c r="I422" s="13"/>
      <c r="J422" s="13"/>
      <c r="K422" s="13"/>
      <c r="L422" s="13"/>
      <c r="M422" s="13"/>
      <c r="N422" s="13"/>
    </row>
    <row r="423" spans="1:14">
      <c r="A423" s="12"/>
      <c r="B423" s="12"/>
      <c r="C423" s="12"/>
      <c r="D423" s="7"/>
      <c r="E423" s="2"/>
      <c r="F423" s="13"/>
      <c r="G423" s="13"/>
      <c r="H423" s="13"/>
      <c r="I423" s="13"/>
      <c r="J423" s="13"/>
      <c r="K423" s="13"/>
      <c r="L423" s="13"/>
      <c r="M423" s="13"/>
      <c r="N423" s="13"/>
    </row>
    <row r="424" spans="1:14">
      <c r="A424" s="12"/>
      <c r="B424" s="12"/>
      <c r="C424" s="12"/>
      <c r="D424" s="7"/>
      <c r="E424" s="2"/>
      <c r="F424" s="13"/>
      <c r="G424" s="13"/>
      <c r="H424" s="13"/>
      <c r="I424" s="13"/>
      <c r="J424" s="13"/>
      <c r="K424" s="13"/>
      <c r="L424" s="13"/>
      <c r="M424" s="13"/>
      <c r="N424" s="13"/>
    </row>
    <row r="425" spans="1:14">
      <c r="A425" s="12"/>
      <c r="B425" s="12"/>
      <c r="C425" s="12"/>
      <c r="D425" s="7"/>
      <c r="E425" s="2"/>
      <c r="F425" s="13"/>
      <c r="G425" s="13"/>
      <c r="H425" s="13"/>
      <c r="I425" s="13"/>
      <c r="J425" s="13"/>
      <c r="K425" s="13"/>
      <c r="L425" s="13"/>
      <c r="M425" s="13"/>
      <c r="N425" s="13"/>
    </row>
    <row r="426" spans="1:14">
      <c r="A426" s="12"/>
      <c r="B426" s="12"/>
      <c r="C426" s="12"/>
      <c r="D426" s="7"/>
      <c r="E426" s="2"/>
      <c r="F426" s="13"/>
      <c r="G426" s="13"/>
      <c r="H426" s="13"/>
      <c r="I426" s="13"/>
      <c r="J426" s="13"/>
      <c r="K426" s="13"/>
      <c r="L426" s="13"/>
      <c r="M426" s="13"/>
      <c r="N426" s="13"/>
    </row>
    <row r="427" spans="1:14">
      <c r="A427" s="12"/>
      <c r="B427" s="12"/>
      <c r="C427" s="12"/>
      <c r="D427" s="7"/>
      <c r="E427" s="2"/>
      <c r="F427" s="13"/>
      <c r="G427" s="13"/>
      <c r="H427" s="13"/>
      <c r="I427" s="13"/>
      <c r="J427" s="13"/>
      <c r="K427" s="13"/>
      <c r="L427" s="13"/>
      <c r="M427" s="13"/>
      <c r="N427" s="13"/>
    </row>
    <row r="428" spans="1:14">
      <c r="A428" s="12"/>
      <c r="B428" s="12"/>
      <c r="C428" s="12"/>
      <c r="D428" s="7"/>
      <c r="E428" s="2"/>
      <c r="F428" s="13"/>
      <c r="G428" s="13"/>
      <c r="H428" s="13"/>
      <c r="I428" s="13"/>
      <c r="J428" s="13"/>
      <c r="K428" s="13"/>
      <c r="L428" s="13"/>
      <c r="M428" s="13"/>
      <c r="N428" s="13"/>
    </row>
    <row r="429" spans="1:14">
      <c r="A429" s="12"/>
      <c r="B429" s="12"/>
      <c r="C429" s="12"/>
      <c r="D429" s="7"/>
      <c r="E429" s="2"/>
      <c r="F429" s="13"/>
      <c r="G429" s="13"/>
      <c r="H429" s="13"/>
      <c r="I429" s="13"/>
      <c r="J429" s="13"/>
      <c r="K429" s="13"/>
      <c r="L429" s="13"/>
      <c r="M429" s="13"/>
      <c r="N429" s="13"/>
    </row>
    <row r="430" spans="1:14">
      <c r="A430" s="12"/>
      <c r="B430" s="12"/>
      <c r="C430" s="12"/>
      <c r="D430" s="7"/>
      <c r="E430" s="2"/>
      <c r="F430" s="13"/>
      <c r="G430" s="13"/>
      <c r="H430" s="13"/>
      <c r="I430" s="13"/>
      <c r="J430" s="13"/>
      <c r="K430" s="13"/>
      <c r="L430" s="13"/>
      <c r="M430" s="13"/>
      <c r="N430" s="13"/>
    </row>
    <row r="431" spans="1:14">
      <c r="A431" s="12"/>
      <c r="B431" s="12"/>
      <c r="C431" s="12"/>
      <c r="D431" s="7"/>
      <c r="E431" s="2"/>
      <c r="F431" s="13"/>
      <c r="G431" s="13"/>
      <c r="H431" s="13"/>
      <c r="I431" s="13"/>
      <c r="J431" s="13"/>
      <c r="K431" s="13"/>
      <c r="L431" s="13"/>
      <c r="M431" s="13"/>
      <c r="N431" s="13"/>
    </row>
    <row r="432" spans="1:14">
      <c r="A432" s="12"/>
      <c r="B432" s="12"/>
      <c r="C432" s="12"/>
      <c r="D432" s="7"/>
      <c r="E432" s="2"/>
      <c r="F432" s="13"/>
      <c r="G432" s="13"/>
      <c r="H432" s="13"/>
      <c r="I432" s="13"/>
      <c r="J432" s="13"/>
      <c r="K432" s="13"/>
      <c r="L432" s="13"/>
      <c r="M432" s="13"/>
      <c r="N432" s="13"/>
    </row>
    <row r="433" spans="1:14">
      <c r="A433" s="12"/>
      <c r="B433" s="12"/>
      <c r="C433" s="12"/>
      <c r="D433" s="7"/>
      <c r="E433" s="2"/>
      <c r="F433" s="13"/>
      <c r="G433" s="13"/>
      <c r="H433" s="13"/>
      <c r="I433" s="13"/>
      <c r="J433" s="13"/>
      <c r="K433" s="13"/>
      <c r="L433" s="13"/>
      <c r="M433" s="13"/>
      <c r="N433" s="13"/>
    </row>
    <row r="434" spans="1:14">
      <c r="A434" s="12"/>
      <c r="B434" s="12"/>
      <c r="C434" s="12"/>
      <c r="D434" s="7"/>
      <c r="E434" s="2"/>
      <c r="F434" s="13"/>
      <c r="G434" s="13"/>
      <c r="H434" s="13"/>
      <c r="I434" s="13"/>
      <c r="J434" s="13"/>
      <c r="K434" s="13"/>
      <c r="L434" s="13"/>
      <c r="M434" s="13"/>
      <c r="N434" s="13"/>
    </row>
    <row r="435" spans="1:14">
      <c r="A435" s="12"/>
      <c r="B435" s="12"/>
      <c r="C435" s="12"/>
      <c r="D435" s="7"/>
      <c r="E435" s="2"/>
      <c r="F435" s="13"/>
      <c r="G435" s="13"/>
      <c r="H435" s="13"/>
      <c r="I435" s="13"/>
      <c r="J435" s="13"/>
      <c r="K435" s="13"/>
      <c r="L435" s="13"/>
      <c r="M435" s="13"/>
      <c r="N435" s="13"/>
    </row>
    <row r="436" spans="1:14">
      <c r="A436" s="12"/>
      <c r="B436" s="12"/>
      <c r="C436" s="12"/>
      <c r="D436" s="7"/>
      <c r="E436" s="2"/>
      <c r="F436" s="13"/>
      <c r="G436" s="13"/>
      <c r="H436" s="13"/>
      <c r="I436" s="13"/>
      <c r="J436" s="13"/>
      <c r="K436" s="13"/>
      <c r="L436" s="13"/>
      <c r="M436" s="13"/>
      <c r="N436" s="13"/>
    </row>
    <row r="437" spans="1:14">
      <c r="A437" s="12"/>
      <c r="B437" s="12"/>
      <c r="C437" s="12"/>
      <c r="D437" s="7"/>
      <c r="E437" s="2"/>
      <c r="F437" s="13"/>
      <c r="G437" s="13"/>
      <c r="H437" s="13"/>
      <c r="I437" s="13"/>
      <c r="J437" s="13"/>
      <c r="K437" s="13"/>
      <c r="L437" s="13"/>
      <c r="M437" s="13"/>
      <c r="N437" s="13"/>
    </row>
    <row r="438" spans="1:14">
      <c r="A438" s="12"/>
      <c r="B438" s="12"/>
      <c r="C438" s="12"/>
      <c r="D438" s="7"/>
      <c r="E438" s="2"/>
      <c r="F438" s="13"/>
      <c r="G438" s="13"/>
      <c r="H438" s="13"/>
      <c r="I438" s="13"/>
      <c r="J438" s="13"/>
      <c r="K438" s="13"/>
      <c r="L438" s="13"/>
      <c r="M438" s="13"/>
      <c r="N438" s="13"/>
    </row>
    <row r="439" spans="1:14">
      <c r="A439" s="12"/>
      <c r="B439" s="12"/>
      <c r="C439" s="12"/>
      <c r="D439" s="7"/>
      <c r="E439" s="2"/>
      <c r="F439" s="13"/>
      <c r="G439" s="13"/>
      <c r="H439" s="13"/>
      <c r="I439" s="13"/>
      <c r="J439" s="13"/>
      <c r="K439" s="13"/>
      <c r="L439" s="13"/>
      <c r="M439" s="13"/>
      <c r="N439" s="13"/>
    </row>
    <row r="440" spans="1:14">
      <c r="A440" s="12"/>
      <c r="B440" s="12"/>
      <c r="C440" s="12"/>
      <c r="D440" s="7"/>
      <c r="E440" s="2"/>
      <c r="F440" s="13"/>
      <c r="G440" s="13"/>
      <c r="H440" s="13"/>
      <c r="I440" s="13"/>
      <c r="J440" s="13"/>
      <c r="K440" s="13"/>
      <c r="L440" s="13"/>
      <c r="M440" s="13"/>
      <c r="N440" s="13"/>
    </row>
    <row r="441" spans="1:14">
      <c r="A441" s="12"/>
      <c r="B441" s="12"/>
      <c r="C441" s="12"/>
      <c r="D441" s="7"/>
      <c r="E441" s="2"/>
      <c r="F441" s="13"/>
      <c r="G441" s="13"/>
      <c r="H441" s="13"/>
      <c r="I441" s="13"/>
      <c r="J441" s="13"/>
      <c r="K441" s="13"/>
      <c r="L441" s="13"/>
      <c r="M441" s="13"/>
      <c r="N441" s="13"/>
    </row>
    <row r="442" spans="1:14">
      <c r="A442" s="12"/>
      <c r="B442" s="12"/>
      <c r="C442" s="12"/>
      <c r="D442" s="7"/>
      <c r="E442" s="2"/>
      <c r="F442" s="13"/>
      <c r="G442" s="13"/>
      <c r="H442" s="13"/>
      <c r="I442" s="13"/>
      <c r="J442" s="13"/>
      <c r="K442" s="13"/>
      <c r="L442" s="13"/>
      <c r="M442" s="13"/>
      <c r="N442" s="13"/>
    </row>
    <row r="443" spans="1:14">
      <c r="A443" s="12"/>
      <c r="B443" s="12"/>
      <c r="C443" s="12"/>
      <c r="D443" s="7"/>
      <c r="E443" s="2"/>
      <c r="F443" s="13"/>
      <c r="G443" s="13"/>
      <c r="H443" s="13"/>
      <c r="I443" s="13"/>
      <c r="J443" s="13"/>
      <c r="K443" s="13"/>
      <c r="L443" s="13"/>
      <c r="M443" s="13"/>
      <c r="N443" s="13"/>
    </row>
    <row r="444" spans="1:14">
      <c r="A444" s="12"/>
      <c r="B444" s="12"/>
      <c r="C444" s="12"/>
      <c r="D444" s="7"/>
      <c r="E444" s="2"/>
      <c r="F444" s="13"/>
      <c r="G444" s="13"/>
      <c r="H444" s="13"/>
      <c r="I444" s="13"/>
      <c r="J444" s="13"/>
      <c r="K444" s="13"/>
      <c r="L444" s="13"/>
      <c r="M444" s="13"/>
      <c r="N444" s="13"/>
    </row>
    <row r="445" spans="1:14">
      <c r="A445" s="12"/>
      <c r="B445" s="12"/>
      <c r="C445" s="12"/>
      <c r="D445" s="7"/>
      <c r="E445" s="2"/>
      <c r="F445" s="13"/>
      <c r="G445" s="13"/>
      <c r="H445" s="13"/>
      <c r="I445" s="13"/>
      <c r="J445" s="13"/>
      <c r="K445" s="13"/>
      <c r="L445" s="13"/>
      <c r="M445" s="13"/>
      <c r="N445" s="13"/>
    </row>
    <row r="446" spans="1:14">
      <c r="A446" s="12"/>
      <c r="B446" s="12"/>
      <c r="C446" s="12"/>
      <c r="D446" s="7"/>
      <c r="E446" s="2"/>
      <c r="F446" s="13"/>
      <c r="G446" s="13"/>
      <c r="H446" s="13"/>
      <c r="I446" s="13"/>
      <c r="J446" s="13"/>
      <c r="K446" s="13"/>
      <c r="L446" s="13"/>
      <c r="M446" s="13"/>
      <c r="N446" s="13"/>
    </row>
    <row r="447" spans="1:14">
      <c r="A447" s="12"/>
      <c r="B447" s="12"/>
      <c r="C447" s="12"/>
      <c r="D447" s="7"/>
      <c r="E447" s="2"/>
      <c r="F447" s="13"/>
      <c r="G447" s="13"/>
      <c r="H447" s="13"/>
      <c r="I447" s="13"/>
      <c r="J447" s="13"/>
      <c r="K447" s="13"/>
      <c r="L447" s="13"/>
      <c r="M447" s="13"/>
      <c r="N447" s="13"/>
    </row>
    <row r="448" spans="1:14">
      <c r="A448" s="12"/>
      <c r="B448" s="12"/>
      <c r="C448" s="12"/>
      <c r="D448" s="7"/>
      <c r="E448" s="2"/>
      <c r="F448" s="13"/>
      <c r="G448" s="13"/>
      <c r="H448" s="13"/>
      <c r="I448" s="13"/>
      <c r="J448" s="13"/>
      <c r="K448" s="13"/>
      <c r="L448" s="13"/>
      <c r="M448" s="13"/>
      <c r="N448" s="13"/>
    </row>
    <row r="449" spans="1:14">
      <c r="A449" s="12"/>
      <c r="B449" s="12"/>
      <c r="C449" s="12"/>
      <c r="D449" s="7"/>
      <c r="E449" s="2"/>
      <c r="F449" s="13"/>
      <c r="G449" s="13"/>
      <c r="H449" s="13"/>
      <c r="I449" s="13"/>
      <c r="J449" s="13"/>
      <c r="K449" s="13"/>
      <c r="L449" s="13"/>
      <c r="M449" s="13"/>
      <c r="N449" s="13"/>
    </row>
    <row r="450" spans="1:14">
      <c r="A450" s="12"/>
      <c r="B450" s="12"/>
      <c r="C450" s="12"/>
      <c r="D450" s="7"/>
      <c r="E450" s="2"/>
      <c r="F450" s="13"/>
      <c r="G450" s="13"/>
      <c r="H450" s="13"/>
      <c r="I450" s="13"/>
      <c r="J450" s="13"/>
      <c r="K450" s="13"/>
      <c r="L450" s="13"/>
      <c r="M450" s="13"/>
      <c r="N450" s="13"/>
    </row>
    <row r="451" spans="1:14">
      <c r="A451" s="12"/>
      <c r="B451" s="12"/>
      <c r="C451" s="12"/>
      <c r="D451" s="7"/>
      <c r="E451" s="2"/>
      <c r="F451" s="13"/>
      <c r="G451" s="13"/>
      <c r="H451" s="13"/>
      <c r="I451" s="13"/>
      <c r="J451" s="13"/>
      <c r="K451" s="13"/>
      <c r="L451" s="13"/>
      <c r="M451" s="13"/>
      <c r="N451" s="13"/>
    </row>
    <row r="452" spans="1:14">
      <c r="A452" s="12"/>
      <c r="B452" s="12"/>
      <c r="C452" s="12"/>
      <c r="D452" s="7"/>
      <c r="E452" s="2"/>
      <c r="F452" s="13"/>
      <c r="G452" s="13"/>
      <c r="H452" s="13"/>
      <c r="I452" s="13"/>
      <c r="J452" s="13"/>
      <c r="K452" s="13"/>
      <c r="L452" s="13"/>
      <c r="M452" s="13"/>
      <c r="N452" s="13"/>
    </row>
    <row r="453" spans="1:14">
      <c r="A453" s="12"/>
      <c r="B453" s="12"/>
      <c r="C453" s="12"/>
      <c r="D453" s="7"/>
      <c r="E453" s="2"/>
      <c r="F453" s="13"/>
      <c r="G453" s="13"/>
      <c r="H453" s="13"/>
      <c r="I453" s="13"/>
      <c r="J453" s="13"/>
      <c r="K453" s="13"/>
      <c r="L453" s="13"/>
      <c r="M453" s="13"/>
      <c r="N453" s="13"/>
    </row>
    <row r="454" spans="1:14">
      <c r="A454" s="12"/>
      <c r="B454" s="12"/>
      <c r="C454" s="12"/>
      <c r="D454" s="7"/>
      <c r="E454" s="2"/>
      <c r="F454" s="13"/>
      <c r="G454" s="13"/>
      <c r="H454" s="13"/>
      <c r="I454" s="13"/>
      <c r="J454" s="13"/>
      <c r="K454" s="13"/>
      <c r="L454" s="13"/>
      <c r="M454" s="13"/>
      <c r="N454" s="13"/>
    </row>
    <row r="455" spans="1:14">
      <c r="A455" s="12"/>
      <c r="B455" s="12"/>
      <c r="C455" s="12"/>
      <c r="D455" s="7"/>
      <c r="E455" s="2"/>
      <c r="F455" s="13"/>
      <c r="G455" s="13"/>
      <c r="H455" s="13"/>
      <c r="I455" s="13"/>
      <c r="J455" s="13"/>
      <c r="K455" s="13"/>
      <c r="L455" s="13"/>
      <c r="M455" s="13"/>
      <c r="N455" s="13"/>
    </row>
    <row r="456" spans="1:14">
      <c r="A456" s="12"/>
      <c r="B456" s="12"/>
      <c r="C456" s="12"/>
      <c r="D456" s="7"/>
      <c r="E456" s="2"/>
      <c r="F456" s="13"/>
      <c r="G456" s="13"/>
      <c r="H456" s="13"/>
      <c r="I456" s="13"/>
      <c r="J456" s="13"/>
      <c r="K456" s="13"/>
      <c r="L456" s="13"/>
      <c r="M456" s="13"/>
      <c r="N456" s="13"/>
    </row>
    <row r="457" spans="1:14">
      <c r="A457" s="12"/>
      <c r="B457" s="12"/>
      <c r="C457" s="12"/>
      <c r="D457" s="7"/>
      <c r="E457" s="2"/>
      <c r="F457" s="13"/>
      <c r="G457" s="13"/>
      <c r="H457" s="13"/>
      <c r="I457" s="13"/>
      <c r="J457" s="13"/>
      <c r="K457" s="13"/>
      <c r="L457" s="13"/>
      <c r="M457" s="13"/>
      <c r="N457" s="13"/>
    </row>
    <row r="458" spans="1:14">
      <c r="A458" s="12"/>
      <c r="B458" s="12"/>
      <c r="C458" s="12"/>
      <c r="D458" s="7"/>
      <c r="E458" s="2"/>
      <c r="F458" s="13"/>
      <c r="G458" s="13"/>
      <c r="H458" s="13"/>
      <c r="I458" s="13"/>
      <c r="J458" s="13"/>
      <c r="K458" s="13"/>
      <c r="L458" s="13"/>
      <c r="M458" s="13"/>
      <c r="N458" s="13"/>
    </row>
    <row r="459" spans="1:14">
      <c r="A459" s="12"/>
      <c r="B459" s="12"/>
      <c r="C459" s="12"/>
      <c r="D459" s="7"/>
      <c r="E459" s="2"/>
      <c r="F459" s="13"/>
      <c r="G459" s="13"/>
      <c r="H459" s="13"/>
      <c r="I459" s="13"/>
      <c r="J459" s="13"/>
      <c r="K459" s="13"/>
      <c r="L459" s="13"/>
      <c r="M459" s="13"/>
      <c r="N459" s="13"/>
    </row>
    <row r="460" spans="1:14">
      <c r="A460" s="12"/>
      <c r="B460" s="12"/>
      <c r="C460" s="12"/>
      <c r="D460" s="7"/>
      <c r="E460" s="2"/>
      <c r="F460" s="13"/>
      <c r="G460" s="13"/>
      <c r="H460" s="13"/>
      <c r="I460" s="13"/>
      <c r="J460" s="13"/>
      <c r="K460" s="13"/>
      <c r="L460" s="13"/>
      <c r="M460" s="13"/>
      <c r="N460" s="13"/>
    </row>
    <row r="461" spans="1:14">
      <c r="A461" s="12"/>
      <c r="B461" s="12"/>
      <c r="C461" s="12"/>
      <c r="D461" s="7"/>
      <c r="E461" s="2"/>
      <c r="F461" s="13"/>
      <c r="G461" s="13"/>
      <c r="H461" s="13"/>
      <c r="I461" s="13"/>
      <c r="J461" s="13"/>
      <c r="K461" s="13"/>
      <c r="L461" s="13"/>
      <c r="M461" s="13"/>
      <c r="N461" s="13"/>
    </row>
    <row r="462" spans="1:14">
      <c r="A462" s="12"/>
      <c r="B462" s="12"/>
      <c r="C462" s="12"/>
      <c r="D462" s="7"/>
      <c r="E462" s="2"/>
      <c r="F462" s="13"/>
      <c r="G462" s="13"/>
      <c r="H462" s="13"/>
      <c r="I462" s="13"/>
      <c r="J462" s="13"/>
      <c r="K462" s="13"/>
      <c r="L462" s="13"/>
      <c r="M462" s="13"/>
      <c r="N462" s="13"/>
    </row>
    <row r="463" spans="1:14">
      <c r="A463" s="12"/>
      <c r="B463" s="12"/>
      <c r="C463" s="12"/>
      <c r="D463" s="7"/>
      <c r="E463" s="2"/>
      <c r="F463" s="13"/>
      <c r="G463" s="13"/>
      <c r="H463" s="13"/>
      <c r="I463" s="13"/>
      <c r="J463" s="13"/>
      <c r="K463" s="13"/>
      <c r="L463" s="13"/>
      <c r="M463" s="13"/>
      <c r="N463" s="13"/>
    </row>
    <row r="464" spans="1:14">
      <c r="A464" s="12"/>
      <c r="B464" s="12"/>
      <c r="C464" s="12"/>
      <c r="D464" s="7"/>
      <c r="E464" s="2"/>
      <c r="F464" s="13"/>
      <c r="G464" s="13"/>
      <c r="H464" s="13"/>
      <c r="I464" s="13"/>
      <c r="J464" s="13"/>
      <c r="K464" s="13"/>
      <c r="L464" s="13"/>
      <c r="M464" s="13"/>
      <c r="N464" s="13"/>
    </row>
    <row r="465" spans="1:14">
      <c r="A465" s="12"/>
      <c r="B465" s="12"/>
      <c r="C465" s="12"/>
      <c r="D465" s="7"/>
      <c r="E465" s="2"/>
      <c r="F465" s="13"/>
      <c r="G465" s="13"/>
      <c r="H465" s="13"/>
      <c r="I465" s="13"/>
      <c r="J465" s="13"/>
      <c r="K465" s="13"/>
      <c r="L465" s="13"/>
      <c r="M465" s="13"/>
      <c r="N465" s="13"/>
    </row>
    <row r="466" spans="1:14">
      <c r="A466" s="12"/>
      <c r="B466" s="12"/>
      <c r="C466" s="12"/>
      <c r="D466" s="7"/>
      <c r="E466" s="2"/>
      <c r="F466" s="13"/>
      <c r="G466" s="13"/>
      <c r="H466" s="13"/>
      <c r="I466" s="13"/>
      <c r="J466" s="13"/>
      <c r="K466" s="13"/>
      <c r="L466" s="13"/>
      <c r="M466" s="13"/>
      <c r="N466" s="13"/>
    </row>
    <row r="467" spans="1:14">
      <c r="A467" s="12"/>
      <c r="B467" s="12"/>
      <c r="C467" s="12"/>
      <c r="D467" s="7"/>
      <c r="E467" s="2"/>
      <c r="F467" s="13"/>
      <c r="G467" s="13"/>
      <c r="H467" s="13"/>
      <c r="I467" s="13"/>
      <c r="J467" s="13"/>
      <c r="K467" s="13"/>
      <c r="L467" s="13"/>
      <c r="M467" s="13"/>
      <c r="N467" s="13"/>
    </row>
    <row r="468" spans="1:14">
      <c r="A468" s="12"/>
      <c r="B468" s="12"/>
      <c r="C468" s="12"/>
      <c r="D468" s="7"/>
      <c r="E468" s="2"/>
      <c r="F468" s="13"/>
      <c r="G468" s="13"/>
      <c r="H468" s="13"/>
      <c r="I468" s="13"/>
      <c r="J468" s="13"/>
      <c r="K468" s="13"/>
      <c r="L468" s="13"/>
      <c r="M468" s="13"/>
      <c r="N468" s="13"/>
    </row>
    <row r="469" spans="1:14">
      <c r="A469" s="12"/>
      <c r="B469" s="12"/>
      <c r="C469" s="12"/>
      <c r="D469" s="7"/>
      <c r="E469" s="2"/>
      <c r="F469" s="13"/>
      <c r="G469" s="13"/>
      <c r="H469" s="13"/>
      <c r="I469" s="13"/>
      <c r="J469" s="13"/>
      <c r="K469" s="13"/>
      <c r="L469" s="13"/>
      <c r="M469" s="13"/>
      <c r="N469" s="13"/>
    </row>
    <row r="470" spans="1:14">
      <c r="A470" s="12"/>
      <c r="B470" s="12"/>
      <c r="C470" s="12"/>
      <c r="D470" s="7"/>
      <c r="E470" s="2"/>
      <c r="F470" s="13"/>
      <c r="G470" s="13"/>
      <c r="H470" s="13"/>
      <c r="I470" s="13"/>
      <c r="J470" s="13"/>
      <c r="K470" s="13"/>
      <c r="L470" s="13"/>
      <c r="M470" s="13"/>
      <c r="N470" s="13"/>
    </row>
    <row r="471" spans="1:14">
      <c r="A471" s="12"/>
      <c r="B471" s="12"/>
      <c r="C471" s="12"/>
      <c r="D471" s="7"/>
      <c r="E471" s="2"/>
      <c r="F471" s="13"/>
      <c r="G471" s="13"/>
      <c r="H471" s="13"/>
      <c r="I471" s="13"/>
      <c r="J471" s="13"/>
      <c r="K471" s="13"/>
      <c r="L471" s="13"/>
      <c r="M471" s="13"/>
      <c r="N471" s="13"/>
    </row>
    <row r="472" spans="1:14">
      <c r="A472" s="12"/>
      <c r="B472" s="12"/>
      <c r="C472" s="12"/>
      <c r="D472" s="7"/>
      <c r="E472" s="2"/>
      <c r="F472" s="13"/>
      <c r="G472" s="13"/>
      <c r="H472" s="13"/>
      <c r="I472" s="13"/>
      <c r="J472" s="13"/>
      <c r="K472" s="13"/>
      <c r="L472" s="13"/>
      <c r="M472" s="13"/>
      <c r="N472" s="13"/>
    </row>
    <row r="473" spans="1:14">
      <c r="A473" s="12"/>
      <c r="B473" s="12"/>
      <c r="C473" s="12"/>
      <c r="D473" s="7"/>
      <c r="E473" s="2"/>
      <c r="F473" s="13"/>
      <c r="G473" s="13"/>
      <c r="H473" s="13"/>
      <c r="I473" s="13"/>
      <c r="J473" s="13"/>
      <c r="K473" s="13"/>
      <c r="L473" s="13"/>
      <c r="M473" s="13"/>
      <c r="N473" s="13"/>
    </row>
    <row r="474" spans="1:14">
      <c r="A474" s="12"/>
      <c r="B474" s="12"/>
      <c r="C474" s="12"/>
      <c r="D474" s="7"/>
      <c r="E474" s="2"/>
      <c r="F474" s="13"/>
      <c r="G474" s="13"/>
      <c r="H474" s="13"/>
      <c r="I474" s="13"/>
      <c r="J474" s="13"/>
      <c r="K474" s="13"/>
      <c r="L474" s="13"/>
      <c r="M474" s="13"/>
      <c r="N474" s="13"/>
    </row>
    <row r="475" spans="1:14">
      <c r="A475" s="12"/>
      <c r="B475" s="12"/>
      <c r="C475" s="12"/>
      <c r="D475" s="7"/>
      <c r="E475" s="2"/>
      <c r="F475" s="13"/>
      <c r="G475" s="13"/>
      <c r="H475" s="13"/>
      <c r="I475" s="13"/>
      <c r="J475" s="13"/>
      <c r="K475" s="13"/>
      <c r="L475" s="13"/>
      <c r="M475" s="13"/>
      <c r="N475" s="13"/>
    </row>
    <row r="476" spans="1:14">
      <c r="A476" s="12"/>
      <c r="B476" s="12"/>
      <c r="C476" s="12"/>
      <c r="D476" s="7"/>
      <c r="E476" s="2"/>
      <c r="F476" s="13"/>
      <c r="G476" s="13"/>
      <c r="H476" s="13"/>
      <c r="I476" s="13"/>
      <c r="J476" s="13"/>
      <c r="K476" s="13"/>
      <c r="L476" s="13"/>
      <c r="M476" s="13"/>
      <c r="N476" s="13"/>
    </row>
    <row r="477" spans="1:14">
      <c r="A477" s="12"/>
      <c r="B477" s="12"/>
      <c r="C477" s="12"/>
      <c r="D477" s="7"/>
      <c r="E477" s="2"/>
      <c r="F477" s="13"/>
      <c r="G477" s="13"/>
      <c r="H477" s="13"/>
      <c r="I477" s="13"/>
      <c r="J477" s="13"/>
      <c r="K477" s="13"/>
      <c r="L477" s="13"/>
      <c r="M477" s="13"/>
      <c r="N477" s="13"/>
    </row>
    <row r="478" spans="1:14">
      <c r="A478" s="12"/>
      <c r="B478" s="12"/>
      <c r="C478" s="12"/>
      <c r="D478" s="7"/>
      <c r="E478" s="2"/>
      <c r="F478" s="13"/>
      <c r="G478" s="13"/>
      <c r="H478" s="13"/>
      <c r="I478" s="13"/>
      <c r="J478" s="13"/>
      <c r="K478" s="13"/>
      <c r="L478" s="13"/>
      <c r="M478" s="13"/>
      <c r="N478" s="13"/>
    </row>
    <row r="479" spans="1:14">
      <c r="A479" s="12"/>
      <c r="B479" s="12"/>
      <c r="C479" s="12"/>
      <c r="D479" s="7"/>
      <c r="E479" s="2"/>
      <c r="F479" s="13"/>
      <c r="G479" s="13"/>
      <c r="H479" s="13"/>
      <c r="I479" s="13"/>
      <c r="J479" s="13"/>
      <c r="K479" s="13"/>
      <c r="L479" s="13"/>
      <c r="M479" s="13"/>
      <c r="N479" s="13"/>
    </row>
    <row r="480" spans="1:14">
      <c r="A480" s="12"/>
      <c r="B480" s="12"/>
      <c r="C480" s="12"/>
      <c r="D480" s="7"/>
      <c r="E480" s="2"/>
      <c r="F480" s="13"/>
      <c r="G480" s="13"/>
      <c r="H480" s="13"/>
      <c r="I480" s="13"/>
      <c r="J480" s="13"/>
      <c r="K480" s="13"/>
      <c r="L480" s="13"/>
      <c r="M480" s="13"/>
      <c r="N480" s="13"/>
    </row>
    <row r="481" spans="1:14">
      <c r="A481" s="12"/>
      <c r="B481" s="12"/>
      <c r="C481" s="12"/>
      <c r="D481" s="7"/>
      <c r="E481" s="2"/>
      <c r="F481" s="13"/>
      <c r="G481" s="13"/>
      <c r="H481" s="13"/>
      <c r="I481" s="13"/>
      <c r="J481" s="13"/>
      <c r="K481" s="13"/>
      <c r="L481" s="13"/>
      <c r="M481" s="13"/>
      <c r="N481" s="13"/>
    </row>
    <row r="482" spans="1:14">
      <c r="A482" s="12"/>
      <c r="B482" s="12"/>
      <c r="C482" s="12"/>
      <c r="D482" s="7"/>
      <c r="E482" s="2"/>
      <c r="F482" s="13"/>
      <c r="G482" s="13"/>
      <c r="H482" s="13"/>
      <c r="I482" s="13"/>
      <c r="J482" s="13"/>
      <c r="K482" s="13"/>
      <c r="L482" s="13"/>
      <c r="M482" s="13"/>
      <c r="N482" s="13"/>
    </row>
    <row r="483" spans="1:14">
      <c r="A483" s="12"/>
      <c r="B483" s="12"/>
      <c r="C483" s="12"/>
      <c r="D483" s="7"/>
      <c r="E483" s="2"/>
      <c r="F483" s="13"/>
      <c r="G483" s="13"/>
      <c r="H483" s="13"/>
      <c r="I483" s="13"/>
      <c r="J483" s="13"/>
      <c r="K483" s="13"/>
      <c r="L483" s="13"/>
      <c r="M483" s="13"/>
      <c r="N483" s="13"/>
    </row>
    <row r="484" spans="1:14">
      <c r="A484" s="12"/>
      <c r="B484" s="12"/>
      <c r="C484" s="12"/>
      <c r="D484" s="7"/>
      <c r="E484" s="2"/>
      <c r="F484" s="13"/>
      <c r="G484" s="13"/>
      <c r="H484" s="13"/>
      <c r="I484" s="13"/>
      <c r="J484" s="13"/>
      <c r="K484" s="13"/>
      <c r="L484" s="13"/>
      <c r="M484" s="13"/>
      <c r="N484" s="13"/>
    </row>
    <row r="485" spans="1:14">
      <c r="A485" s="12"/>
      <c r="B485" s="12"/>
      <c r="C485" s="12"/>
      <c r="D485" s="7"/>
      <c r="E485" s="2"/>
      <c r="F485" s="13"/>
      <c r="G485" s="13"/>
      <c r="H485" s="13"/>
      <c r="I485" s="13"/>
      <c r="J485" s="13"/>
      <c r="K485" s="13"/>
      <c r="L485" s="13"/>
      <c r="M485" s="13"/>
      <c r="N485" s="13"/>
    </row>
    <row r="486" spans="1:14">
      <c r="A486" s="12"/>
      <c r="B486" s="12"/>
      <c r="C486" s="12"/>
      <c r="D486" s="7"/>
      <c r="E486" s="2"/>
      <c r="F486" s="13"/>
      <c r="G486" s="13"/>
      <c r="H486" s="13"/>
      <c r="I486" s="13"/>
      <c r="J486" s="13"/>
      <c r="K486" s="13"/>
      <c r="L486" s="13"/>
      <c r="M486" s="13"/>
      <c r="N486" s="13"/>
    </row>
    <row r="487" spans="1:14">
      <c r="A487" s="12"/>
      <c r="B487" s="12"/>
      <c r="C487" s="12"/>
      <c r="D487" s="7"/>
      <c r="E487" s="2"/>
      <c r="F487" s="13"/>
      <c r="G487" s="13"/>
      <c r="H487" s="13"/>
      <c r="I487" s="13"/>
      <c r="J487" s="13"/>
      <c r="K487" s="13"/>
      <c r="L487" s="13"/>
      <c r="M487" s="13"/>
      <c r="N487" s="13"/>
    </row>
    <row r="488" spans="1:14">
      <c r="A488" s="12"/>
      <c r="B488" s="12"/>
      <c r="C488" s="12"/>
      <c r="D488" s="7"/>
      <c r="E488" s="2"/>
      <c r="F488" s="13"/>
      <c r="G488" s="13"/>
      <c r="H488" s="13"/>
      <c r="I488" s="13"/>
      <c r="J488" s="13"/>
      <c r="K488" s="13"/>
      <c r="L488" s="13"/>
      <c r="M488" s="13"/>
      <c r="N488" s="13"/>
    </row>
    <row r="489" spans="1:14">
      <c r="A489" s="12"/>
      <c r="B489" s="12"/>
      <c r="C489" s="12"/>
      <c r="D489" s="7"/>
      <c r="E489" s="2"/>
      <c r="F489" s="13"/>
      <c r="G489" s="13"/>
      <c r="H489" s="13"/>
      <c r="I489" s="13"/>
      <c r="J489" s="13"/>
      <c r="K489" s="13"/>
      <c r="L489" s="13"/>
      <c r="M489" s="13"/>
      <c r="N489" s="13"/>
    </row>
    <row r="490" spans="1:14">
      <c r="A490" s="12"/>
      <c r="B490" s="12"/>
      <c r="C490" s="12"/>
      <c r="D490" s="7"/>
      <c r="E490" s="2"/>
      <c r="F490" s="13"/>
      <c r="G490" s="13"/>
      <c r="H490" s="13"/>
      <c r="I490" s="13"/>
      <c r="J490" s="13"/>
      <c r="K490" s="13"/>
      <c r="L490" s="13"/>
      <c r="M490" s="13"/>
      <c r="N490" s="13"/>
    </row>
    <row r="491" spans="1:14">
      <c r="A491" s="12"/>
      <c r="B491" s="12"/>
      <c r="C491" s="12"/>
      <c r="D491" s="7"/>
      <c r="E491" s="2"/>
      <c r="F491" s="13"/>
      <c r="G491" s="13"/>
      <c r="H491" s="13"/>
      <c r="I491" s="13"/>
      <c r="J491" s="13"/>
      <c r="K491" s="13"/>
      <c r="L491" s="13"/>
      <c r="M491" s="13"/>
      <c r="N491" s="13"/>
    </row>
    <row r="492" spans="1:14">
      <c r="A492" s="12"/>
      <c r="B492" s="12"/>
      <c r="C492" s="12"/>
      <c r="D492" s="7"/>
      <c r="E492" s="2"/>
      <c r="F492" s="13"/>
      <c r="G492" s="13"/>
      <c r="H492" s="13"/>
      <c r="I492" s="13"/>
      <c r="J492" s="13"/>
      <c r="K492" s="13"/>
      <c r="L492" s="13"/>
      <c r="M492" s="13"/>
      <c r="N492" s="13"/>
    </row>
    <row r="493" spans="1:14">
      <c r="A493" s="12"/>
      <c r="B493" s="12"/>
      <c r="C493" s="12"/>
      <c r="D493" s="7"/>
      <c r="E493" s="2"/>
      <c r="F493" s="13"/>
      <c r="G493" s="13"/>
      <c r="H493" s="13"/>
      <c r="I493" s="13"/>
      <c r="J493" s="13"/>
      <c r="K493" s="13"/>
      <c r="L493" s="13"/>
      <c r="M493" s="13"/>
      <c r="N493" s="13"/>
    </row>
    <row r="494" spans="1:14">
      <c r="A494" s="12"/>
      <c r="B494" s="12"/>
      <c r="C494" s="12"/>
      <c r="D494" s="7"/>
      <c r="E494" s="2"/>
      <c r="F494" s="13"/>
      <c r="G494" s="13"/>
      <c r="H494" s="13"/>
      <c r="I494" s="13"/>
      <c r="J494" s="13"/>
      <c r="K494" s="13"/>
      <c r="L494" s="13"/>
      <c r="M494" s="13"/>
      <c r="N494" s="13"/>
    </row>
    <row r="495" spans="1:14">
      <c r="A495" s="12"/>
      <c r="B495" s="12"/>
      <c r="C495" s="12"/>
      <c r="D495" s="7"/>
      <c r="E495" s="2"/>
      <c r="F495" s="13"/>
      <c r="G495" s="13"/>
      <c r="H495" s="13"/>
      <c r="I495" s="13"/>
      <c r="J495" s="13"/>
      <c r="K495" s="13"/>
      <c r="L495" s="13"/>
      <c r="M495" s="13"/>
      <c r="N495" s="13"/>
    </row>
    <row r="496" spans="1:14">
      <c r="A496" s="12"/>
      <c r="B496" s="12"/>
      <c r="C496" s="12"/>
      <c r="D496" s="7"/>
      <c r="E496" s="2"/>
      <c r="F496" s="13"/>
      <c r="G496" s="13"/>
      <c r="H496" s="13"/>
      <c r="I496" s="13"/>
      <c r="J496" s="13"/>
      <c r="K496" s="13"/>
      <c r="L496" s="13"/>
      <c r="M496" s="13"/>
      <c r="N496" s="13"/>
    </row>
    <row r="497" spans="1:14">
      <c r="A497" s="12"/>
      <c r="B497" s="12"/>
      <c r="C497" s="12"/>
      <c r="D497" s="7"/>
      <c r="E497" s="2"/>
      <c r="F497" s="13"/>
      <c r="G497" s="13"/>
      <c r="H497" s="13"/>
      <c r="I497" s="13"/>
      <c r="J497" s="13"/>
      <c r="K497" s="13"/>
      <c r="L497" s="13"/>
      <c r="M497" s="13"/>
      <c r="N497" s="13"/>
    </row>
    <row r="498" spans="1:14">
      <c r="A498" s="12"/>
      <c r="B498" s="12"/>
      <c r="C498" s="12"/>
      <c r="D498" s="7"/>
      <c r="E498" s="2"/>
      <c r="F498" s="13"/>
      <c r="G498" s="13"/>
      <c r="H498" s="13"/>
      <c r="I498" s="13"/>
      <c r="J498" s="13"/>
      <c r="K498" s="13"/>
      <c r="L498" s="13"/>
      <c r="M498" s="13"/>
      <c r="N498" s="13"/>
    </row>
    <row r="499" spans="1:14">
      <c r="A499" s="12"/>
      <c r="B499" s="12"/>
      <c r="C499" s="12"/>
      <c r="D499" s="7"/>
      <c r="E499" s="2"/>
      <c r="F499" s="13"/>
      <c r="G499" s="13"/>
      <c r="H499" s="13"/>
      <c r="I499" s="13"/>
      <c r="J499" s="13"/>
      <c r="K499" s="13"/>
      <c r="L499" s="13"/>
      <c r="M499" s="13"/>
      <c r="N499" s="13"/>
    </row>
    <row r="500" spans="1:14">
      <c r="A500" s="12"/>
      <c r="B500" s="12"/>
      <c r="C500" s="12"/>
      <c r="D500" s="7"/>
      <c r="E500" s="2"/>
      <c r="F500" s="13"/>
      <c r="G500" s="13"/>
      <c r="H500" s="13"/>
      <c r="I500" s="13"/>
      <c r="J500" s="13"/>
      <c r="K500" s="13"/>
      <c r="L500" s="13"/>
      <c r="M500" s="13"/>
      <c r="N500" s="13"/>
    </row>
    <row r="501" spans="1:14">
      <c r="A501" s="12"/>
      <c r="B501" s="12"/>
      <c r="C501" s="12"/>
      <c r="D501" s="7"/>
      <c r="E501" s="2"/>
      <c r="F501" s="13"/>
      <c r="G501" s="13"/>
      <c r="H501" s="13"/>
      <c r="I501" s="13"/>
      <c r="J501" s="13"/>
      <c r="K501" s="13"/>
      <c r="L501" s="13"/>
      <c r="M501" s="13"/>
      <c r="N501" s="13"/>
    </row>
    <row r="502" spans="1:14">
      <c r="A502" s="12"/>
      <c r="B502" s="12"/>
      <c r="C502" s="12"/>
      <c r="D502" s="7"/>
      <c r="E502" s="2"/>
      <c r="F502" s="13"/>
      <c r="G502" s="13"/>
      <c r="H502" s="13"/>
      <c r="I502" s="13"/>
      <c r="J502" s="13"/>
      <c r="K502" s="13"/>
      <c r="L502" s="13"/>
      <c r="M502" s="13"/>
      <c r="N502" s="13"/>
    </row>
    <row r="503" spans="1:14">
      <c r="A503" s="12"/>
      <c r="B503" s="12"/>
      <c r="C503" s="12"/>
      <c r="D503" s="7"/>
      <c r="E503" s="2"/>
      <c r="F503" s="13"/>
      <c r="G503" s="13"/>
      <c r="H503" s="13"/>
      <c r="I503" s="13"/>
      <c r="J503" s="13"/>
      <c r="K503" s="13"/>
      <c r="L503" s="13"/>
      <c r="M503" s="13"/>
      <c r="N503" s="13"/>
    </row>
    <row r="504" spans="1:14">
      <c r="A504" s="12"/>
      <c r="B504" s="12"/>
      <c r="C504" s="12"/>
      <c r="D504" s="7"/>
      <c r="E504" s="2"/>
      <c r="F504" s="13"/>
      <c r="G504" s="13"/>
      <c r="H504" s="13"/>
      <c r="I504" s="13"/>
      <c r="J504" s="13"/>
      <c r="K504" s="13"/>
      <c r="L504" s="13"/>
      <c r="M504" s="13"/>
      <c r="N504" s="13"/>
    </row>
    <row r="505" spans="1:14">
      <c r="A505" s="12"/>
      <c r="B505" s="12"/>
      <c r="C505" s="12"/>
      <c r="D505" s="7"/>
      <c r="E505" s="2"/>
      <c r="F505" s="13"/>
      <c r="G505" s="13"/>
      <c r="H505" s="13"/>
      <c r="I505" s="13"/>
      <c r="J505" s="13"/>
      <c r="K505" s="13"/>
      <c r="L505" s="13"/>
      <c r="M505" s="13"/>
      <c r="N505" s="13"/>
    </row>
    <row r="506" spans="1:14">
      <c r="A506" s="12"/>
      <c r="B506" s="12"/>
      <c r="C506" s="12"/>
      <c r="D506" s="7"/>
      <c r="E506" s="2"/>
      <c r="F506" s="13"/>
      <c r="G506" s="13"/>
      <c r="H506" s="13"/>
      <c r="I506" s="13"/>
      <c r="J506" s="13"/>
      <c r="K506" s="13"/>
      <c r="L506" s="13"/>
      <c r="M506" s="13"/>
      <c r="N506" s="13"/>
    </row>
    <row r="507" spans="1:14">
      <c r="A507" s="12"/>
      <c r="B507" s="12"/>
      <c r="C507" s="12"/>
      <c r="D507" s="7"/>
      <c r="E507" s="2"/>
      <c r="F507" s="13"/>
      <c r="G507" s="13"/>
      <c r="H507" s="13"/>
      <c r="I507" s="13"/>
      <c r="J507" s="13"/>
      <c r="K507" s="13"/>
      <c r="L507" s="13"/>
      <c r="M507" s="13"/>
      <c r="N507" s="13"/>
    </row>
    <row r="508" spans="1:14">
      <c r="A508" s="12"/>
      <c r="B508" s="12"/>
      <c r="C508" s="12"/>
      <c r="D508" s="7"/>
      <c r="E508" s="2"/>
      <c r="F508" s="13"/>
      <c r="G508" s="13"/>
      <c r="H508" s="13"/>
      <c r="I508" s="13"/>
      <c r="J508" s="13"/>
      <c r="K508" s="13"/>
      <c r="L508" s="13"/>
      <c r="M508" s="13"/>
      <c r="N508" s="13"/>
    </row>
    <row r="509" spans="1:14">
      <c r="A509" s="12"/>
      <c r="B509" s="12"/>
      <c r="C509" s="12"/>
      <c r="D509" s="7"/>
      <c r="E509" s="2"/>
      <c r="F509" s="13"/>
      <c r="G509" s="13"/>
      <c r="H509" s="13"/>
      <c r="I509" s="13"/>
      <c r="J509" s="13"/>
      <c r="K509" s="13"/>
      <c r="L509" s="13"/>
      <c r="M509" s="13"/>
      <c r="N509" s="13"/>
    </row>
    <row r="510" spans="1:14">
      <c r="A510" s="12"/>
      <c r="B510" s="12"/>
      <c r="C510" s="12"/>
      <c r="D510" s="7"/>
      <c r="E510" s="2"/>
      <c r="F510" s="13"/>
      <c r="G510" s="13"/>
      <c r="H510" s="13"/>
      <c r="I510" s="13"/>
      <c r="J510" s="13"/>
      <c r="K510" s="13"/>
      <c r="L510" s="13"/>
      <c r="M510" s="13"/>
      <c r="N510" s="13"/>
    </row>
    <row r="511" spans="1:14">
      <c r="A511" s="12"/>
      <c r="B511" s="12"/>
      <c r="C511" s="12"/>
      <c r="D511" s="7"/>
      <c r="E511" s="2"/>
      <c r="F511" s="13"/>
      <c r="G511" s="13"/>
      <c r="H511" s="13"/>
      <c r="I511" s="13"/>
      <c r="J511" s="13"/>
      <c r="K511" s="13"/>
      <c r="L511" s="13"/>
      <c r="M511" s="13"/>
      <c r="N511" s="13"/>
    </row>
    <row r="512" spans="1:14">
      <c r="A512" s="12"/>
      <c r="B512" s="12"/>
      <c r="C512" s="12"/>
      <c r="D512" s="7"/>
      <c r="E512" s="2"/>
      <c r="F512" s="13"/>
      <c r="G512" s="13"/>
      <c r="H512" s="13"/>
      <c r="I512" s="13"/>
      <c r="J512" s="13"/>
      <c r="K512" s="13"/>
      <c r="L512" s="13"/>
      <c r="M512" s="13"/>
      <c r="N512" s="13"/>
    </row>
    <row r="513" spans="1:14">
      <c r="A513" s="12"/>
      <c r="B513" s="12"/>
      <c r="C513" s="12"/>
      <c r="D513" s="7"/>
      <c r="E513" s="2"/>
      <c r="F513" s="13"/>
      <c r="G513" s="13"/>
      <c r="H513" s="13"/>
      <c r="I513" s="13"/>
      <c r="J513" s="13"/>
      <c r="K513" s="13"/>
      <c r="L513" s="13"/>
      <c r="M513" s="13"/>
      <c r="N513" s="13"/>
    </row>
    <row r="514" spans="1:14">
      <c r="A514" s="12"/>
      <c r="B514" s="12"/>
      <c r="C514" s="12"/>
      <c r="D514" s="7"/>
      <c r="E514" s="2"/>
      <c r="F514" s="13"/>
      <c r="G514" s="13"/>
      <c r="H514" s="13"/>
      <c r="I514" s="13"/>
      <c r="J514" s="13"/>
      <c r="K514" s="13"/>
      <c r="L514" s="13"/>
      <c r="M514" s="13"/>
      <c r="N514" s="13"/>
    </row>
    <row r="515" spans="1:14">
      <c r="A515" s="12"/>
      <c r="B515" s="12"/>
      <c r="C515" s="12"/>
      <c r="D515" s="7"/>
      <c r="E515" s="2"/>
      <c r="F515" s="13"/>
      <c r="G515" s="13"/>
      <c r="H515" s="13"/>
      <c r="I515" s="13"/>
      <c r="J515" s="13"/>
      <c r="K515" s="13"/>
      <c r="L515" s="13"/>
      <c r="M515" s="13"/>
      <c r="N515" s="13"/>
    </row>
    <row r="516" spans="1:14">
      <c r="A516" s="12"/>
      <c r="B516" s="12"/>
      <c r="C516" s="12"/>
      <c r="D516" s="7"/>
      <c r="E516" s="2"/>
      <c r="F516" s="13"/>
      <c r="G516" s="13"/>
      <c r="H516" s="13"/>
      <c r="I516" s="13"/>
      <c r="J516" s="13"/>
      <c r="K516" s="13"/>
      <c r="L516" s="13"/>
      <c r="M516" s="13"/>
      <c r="N516" s="13"/>
    </row>
    <row r="517" spans="1:14">
      <c r="A517" s="12"/>
      <c r="B517" s="12"/>
      <c r="C517" s="12"/>
      <c r="D517" s="7"/>
      <c r="E517" s="2"/>
      <c r="F517" s="13"/>
      <c r="G517" s="13"/>
      <c r="H517" s="13"/>
      <c r="I517" s="13"/>
      <c r="J517" s="13"/>
      <c r="K517" s="13"/>
      <c r="L517" s="13"/>
      <c r="M517" s="13"/>
      <c r="N517" s="13"/>
    </row>
    <row r="518" spans="1:14">
      <c r="A518" s="12"/>
      <c r="B518" s="12"/>
      <c r="C518" s="12"/>
      <c r="D518" s="7"/>
      <c r="E518" s="2"/>
      <c r="F518" s="13"/>
      <c r="G518" s="13"/>
      <c r="H518" s="13"/>
      <c r="I518" s="13"/>
      <c r="J518" s="13"/>
      <c r="K518" s="13"/>
      <c r="L518" s="13"/>
      <c r="M518" s="13"/>
      <c r="N518" s="13"/>
    </row>
    <row r="519" spans="1:14">
      <c r="A519" s="12"/>
      <c r="B519" s="12"/>
      <c r="C519" s="12"/>
      <c r="D519" s="7"/>
      <c r="E519" s="2"/>
      <c r="F519" s="13"/>
      <c r="G519" s="13"/>
      <c r="H519" s="13"/>
      <c r="I519" s="13"/>
      <c r="J519" s="13"/>
      <c r="K519" s="13"/>
      <c r="L519" s="13"/>
      <c r="M519" s="13"/>
      <c r="N519" s="13"/>
    </row>
    <row r="520" spans="1:14">
      <c r="A520" s="12"/>
      <c r="B520" s="12"/>
      <c r="C520" s="12"/>
      <c r="D520" s="7"/>
      <c r="E520" s="2"/>
      <c r="F520" s="13"/>
      <c r="G520" s="13"/>
      <c r="H520" s="13"/>
      <c r="I520" s="13"/>
      <c r="J520" s="13"/>
      <c r="K520" s="13"/>
      <c r="L520" s="13"/>
      <c r="M520" s="13"/>
      <c r="N520" s="13"/>
    </row>
    <row r="521" spans="1:14">
      <c r="A521" s="12"/>
      <c r="B521" s="12"/>
      <c r="C521" s="12"/>
      <c r="D521" s="7"/>
      <c r="E521" s="2"/>
      <c r="F521" s="13"/>
      <c r="G521" s="13"/>
      <c r="H521" s="13"/>
      <c r="I521" s="13"/>
      <c r="J521" s="13"/>
      <c r="K521" s="13"/>
      <c r="L521" s="13"/>
      <c r="M521" s="13"/>
      <c r="N521" s="13"/>
    </row>
    <row r="522" spans="1:14">
      <c r="A522" s="12"/>
      <c r="B522" s="12"/>
      <c r="C522" s="12"/>
      <c r="D522" s="7"/>
      <c r="E522" s="2"/>
      <c r="F522" s="13"/>
      <c r="G522" s="13"/>
      <c r="H522" s="13"/>
      <c r="I522" s="13"/>
      <c r="J522" s="13"/>
      <c r="K522" s="13"/>
      <c r="L522" s="13"/>
      <c r="M522" s="13"/>
      <c r="N522" s="13"/>
    </row>
    <row r="523" spans="1:14">
      <c r="A523" s="12"/>
      <c r="B523" s="12"/>
      <c r="C523" s="12"/>
      <c r="D523" s="7"/>
      <c r="E523" s="2"/>
      <c r="F523" s="13"/>
      <c r="G523" s="13"/>
      <c r="H523" s="13"/>
      <c r="I523" s="13"/>
      <c r="J523" s="13"/>
      <c r="K523" s="13"/>
      <c r="L523" s="13"/>
      <c r="M523" s="13"/>
      <c r="N523" s="13"/>
    </row>
    <row r="524" spans="1:14">
      <c r="A524" s="12"/>
      <c r="B524" s="12"/>
      <c r="C524" s="12"/>
      <c r="D524" s="7"/>
      <c r="E524" s="2"/>
      <c r="F524" s="13"/>
      <c r="G524" s="13"/>
      <c r="H524" s="13"/>
      <c r="I524" s="13"/>
      <c r="J524" s="13"/>
      <c r="K524" s="13"/>
      <c r="L524" s="13"/>
      <c r="M524" s="13"/>
      <c r="N524" s="13"/>
    </row>
    <row r="525" spans="1:14">
      <c r="A525" s="12"/>
      <c r="B525" s="12"/>
      <c r="C525" s="12"/>
      <c r="D525" s="7"/>
      <c r="E525" s="2"/>
      <c r="F525" s="13"/>
      <c r="G525" s="13"/>
      <c r="H525" s="13"/>
      <c r="I525" s="13"/>
      <c r="J525" s="13"/>
      <c r="K525" s="13"/>
      <c r="L525" s="13"/>
      <c r="M525" s="13"/>
      <c r="N525" s="13"/>
    </row>
    <row r="526" spans="1:14">
      <c r="A526" s="12"/>
      <c r="B526" s="12"/>
      <c r="C526" s="12"/>
      <c r="D526" s="7"/>
      <c r="E526" s="2"/>
      <c r="F526" s="13"/>
      <c r="G526" s="13"/>
      <c r="H526" s="13"/>
      <c r="I526" s="13"/>
      <c r="J526" s="13"/>
      <c r="K526" s="13"/>
      <c r="L526" s="13"/>
      <c r="M526" s="13"/>
      <c r="N526" s="13"/>
    </row>
    <row r="527" spans="1:14">
      <c r="A527" s="12"/>
      <c r="B527" s="12"/>
      <c r="C527" s="12"/>
      <c r="D527" s="7"/>
      <c r="E527" s="2"/>
      <c r="F527" s="13"/>
      <c r="G527" s="13"/>
      <c r="H527" s="13"/>
      <c r="I527" s="13"/>
      <c r="J527" s="13"/>
      <c r="K527" s="13"/>
      <c r="L527" s="13"/>
      <c r="M527" s="13"/>
      <c r="N527" s="13"/>
    </row>
    <row r="528" spans="1:14">
      <c r="A528" s="12"/>
      <c r="B528" s="12"/>
      <c r="C528" s="12"/>
      <c r="D528" s="7"/>
      <c r="E528" s="2"/>
      <c r="F528" s="13"/>
      <c r="G528" s="13"/>
      <c r="H528" s="13"/>
      <c r="I528" s="13"/>
      <c r="J528" s="13"/>
      <c r="K528" s="13"/>
      <c r="L528" s="13"/>
      <c r="M528" s="13"/>
      <c r="N528" s="13"/>
    </row>
    <row r="529" spans="1:14">
      <c r="A529" s="12"/>
      <c r="B529" s="12"/>
      <c r="C529" s="12"/>
      <c r="D529" s="7"/>
      <c r="E529" s="2"/>
      <c r="F529" s="13"/>
      <c r="G529" s="13"/>
      <c r="H529" s="13"/>
      <c r="I529" s="13"/>
      <c r="J529" s="13"/>
      <c r="K529" s="13"/>
      <c r="L529" s="13"/>
      <c r="M529" s="13"/>
      <c r="N529" s="13"/>
    </row>
    <row r="530" spans="1:14">
      <c r="A530" s="12"/>
      <c r="B530" s="12"/>
      <c r="C530" s="12"/>
      <c r="D530" s="7"/>
      <c r="E530" s="2"/>
      <c r="F530" s="13"/>
      <c r="G530" s="13"/>
      <c r="H530" s="13"/>
      <c r="I530" s="13"/>
      <c r="J530" s="13"/>
      <c r="K530" s="13"/>
      <c r="L530" s="13"/>
      <c r="M530" s="13"/>
      <c r="N530" s="13"/>
    </row>
    <row r="531" spans="1:14">
      <c r="A531" s="12"/>
      <c r="B531" s="12"/>
      <c r="C531" s="12"/>
      <c r="D531" s="7"/>
      <c r="E531" s="2"/>
      <c r="F531" s="13"/>
      <c r="G531" s="13"/>
      <c r="H531" s="13"/>
      <c r="I531" s="13"/>
      <c r="J531" s="13"/>
      <c r="K531" s="13"/>
      <c r="L531" s="13"/>
      <c r="M531" s="13"/>
      <c r="N531" s="13"/>
    </row>
    <row r="532" spans="1:14">
      <c r="A532" s="12"/>
      <c r="B532" s="12"/>
      <c r="C532" s="12"/>
      <c r="D532" s="7"/>
      <c r="E532" s="2"/>
      <c r="F532" s="13"/>
      <c r="G532" s="13"/>
      <c r="H532" s="13"/>
      <c r="I532" s="13"/>
      <c r="J532" s="13"/>
      <c r="K532" s="13"/>
      <c r="L532" s="13"/>
      <c r="M532" s="13"/>
      <c r="N532" s="13"/>
    </row>
    <row r="533" spans="1:14">
      <c r="A533" s="12"/>
      <c r="B533" s="12"/>
      <c r="C533" s="12"/>
      <c r="D533" s="7"/>
      <c r="E533" s="2"/>
      <c r="F533" s="13"/>
      <c r="G533" s="13"/>
      <c r="H533" s="13"/>
      <c r="I533" s="13"/>
      <c r="J533" s="13"/>
      <c r="K533" s="13"/>
      <c r="L533" s="13"/>
      <c r="M533" s="13"/>
      <c r="N533" s="13"/>
    </row>
    <row r="534" spans="1:14">
      <c r="A534" s="12"/>
      <c r="B534" s="12"/>
      <c r="C534" s="12"/>
      <c r="D534" s="7"/>
      <c r="E534" s="2"/>
      <c r="F534" s="13"/>
      <c r="G534" s="13"/>
      <c r="H534" s="13"/>
      <c r="I534" s="13"/>
      <c r="J534" s="13"/>
      <c r="K534" s="13"/>
      <c r="L534" s="13"/>
      <c r="M534" s="13"/>
      <c r="N534" s="13"/>
    </row>
    <row r="535" spans="1:14">
      <c r="A535" s="12"/>
      <c r="B535" s="12"/>
      <c r="C535" s="12"/>
      <c r="D535" s="7"/>
      <c r="E535" s="2"/>
      <c r="F535" s="13"/>
      <c r="G535" s="13"/>
      <c r="H535" s="13"/>
      <c r="I535" s="13"/>
      <c r="J535" s="13"/>
      <c r="K535" s="13"/>
      <c r="L535" s="13"/>
      <c r="M535" s="13"/>
      <c r="N535" s="13"/>
    </row>
    <row r="536" spans="1:14">
      <c r="A536" s="12"/>
      <c r="B536" s="12"/>
      <c r="C536" s="12"/>
      <c r="D536" s="7"/>
      <c r="E536" s="2"/>
      <c r="F536" s="13"/>
      <c r="G536" s="13"/>
      <c r="H536" s="13"/>
      <c r="I536" s="13"/>
      <c r="J536" s="13"/>
      <c r="K536" s="13"/>
      <c r="L536" s="13"/>
      <c r="M536" s="13"/>
      <c r="N536" s="13"/>
    </row>
    <row r="537" spans="1:14">
      <c r="A537" s="12"/>
      <c r="B537" s="12"/>
      <c r="C537" s="12"/>
      <c r="D537" s="7"/>
      <c r="E537" s="2"/>
      <c r="F537" s="13"/>
      <c r="G537" s="13"/>
      <c r="H537" s="13"/>
      <c r="I537" s="13"/>
      <c r="J537" s="13"/>
      <c r="K537" s="13"/>
      <c r="L537" s="13"/>
      <c r="M537" s="13"/>
      <c r="N537" s="13"/>
    </row>
    <row r="538" spans="1:14">
      <c r="A538" s="12"/>
      <c r="B538" s="12"/>
      <c r="C538" s="12"/>
      <c r="D538" s="7"/>
      <c r="E538" s="2"/>
      <c r="F538" s="13"/>
      <c r="G538" s="13"/>
      <c r="H538" s="13"/>
      <c r="I538" s="13"/>
      <c r="J538" s="13"/>
      <c r="K538" s="13"/>
      <c r="L538" s="13"/>
      <c r="M538" s="13"/>
      <c r="N538" s="13"/>
    </row>
    <row r="539" spans="1:14">
      <c r="A539" s="12"/>
      <c r="B539" s="12"/>
      <c r="C539" s="12"/>
      <c r="D539" s="7"/>
      <c r="E539" s="2"/>
      <c r="F539" s="13"/>
      <c r="G539" s="13"/>
      <c r="H539" s="13"/>
      <c r="I539" s="13"/>
      <c r="J539" s="13"/>
      <c r="K539" s="13"/>
      <c r="L539" s="13"/>
      <c r="M539" s="13"/>
      <c r="N539" s="13"/>
    </row>
    <row r="540" spans="1:14">
      <c r="A540" s="12"/>
      <c r="B540" s="12"/>
      <c r="C540" s="12"/>
      <c r="D540" s="7"/>
      <c r="E540" s="2"/>
      <c r="F540" s="13"/>
      <c r="G540" s="13"/>
      <c r="H540" s="13"/>
      <c r="I540" s="13"/>
      <c r="J540" s="13"/>
      <c r="K540" s="13"/>
      <c r="L540" s="13"/>
      <c r="M540" s="13"/>
      <c r="N540" s="13"/>
    </row>
    <row r="541" spans="1:14">
      <c r="A541" s="12"/>
      <c r="B541" s="12"/>
      <c r="C541" s="12"/>
      <c r="D541" s="7"/>
      <c r="E541" s="2"/>
      <c r="F541" s="13"/>
      <c r="G541" s="13"/>
      <c r="H541" s="13"/>
      <c r="I541" s="13"/>
      <c r="J541" s="13"/>
      <c r="K541" s="13"/>
      <c r="L541" s="13"/>
      <c r="M541" s="13"/>
      <c r="N541" s="13"/>
    </row>
    <row r="542" spans="1:14">
      <c r="A542" s="12"/>
      <c r="B542" s="12"/>
      <c r="C542" s="12"/>
      <c r="D542" s="7"/>
      <c r="E542" s="2"/>
      <c r="F542" s="13"/>
      <c r="G542" s="13"/>
      <c r="H542" s="13"/>
      <c r="I542" s="13"/>
      <c r="J542" s="13"/>
      <c r="K542" s="13"/>
      <c r="L542" s="13"/>
      <c r="M542" s="13"/>
      <c r="N542" s="13"/>
    </row>
    <row r="543" spans="1:14">
      <c r="A543" s="12"/>
      <c r="B543" s="12"/>
      <c r="C543" s="12"/>
      <c r="D543" s="7"/>
      <c r="E543" s="2"/>
      <c r="F543" s="13"/>
      <c r="G543" s="13"/>
      <c r="H543" s="13"/>
      <c r="I543" s="13"/>
      <c r="J543" s="13"/>
      <c r="K543" s="13"/>
      <c r="L543" s="13"/>
      <c r="M543" s="13"/>
      <c r="N543" s="13"/>
    </row>
    <row r="544" spans="1:14">
      <c r="A544" s="12"/>
      <c r="B544" s="12"/>
      <c r="C544" s="12"/>
      <c r="D544" s="7"/>
      <c r="E544" s="2"/>
      <c r="F544" s="13"/>
      <c r="G544" s="13"/>
      <c r="H544" s="13"/>
      <c r="I544" s="13"/>
      <c r="J544" s="13"/>
      <c r="K544" s="13"/>
      <c r="L544" s="13"/>
      <c r="M544" s="13"/>
      <c r="N544" s="13"/>
    </row>
    <row r="545" spans="1:14">
      <c r="A545" s="12"/>
      <c r="B545" s="12"/>
      <c r="C545" s="12"/>
      <c r="D545" s="7"/>
      <c r="E545" s="2"/>
      <c r="F545" s="13"/>
      <c r="G545" s="13"/>
      <c r="H545" s="13"/>
      <c r="I545" s="13"/>
      <c r="J545" s="13"/>
      <c r="K545" s="13"/>
      <c r="L545" s="13"/>
      <c r="M545" s="13"/>
      <c r="N545" s="13"/>
    </row>
    <row r="546" spans="1:14">
      <c r="A546" s="12"/>
      <c r="B546" s="12"/>
      <c r="C546" s="12"/>
      <c r="D546" s="7"/>
      <c r="E546" s="2"/>
      <c r="F546" s="13"/>
      <c r="G546" s="13"/>
      <c r="H546" s="13"/>
      <c r="I546" s="13"/>
      <c r="J546" s="13"/>
      <c r="K546" s="13"/>
      <c r="L546" s="13"/>
      <c r="M546" s="13"/>
      <c r="N546" s="13"/>
    </row>
    <row r="547" spans="1:14">
      <c r="A547" s="12"/>
      <c r="B547" s="12"/>
      <c r="C547" s="12"/>
      <c r="D547" s="7"/>
      <c r="E547" s="2"/>
      <c r="F547" s="13"/>
      <c r="G547" s="13"/>
      <c r="H547" s="13"/>
      <c r="I547" s="13"/>
      <c r="J547" s="13"/>
      <c r="K547" s="13"/>
      <c r="L547" s="13"/>
      <c r="M547" s="13"/>
      <c r="N547" s="13"/>
    </row>
    <row r="548" spans="1:14">
      <c r="A548" s="12"/>
      <c r="B548" s="12"/>
      <c r="C548" s="12"/>
      <c r="D548" s="7"/>
      <c r="E548" s="2"/>
      <c r="F548" s="13"/>
      <c r="G548" s="13"/>
      <c r="H548" s="13"/>
      <c r="I548" s="13"/>
      <c r="J548" s="13"/>
      <c r="K548" s="13"/>
      <c r="L548" s="13"/>
      <c r="M548" s="13"/>
      <c r="N548" s="13"/>
    </row>
    <row r="549" spans="1:14">
      <c r="A549" s="12"/>
      <c r="B549" s="12"/>
      <c r="C549" s="12"/>
      <c r="D549" s="7"/>
      <c r="E549" s="2"/>
      <c r="F549" s="13"/>
      <c r="G549" s="13"/>
      <c r="H549" s="13"/>
      <c r="I549" s="13"/>
      <c r="J549" s="13"/>
      <c r="K549" s="13"/>
      <c r="L549" s="13"/>
      <c r="M549" s="13"/>
      <c r="N549" s="13"/>
    </row>
    <row r="550" spans="1:14">
      <c r="A550" s="12"/>
      <c r="B550" s="12"/>
      <c r="C550" s="12"/>
      <c r="D550" s="7"/>
      <c r="E550" s="2"/>
      <c r="F550" s="13"/>
      <c r="G550" s="13"/>
      <c r="H550" s="13"/>
      <c r="I550" s="13"/>
      <c r="J550" s="13"/>
      <c r="K550" s="13"/>
      <c r="L550" s="13"/>
      <c r="M550" s="13"/>
      <c r="N550" s="13"/>
    </row>
    <row r="551" spans="1:14">
      <c r="A551" s="12"/>
      <c r="B551" s="12"/>
      <c r="C551" s="12"/>
      <c r="D551" s="7"/>
      <c r="E551" s="2"/>
      <c r="F551" s="13"/>
      <c r="G551" s="13"/>
      <c r="H551" s="13"/>
      <c r="I551" s="13"/>
      <c r="J551" s="13"/>
      <c r="K551" s="13"/>
      <c r="L551" s="13"/>
      <c r="M551" s="13"/>
      <c r="N551" s="13"/>
    </row>
    <row r="552" spans="1:14">
      <c r="A552" s="12"/>
      <c r="B552" s="12"/>
      <c r="C552" s="12"/>
      <c r="D552" s="7"/>
      <c r="E552" s="2"/>
      <c r="F552" s="13"/>
      <c r="G552" s="13"/>
      <c r="H552" s="13"/>
      <c r="I552" s="13"/>
      <c r="J552" s="13"/>
      <c r="K552" s="13"/>
      <c r="L552" s="13"/>
      <c r="M552" s="13"/>
      <c r="N552" s="13"/>
    </row>
    <row r="553" spans="1:14">
      <c r="A553" s="12"/>
      <c r="B553" s="12"/>
      <c r="C553" s="12"/>
      <c r="D553" s="7"/>
      <c r="E553" s="2"/>
      <c r="F553" s="13"/>
      <c r="G553" s="13"/>
      <c r="H553" s="13"/>
      <c r="I553" s="13"/>
      <c r="J553" s="13"/>
      <c r="K553" s="13"/>
      <c r="L553" s="13"/>
      <c r="M553" s="13"/>
      <c r="N553" s="13"/>
    </row>
    <row r="554" spans="1:14">
      <c r="A554" s="12"/>
      <c r="B554" s="12"/>
      <c r="C554" s="12"/>
      <c r="D554" s="7"/>
      <c r="E554" s="2"/>
      <c r="F554" s="13"/>
      <c r="G554" s="13"/>
      <c r="H554" s="13"/>
      <c r="I554" s="13"/>
      <c r="J554" s="13"/>
      <c r="K554" s="13"/>
      <c r="L554" s="13"/>
      <c r="M554" s="13"/>
      <c r="N554" s="13"/>
    </row>
    <row r="555" spans="1:14">
      <c r="A555" s="12"/>
      <c r="B555" s="12"/>
      <c r="C555" s="12"/>
      <c r="D555" s="7"/>
      <c r="E555" s="2"/>
      <c r="F555" s="13"/>
      <c r="G555" s="13"/>
      <c r="H555" s="13"/>
      <c r="I555" s="13"/>
      <c r="J555" s="13"/>
      <c r="K555" s="13"/>
      <c r="L555" s="13"/>
      <c r="M555" s="13"/>
      <c r="N555" s="13"/>
    </row>
    <row r="556" spans="1:14">
      <c r="A556" s="12"/>
      <c r="B556" s="12"/>
      <c r="C556" s="12"/>
      <c r="D556" s="7"/>
      <c r="E556" s="2"/>
      <c r="F556" s="13"/>
      <c r="G556" s="13"/>
      <c r="H556" s="13"/>
      <c r="I556" s="13"/>
      <c r="J556" s="13"/>
      <c r="K556" s="13"/>
      <c r="L556" s="13"/>
      <c r="M556" s="13"/>
      <c r="N556" s="13"/>
    </row>
    <row r="557" spans="1:14">
      <c r="A557" s="12"/>
      <c r="B557" s="12"/>
      <c r="C557" s="12"/>
      <c r="D557" s="7"/>
      <c r="E557" s="2"/>
      <c r="F557" s="13"/>
      <c r="G557" s="13"/>
      <c r="H557" s="13"/>
      <c r="I557" s="13"/>
      <c r="J557" s="13"/>
      <c r="K557" s="13"/>
      <c r="L557" s="13"/>
      <c r="M557" s="13"/>
      <c r="N557" s="13"/>
    </row>
    <row r="558" spans="1:14">
      <c r="A558" s="12"/>
      <c r="B558" s="12"/>
      <c r="C558" s="12"/>
      <c r="D558" s="7"/>
      <c r="E558" s="2"/>
      <c r="F558" s="13"/>
      <c r="G558" s="13"/>
      <c r="H558" s="13"/>
      <c r="I558" s="13"/>
      <c r="J558" s="13"/>
      <c r="K558" s="13"/>
      <c r="L558" s="13"/>
      <c r="M558" s="13"/>
      <c r="N558" s="13"/>
    </row>
    <row r="559" spans="1:14">
      <c r="A559" s="12"/>
      <c r="B559" s="12"/>
      <c r="C559" s="12"/>
      <c r="D559" s="7"/>
      <c r="E559" s="2"/>
      <c r="F559" s="13"/>
      <c r="G559" s="13"/>
      <c r="H559" s="13"/>
      <c r="I559" s="13"/>
      <c r="J559" s="13"/>
      <c r="K559" s="13"/>
      <c r="L559" s="13"/>
      <c r="M559" s="13"/>
      <c r="N559" s="13"/>
    </row>
    <row r="560" spans="1:14">
      <c r="A560" s="12"/>
      <c r="B560" s="12"/>
      <c r="C560" s="12"/>
      <c r="D560" s="7"/>
      <c r="E560" s="2"/>
      <c r="F560" s="13"/>
      <c r="G560" s="13"/>
      <c r="H560" s="13"/>
      <c r="I560" s="13"/>
      <c r="J560" s="13"/>
      <c r="K560" s="13"/>
      <c r="L560" s="13"/>
      <c r="M560" s="13"/>
      <c r="N560" s="13"/>
    </row>
    <row r="561" spans="1:14">
      <c r="A561" s="12"/>
      <c r="B561" s="12"/>
      <c r="C561" s="12"/>
      <c r="D561" s="7"/>
      <c r="E561" s="2"/>
      <c r="F561" s="13"/>
      <c r="G561" s="13"/>
      <c r="H561" s="13"/>
      <c r="I561" s="13"/>
      <c r="J561" s="13"/>
      <c r="K561" s="13"/>
      <c r="L561" s="13"/>
      <c r="M561" s="13"/>
      <c r="N561" s="13"/>
    </row>
    <row r="562" spans="1:14">
      <c r="A562" s="12"/>
      <c r="B562" s="12"/>
      <c r="C562" s="12"/>
      <c r="D562" s="7"/>
      <c r="E562" s="2"/>
      <c r="F562" s="13"/>
      <c r="G562" s="13"/>
      <c r="H562" s="13"/>
      <c r="I562" s="13"/>
      <c r="J562" s="13"/>
      <c r="K562" s="13"/>
      <c r="L562" s="13"/>
      <c r="M562" s="13"/>
      <c r="N562" s="13"/>
    </row>
    <row r="563" spans="1:14">
      <c r="A563" s="12"/>
      <c r="B563" s="12"/>
      <c r="C563" s="12"/>
      <c r="D563" s="7"/>
      <c r="E563" s="2"/>
      <c r="F563" s="13"/>
      <c r="G563" s="13"/>
      <c r="H563" s="13"/>
      <c r="I563" s="13"/>
      <c r="J563" s="13"/>
      <c r="K563" s="13"/>
      <c r="L563" s="13"/>
      <c r="M563" s="13"/>
      <c r="N563" s="13"/>
    </row>
    <row r="564" spans="1:14">
      <c r="A564" s="12"/>
      <c r="B564" s="12"/>
      <c r="C564" s="12"/>
      <c r="D564" s="7"/>
      <c r="E564" s="2"/>
      <c r="F564" s="13"/>
      <c r="G564" s="13"/>
      <c r="H564" s="13"/>
      <c r="I564" s="13"/>
      <c r="J564" s="13"/>
      <c r="K564" s="13"/>
      <c r="L564" s="13"/>
      <c r="M564" s="13"/>
      <c r="N564" s="13"/>
    </row>
    <row r="565" spans="1:14">
      <c r="A565" s="12"/>
      <c r="B565" s="12"/>
      <c r="C565" s="12"/>
      <c r="D565" s="7"/>
      <c r="E565" s="2"/>
      <c r="F565" s="13"/>
      <c r="G565" s="13"/>
      <c r="H565" s="13"/>
      <c r="I565" s="13"/>
      <c r="J565" s="13"/>
      <c r="K565" s="13"/>
      <c r="L565" s="13"/>
      <c r="M565" s="13"/>
      <c r="N565" s="13"/>
    </row>
    <row r="566" spans="1:14">
      <c r="A566" s="12"/>
      <c r="B566" s="12"/>
      <c r="C566" s="12"/>
      <c r="D566" s="7"/>
      <c r="E566" s="2"/>
      <c r="F566" s="13"/>
      <c r="G566" s="13"/>
      <c r="H566" s="13"/>
      <c r="I566" s="13"/>
      <c r="J566" s="13"/>
      <c r="K566" s="13"/>
      <c r="L566" s="13"/>
      <c r="M566" s="13"/>
      <c r="N566" s="13"/>
    </row>
    <row r="567" spans="1:14">
      <c r="A567" s="12"/>
      <c r="B567" s="12"/>
      <c r="C567" s="12"/>
      <c r="D567" s="7"/>
      <c r="E567" s="2"/>
      <c r="F567" s="13"/>
      <c r="G567" s="13"/>
      <c r="H567" s="13"/>
      <c r="I567" s="13"/>
      <c r="J567" s="13"/>
      <c r="K567" s="13"/>
      <c r="L567" s="13"/>
      <c r="M567" s="13"/>
      <c r="N567" s="13"/>
    </row>
    <row r="568" spans="1:14">
      <c r="A568" s="12"/>
      <c r="B568" s="12"/>
      <c r="C568" s="12"/>
      <c r="D568" s="7"/>
      <c r="E568" s="2"/>
      <c r="F568" s="13"/>
      <c r="G568" s="13"/>
      <c r="H568" s="13"/>
      <c r="I568" s="13"/>
      <c r="J568" s="13"/>
      <c r="K568" s="13"/>
      <c r="L568" s="13"/>
      <c r="M568" s="13"/>
      <c r="N568" s="13"/>
    </row>
    <row r="569" spans="1:14">
      <c r="A569" s="12"/>
      <c r="B569" s="12"/>
      <c r="C569" s="12"/>
      <c r="D569" s="7"/>
      <c r="E569" s="2"/>
      <c r="F569" s="13"/>
      <c r="G569" s="13"/>
      <c r="H569" s="13"/>
      <c r="I569" s="13"/>
      <c r="J569" s="13"/>
      <c r="K569" s="13"/>
      <c r="L569" s="13"/>
      <c r="M569" s="13"/>
      <c r="N569" s="13"/>
    </row>
    <row r="570" spans="1:14">
      <c r="A570" s="12"/>
      <c r="B570" s="12"/>
      <c r="C570" s="12"/>
      <c r="D570" s="7"/>
      <c r="E570" s="2"/>
      <c r="F570" s="13"/>
      <c r="G570" s="13"/>
      <c r="H570" s="13"/>
      <c r="I570" s="13"/>
      <c r="J570" s="13"/>
      <c r="K570" s="13"/>
      <c r="L570" s="13"/>
      <c r="M570" s="13"/>
      <c r="N570" s="13"/>
    </row>
    <row r="571" spans="1:14">
      <c r="A571" s="12"/>
      <c r="B571" s="12"/>
      <c r="C571" s="12"/>
      <c r="D571" s="7"/>
      <c r="E571" s="2"/>
      <c r="F571" s="13"/>
      <c r="G571" s="13"/>
      <c r="H571" s="13"/>
      <c r="I571" s="13"/>
      <c r="J571" s="13"/>
      <c r="K571" s="13"/>
      <c r="L571" s="13"/>
      <c r="M571" s="13"/>
      <c r="N571" s="13"/>
    </row>
    <row r="572" spans="1:14">
      <c r="A572" s="12"/>
      <c r="B572" s="12"/>
      <c r="C572" s="12"/>
      <c r="D572" s="7"/>
      <c r="E572" s="2"/>
      <c r="F572" s="13"/>
      <c r="G572" s="13"/>
      <c r="H572" s="13"/>
      <c r="I572" s="13"/>
      <c r="J572" s="13"/>
      <c r="K572" s="13"/>
      <c r="L572" s="13"/>
      <c r="M572" s="13"/>
      <c r="N572" s="13"/>
    </row>
    <row r="573" spans="1:14">
      <c r="A573" s="12"/>
      <c r="B573" s="12"/>
      <c r="C573" s="12"/>
      <c r="D573" s="7"/>
      <c r="E573" s="2"/>
      <c r="F573" s="13"/>
      <c r="G573" s="13"/>
      <c r="H573" s="13"/>
      <c r="I573" s="13"/>
      <c r="J573" s="13"/>
      <c r="K573" s="13"/>
      <c r="L573" s="13"/>
      <c r="M573" s="13"/>
      <c r="N573" s="13"/>
    </row>
    <row r="574" spans="1:14">
      <c r="A574" s="12"/>
      <c r="B574" s="12"/>
      <c r="C574" s="12"/>
      <c r="D574" s="7"/>
      <c r="E574" s="2"/>
      <c r="F574" s="13"/>
      <c r="G574" s="13"/>
      <c r="H574" s="13"/>
      <c r="I574" s="13"/>
      <c r="J574" s="13"/>
      <c r="K574" s="13"/>
      <c r="L574" s="13"/>
      <c r="M574" s="13"/>
      <c r="N574" s="13"/>
    </row>
    <row r="575" spans="1:14">
      <c r="A575" s="12"/>
      <c r="B575" s="12"/>
      <c r="C575" s="12"/>
      <c r="D575" s="7"/>
      <c r="E575" s="2"/>
      <c r="F575" s="13"/>
      <c r="G575" s="13"/>
      <c r="H575" s="13"/>
      <c r="I575" s="13"/>
      <c r="J575" s="13"/>
      <c r="K575" s="13"/>
      <c r="L575" s="13"/>
      <c r="M575" s="13"/>
      <c r="N575" s="13"/>
    </row>
    <row r="576" spans="1:14">
      <c r="A576" s="12"/>
      <c r="B576" s="12"/>
      <c r="C576" s="12"/>
      <c r="D576" s="7"/>
      <c r="E576" s="2"/>
      <c r="F576" s="13"/>
      <c r="G576" s="13"/>
      <c r="H576" s="13"/>
      <c r="I576" s="13"/>
      <c r="J576" s="13"/>
      <c r="K576" s="13"/>
      <c r="L576" s="13"/>
      <c r="M576" s="13"/>
      <c r="N576" s="13"/>
    </row>
    <row r="577" spans="1:14">
      <c r="A577" s="12"/>
      <c r="B577" s="12"/>
      <c r="C577" s="12"/>
      <c r="D577" s="7"/>
      <c r="E577" s="2"/>
      <c r="F577" s="13"/>
      <c r="G577" s="13"/>
      <c r="H577" s="13"/>
      <c r="I577" s="13"/>
      <c r="J577" s="13"/>
      <c r="K577" s="13"/>
      <c r="L577" s="13"/>
      <c r="M577" s="13"/>
      <c r="N577" s="13"/>
    </row>
    <row r="578" spans="1:14">
      <c r="A578" s="12"/>
      <c r="B578" s="12"/>
      <c r="C578" s="12"/>
      <c r="D578" s="7"/>
      <c r="E578" s="2"/>
      <c r="F578" s="13"/>
      <c r="G578" s="13"/>
      <c r="H578" s="13"/>
      <c r="I578" s="13"/>
      <c r="J578" s="13"/>
      <c r="K578" s="13"/>
      <c r="L578" s="13"/>
      <c r="M578" s="13"/>
      <c r="N578" s="13"/>
    </row>
    <row r="579" spans="1:14">
      <c r="A579" s="12"/>
      <c r="B579" s="12"/>
      <c r="C579" s="12"/>
      <c r="D579" s="7"/>
      <c r="E579" s="2"/>
      <c r="F579" s="13"/>
      <c r="G579" s="13"/>
      <c r="H579" s="13"/>
      <c r="I579" s="13"/>
      <c r="J579" s="13"/>
      <c r="K579" s="13"/>
      <c r="L579" s="13"/>
      <c r="M579" s="13"/>
      <c r="N579" s="13"/>
    </row>
    <row r="580" spans="1:14">
      <c r="A580" s="12"/>
      <c r="B580" s="12"/>
      <c r="C580" s="12"/>
      <c r="D580" s="7"/>
      <c r="E580" s="2"/>
      <c r="F580" s="13"/>
      <c r="G580" s="13"/>
      <c r="H580" s="13"/>
      <c r="I580" s="13"/>
      <c r="J580" s="13"/>
      <c r="K580" s="13"/>
      <c r="L580" s="13"/>
      <c r="M580" s="13"/>
      <c r="N580" s="13"/>
    </row>
    <row r="581" spans="1:14">
      <c r="A581" s="12"/>
      <c r="B581" s="12"/>
      <c r="C581" s="12"/>
      <c r="D581" s="7"/>
      <c r="E581" s="2"/>
      <c r="F581" s="13"/>
      <c r="G581" s="13"/>
      <c r="H581" s="13"/>
      <c r="I581" s="13"/>
      <c r="J581" s="13"/>
      <c r="K581" s="13"/>
      <c r="L581" s="13"/>
      <c r="M581" s="13"/>
      <c r="N581" s="13"/>
    </row>
    <row r="582" spans="1:14">
      <c r="A582" s="12"/>
      <c r="B582" s="12"/>
      <c r="C582" s="12"/>
      <c r="D582" s="7"/>
      <c r="E582" s="2"/>
      <c r="F582" s="13"/>
      <c r="G582" s="13"/>
      <c r="H582" s="13"/>
      <c r="I582" s="13"/>
      <c r="J582" s="13"/>
      <c r="K582" s="13"/>
      <c r="L582" s="13"/>
      <c r="M582" s="13"/>
      <c r="N582" s="13"/>
    </row>
    <row r="583" spans="1:14">
      <c r="A583" s="12"/>
      <c r="B583" s="12"/>
      <c r="C583" s="12"/>
      <c r="D583" s="7"/>
      <c r="E583" s="2"/>
      <c r="F583" s="13"/>
      <c r="G583" s="13"/>
      <c r="H583" s="13"/>
      <c r="I583" s="13"/>
      <c r="J583" s="13"/>
      <c r="K583" s="13"/>
      <c r="L583" s="13"/>
      <c r="M583" s="13"/>
      <c r="N583" s="13"/>
    </row>
    <row r="584" spans="1:14">
      <c r="A584" s="12"/>
      <c r="B584" s="12"/>
      <c r="C584" s="12"/>
      <c r="D584" s="7"/>
      <c r="E584" s="2"/>
      <c r="F584" s="13"/>
      <c r="G584" s="13"/>
      <c r="H584" s="13"/>
      <c r="I584" s="13"/>
      <c r="J584" s="13"/>
      <c r="K584" s="13"/>
      <c r="L584" s="13"/>
      <c r="M584" s="13"/>
      <c r="N584" s="13"/>
    </row>
    <row r="585" spans="1:14">
      <c r="A585" s="12"/>
      <c r="B585" s="12"/>
      <c r="C585" s="12"/>
      <c r="D585" s="7"/>
      <c r="E585" s="2"/>
      <c r="F585" s="13"/>
      <c r="G585" s="13"/>
      <c r="H585" s="13"/>
      <c r="I585" s="13"/>
      <c r="J585" s="13"/>
      <c r="K585" s="13"/>
      <c r="L585" s="13"/>
      <c r="M585" s="13"/>
      <c r="N585" s="13"/>
    </row>
    <row r="586" spans="1:14">
      <c r="A586" s="12"/>
      <c r="B586" s="12"/>
      <c r="C586" s="12"/>
      <c r="D586" s="7"/>
      <c r="E586" s="2"/>
      <c r="F586" s="13"/>
      <c r="G586" s="13"/>
      <c r="H586" s="13"/>
      <c r="I586" s="13"/>
      <c r="J586" s="13"/>
      <c r="K586" s="13"/>
      <c r="L586" s="13"/>
      <c r="M586" s="13"/>
      <c r="N586" s="13"/>
    </row>
    <row r="587" spans="1:14">
      <c r="A587" s="12"/>
      <c r="B587" s="12"/>
      <c r="C587" s="12"/>
      <c r="D587" s="7"/>
      <c r="E587" s="2"/>
      <c r="F587" s="13"/>
      <c r="G587" s="13"/>
      <c r="H587" s="13"/>
      <c r="I587" s="13"/>
      <c r="J587" s="13"/>
      <c r="K587" s="13"/>
      <c r="L587" s="13"/>
      <c r="M587" s="13"/>
      <c r="N587" s="13"/>
    </row>
    <row r="588" spans="1:14">
      <c r="A588" s="12"/>
      <c r="B588" s="12"/>
      <c r="C588" s="12"/>
      <c r="D588" s="7"/>
      <c r="E588" s="2"/>
      <c r="F588" s="13"/>
      <c r="G588" s="13"/>
      <c r="H588" s="13"/>
      <c r="I588" s="13"/>
      <c r="J588" s="13"/>
      <c r="K588" s="13"/>
      <c r="L588" s="13"/>
      <c r="M588" s="13"/>
      <c r="N588" s="13"/>
    </row>
    <row r="589" spans="1:14">
      <c r="A589" s="12"/>
      <c r="B589" s="12"/>
      <c r="C589" s="12"/>
      <c r="D589" s="7"/>
      <c r="E589" s="2"/>
      <c r="F589" s="13"/>
      <c r="G589" s="13"/>
      <c r="H589" s="13"/>
      <c r="I589" s="13"/>
      <c r="J589" s="13"/>
      <c r="K589" s="13"/>
      <c r="L589" s="13"/>
      <c r="M589" s="13"/>
      <c r="N589" s="13"/>
    </row>
    <row r="590" spans="1:14">
      <c r="A590" s="12"/>
      <c r="B590" s="12"/>
      <c r="C590" s="12"/>
      <c r="D590" s="7"/>
      <c r="E590" s="2"/>
      <c r="F590" s="13"/>
      <c r="G590" s="13"/>
      <c r="H590" s="13"/>
      <c r="I590" s="13"/>
      <c r="J590" s="13"/>
      <c r="K590" s="13"/>
      <c r="L590" s="13"/>
      <c r="M590" s="13"/>
      <c r="N590" s="13"/>
    </row>
    <row r="591" spans="1:14">
      <c r="A591" s="12"/>
      <c r="B591" s="12"/>
      <c r="C591" s="12"/>
      <c r="D591" s="7"/>
      <c r="E591" s="2"/>
      <c r="F591" s="13"/>
      <c r="G591" s="13"/>
      <c r="H591" s="13"/>
      <c r="I591" s="13"/>
      <c r="J591" s="13"/>
      <c r="K591" s="13"/>
      <c r="L591" s="13"/>
      <c r="M591" s="13"/>
      <c r="N591" s="13"/>
    </row>
    <row r="592" spans="1:14">
      <c r="A592" s="12"/>
      <c r="B592" s="12"/>
      <c r="C592" s="12"/>
      <c r="D592" s="7"/>
      <c r="E592" s="2"/>
      <c r="F592" s="13"/>
      <c r="G592" s="13"/>
      <c r="H592" s="13"/>
      <c r="I592" s="13"/>
      <c r="J592" s="13"/>
      <c r="K592" s="13"/>
      <c r="L592" s="13"/>
      <c r="M592" s="13"/>
      <c r="N592" s="13"/>
    </row>
    <row r="593" spans="1:14">
      <c r="A593" s="12"/>
      <c r="B593" s="12"/>
      <c r="C593" s="12"/>
      <c r="D593" s="7"/>
      <c r="E593" s="2"/>
      <c r="F593" s="13"/>
      <c r="G593" s="13"/>
      <c r="H593" s="13"/>
      <c r="I593" s="13"/>
      <c r="J593" s="13"/>
      <c r="K593" s="13"/>
      <c r="L593" s="13"/>
      <c r="M593" s="13"/>
      <c r="N593" s="13"/>
    </row>
    <row r="594" spans="1:14">
      <c r="A594" s="12"/>
      <c r="B594" s="12"/>
      <c r="C594" s="12"/>
      <c r="D594" s="7"/>
      <c r="E594" s="2"/>
      <c r="F594" s="13"/>
      <c r="G594" s="13"/>
      <c r="H594" s="13"/>
      <c r="I594" s="13"/>
      <c r="J594" s="13"/>
      <c r="K594" s="13"/>
      <c r="L594" s="13"/>
      <c r="M594" s="13"/>
      <c r="N594" s="13"/>
    </row>
    <row r="595" spans="1:14">
      <c r="A595" s="12"/>
      <c r="B595" s="12"/>
      <c r="C595" s="12"/>
      <c r="D595" s="7"/>
      <c r="E595" s="2"/>
      <c r="F595" s="13"/>
      <c r="G595" s="13"/>
      <c r="H595" s="13"/>
      <c r="I595" s="13"/>
      <c r="J595" s="13"/>
      <c r="K595" s="13"/>
      <c r="L595" s="13"/>
      <c r="M595" s="13"/>
      <c r="N595" s="13"/>
    </row>
    <row r="596" spans="1:14">
      <c r="A596" s="12"/>
      <c r="B596" s="12"/>
      <c r="C596" s="12"/>
      <c r="D596" s="7"/>
      <c r="E596" s="2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1:14">
      <c r="A597" s="12"/>
      <c r="B597" s="12"/>
      <c r="C597" s="12"/>
      <c r="D597" s="7"/>
      <c r="E597" s="2"/>
      <c r="F597" s="13"/>
      <c r="G597" s="13"/>
      <c r="H597" s="13"/>
      <c r="I597" s="13"/>
      <c r="J597" s="13"/>
      <c r="K597" s="13"/>
      <c r="L597" s="13"/>
      <c r="M597" s="13"/>
      <c r="N597" s="13"/>
    </row>
    <row r="598" spans="1:14">
      <c r="A598" s="12"/>
      <c r="B598" s="12"/>
      <c r="C598" s="12"/>
      <c r="D598" s="7"/>
      <c r="E598" s="2"/>
      <c r="F598" s="13"/>
      <c r="G598" s="13"/>
      <c r="H598" s="13"/>
      <c r="I598" s="13"/>
      <c r="J598" s="13"/>
      <c r="K598" s="13"/>
      <c r="L598" s="13"/>
      <c r="M598" s="13"/>
      <c r="N598" s="13"/>
    </row>
    <row r="599" spans="1:14">
      <c r="A599" s="12"/>
      <c r="B599" s="12"/>
      <c r="C599" s="12"/>
      <c r="D599" s="7"/>
      <c r="E599" s="2"/>
      <c r="F599" s="13"/>
      <c r="G599" s="13"/>
      <c r="H599" s="13"/>
      <c r="I599" s="13"/>
      <c r="J599" s="13"/>
      <c r="K599" s="13"/>
      <c r="L599" s="13"/>
      <c r="M599" s="13"/>
      <c r="N599" s="13"/>
    </row>
    <row r="600" spans="1:14">
      <c r="A600" s="12"/>
      <c r="B600" s="12"/>
      <c r="C600" s="12"/>
      <c r="D600" s="7"/>
      <c r="E600" s="2"/>
      <c r="F600" s="13"/>
      <c r="G600" s="13"/>
      <c r="H600" s="13"/>
      <c r="I600" s="13"/>
      <c r="J600" s="13"/>
      <c r="K600" s="13"/>
      <c r="L600" s="13"/>
      <c r="M600" s="13"/>
      <c r="N600" s="13"/>
    </row>
    <row r="601" spans="1:14">
      <c r="A601" s="12"/>
      <c r="B601" s="12"/>
      <c r="C601" s="12"/>
      <c r="D601" s="7"/>
      <c r="E601" s="2"/>
      <c r="F601" s="13"/>
      <c r="G601" s="13"/>
      <c r="H601" s="13"/>
      <c r="I601" s="13"/>
      <c r="J601" s="13"/>
      <c r="K601" s="13"/>
      <c r="L601" s="13"/>
      <c r="M601" s="13"/>
      <c r="N601" s="13"/>
    </row>
    <row r="602" spans="1:14">
      <c r="A602" s="12"/>
      <c r="B602" s="12"/>
      <c r="C602" s="12"/>
      <c r="D602" s="7"/>
      <c r="E602" s="2"/>
      <c r="F602" s="13"/>
      <c r="G602" s="13"/>
      <c r="H602" s="13"/>
      <c r="I602" s="13"/>
      <c r="J602" s="13"/>
      <c r="K602" s="13"/>
      <c r="L602" s="13"/>
      <c r="M602" s="13"/>
      <c r="N602" s="13"/>
    </row>
    <row r="603" spans="1:14">
      <c r="A603" s="12"/>
      <c r="B603" s="12"/>
      <c r="C603" s="12"/>
      <c r="D603" s="7"/>
      <c r="E603" s="2"/>
      <c r="F603" s="13"/>
      <c r="G603" s="13"/>
      <c r="H603" s="13"/>
      <c r="I603" s="13"/>
      <c r="J603" s="13"/>
      <c r="K603" s="13"/>
      <c r="L603" s="13"/>
      <c r="M603" s="13"/>
      <c r="N603" s="13"/>
    </row>
    <row r="604" spans="1:14">
      <c r="A604" s="12"/>
      <c r="B604" s="12"/>
      <c r="C604" s="12"/>
      <c r="D604" s="7"/>
      <c r="E604" s="2"/>
      <c r="F604" s="13"/>
      <c r="G604" s="13"/>
      <c r="H604" s="13"/>
      <c r="I604" s="13"/>
      <c r="J604" s="13"/>
      <c r="K604" s="13"/>
      <c r="L604" s="13"/>
      <c r="M604" s="13"/>
      <c r="N604" s="13"/>
    </row>
    <row r="605" spans="1:14">
      <c r="A605" s="12"/>
      <c r="B605" s="12"/>
      <c r="C605" s="12"/>
      <c r="D605" s="7"/>
      <c r="E605" s="2"/>
      <c r="F605" s="13"/>
      <c r="G605" s="13"/>
      <c r="H605" s="13"/>
      <c r="I605" s="13"/>
      <c r="J605" s="13"/>
      <c r="K605" s="13"/>
      <c r="L605" s="13"/>
      <c r="M605" s="13"/>
      <c r="N605" s="13"/>
    </row>
    <row r="606" spans="1:14">
      <c r="A606" s="12"/>
      <c r="B606" s="12"/>
      <c r="C606" s="12"/>
      <c r="D606" s="7"/>
      <c r="E606" s="2"/>
      <c r="F606" s="13"/>
      <c r="G606" s="13"/>
      <c r="H606" s="13"/>
      <c r="I606" s="13"/>
      <c r="J606" s="13"/>
      <c r="K606" s="13"/>
      <c r="L606" s="13"/>
      <c r="M606" s="13"/>
      <c r="N606" s="13"/>
    </row>
    <row r="607" spans="1:14">
      <c r="A607" s="12"/>
      <c r="B607" s="12"/>
      <c r="C607" s="12"/>
      <c r="D607" s="7"/>
      <c r="E607" s="2"/>
      <c r="F607" s="13"/>
      <c r="G607" s="13"/>
      <c r="H607" s="13"/>
      <c r="I607" s="13"/>
      <c r="J607" s="13"/>
      <c r="K607" s="13"/>
      <c r="L607" s="13"/>
      <c r="M607" s="13"/>
      <c r="N607" s="13"/>
    </row>
    <row r="608" spans="1:14">
      <c r="A608" s="12"/>
      <c r="B608" s="12"/>
      <c r="C608" s="12"/>
      <c r="D608" s="7"/>
      <c r="E608" s="2"/>
      <c r="F608" s="13"/>
      <c r="G608" s="13"/>
      <c r="H608" s="13"/>
      <c r="I608" s="13"/>
      <c r="J608" s="13"/>
      <c r="K608" s="13"/>
      <c r="L608" s="13"/>
      <c r="M608" s="13"/>
      <c r="N608" s="13"/>
    </row>
    <row r="609" spans="1:14">
      <c r="A609" s="12"/>
      <c r="B609" s="12"/>
      <c r="C609" s="12"/>
      <c r="D609" s="7"/>
      <c r="E609" s="2"/>
      <c r="F609" s="13"/>
      <c r="G609" s="13"/>
      <c r="H609" s="13"/>
      <c r="I609" s="13"/>
      <c r="J609" s="13"/>
      <c r="K609" s="13"/>
      <c r="L609" s="13"/>
      <c r="M609" s="13"/>
      <c r="N609" s="13"/>
    </row>
    <row r="610" spans="1:14">
      <c r="A610" s="12"/>
      <c r="B610" s="12"/>
      <c r="C610" s="12"/>
      <c r="D610" s="7"/>
      <c r="E610" s="2"/>
      <c r="F610" s="13"/>
      <c r="G610" s="13"/>
      <c r="H610" s="13"/>
      <c r="I610" s="13"/>
      <c r="J610" s="13"/>
      <c r="K610" s="13"/>
      <c r="L610" s="13"/>
      <c r="M610" s="13"/>
      <c r="N610" s="13"/>
    </row>
    <row r="611" spans="1:14">
      <c r="A611" s="12"/>
      <c r="B611" s="12"/>
      <c r="C611" s="12"/>
      <c r="D611" s="7"/>
      <c r="E611" s="2"/>
      <c r="F611" s="13"/>
      <c r="G611" s="13"/>
      <c r="H611" s="13"/>
      <c r="I611" s="13"/>
      <c r="J611" s="13"/>
      <c r="K611" s="13"/>
      <c r="L611" s="13"/>
      <c r="M611" s="13"/>
      <c r="N611" s="13"/>
    </row>
    <row r="612" spans="1:14">
      <c r="A612" s="12"/>
      <c r="B612" s="12"/>
      <c r="C612" s="12"/>
      <c r="D612" s="7"/>
      <c r="E612" s="2"/>
      <c r="F612" s="13"/>
      <c r="G612" s="13"/>
      <c r="H612" s="13"/>
      <c r="I612" s="13"/>
      <c r="J612" s="13"/>
      <c r="K612" s="13"/>
      <c r="L612" s="13"/>
      <c r="M612" s="13"/>
      <c r="N612" s="13"/>
    </row>
    <row r="613" spans="1:14">
      <c r="A613" s="12"/>
      <c r="B613" s="12"/>
      <c r="C613" s="12"/>
      <c r="D613" s="7"/>
      <c r="E613" s="2"/>
      <c r="F613" s="13"/>
      <c r="G613" s="13"/>
      <c r="H613" s="13"/>
      <c r="I613" s="13"/>
      <c r="J613" s="13"/>
      <c r="K613" s="13"/>
      <c r="L613" s="13"/>
      <c r="M613" s="13"/>
      <c r="N613" s="13"/>
    </row>
    <row r="614" spans="1:14">
      <c r="A614" s="12"/>
      <c r="B614" s="12"/>
      <c r="C614" s="12"/>
      <c r="D614" s="7"/>
      <c r="E614" s="2"/>
      <c r="F614" s="13"/>
      <c r="G614" s="13"/>
      <c r="H614" s="13"/>
      <c r="I614" s="13"/>
      <c r="J614" s="13"/>
      <c r="K614" s="13"/>
      <c r="L614" s="13"/>
      <c r="M614" s="13"/>
      <c r="N614" s="13"/>
    </row>
    <row r="615" spans="1:14">
      <c r="A615" s="12"/>
      <c r="B615" s="12"/>
      <c r="C615" s="12"/>
      <c r="D615" s="7"/>
      <c r="E615" s="2"/>
      <c r="F615" s="13"/>
      <c r="G615" s="13"/>
      <c r="H615" s="13"/>
      <c r="I615" s="13"/>
      <c r="J615" s="13"/>
      <c r="K615" s="13"/>
      <c r="L615" s="13"/>
      <c r="M615" s="13"/>
      <c r="N615" s="13"/>
    </row>
    <row r="616" spans="1:14">
      <c r="A616" s="12"/>
      <c r="B616" s="12"/>
      <c r="C616" s="12"/>
      <c r="D616" s="7"/>
      <c r="E616" s="2"/>
      <c r="F616" s="13"/>
      <c r="G616" s="13"/>
      <c r="H616" s="13"/>
      <c r="I616" s="13"/>
      <c r="J616" s="13"/>
      <c r="K616" s="13"/>
      <c r="L616" s="13"/>
      <c r="M616" s="13"/>
      <c r="N616" s="13"/>
    </row>
    <row r="617" spans="1:14">
      <c r="A617" s="12"/>
      <c r="B617" s="12"/>
      <c r="C617" s="12"/>
      <c r="D617" s="7"/>
      <c r="E617" s="2"/>
      <c r="F617" s="13"/>
      <c r="G617" s="13"/>
      <c r="H617" s="13"/>
      <c r="I617" s="13"/>
      <c r="J617" s="13"/>
      <c r="K617" s="13"/>
      <c r="L617" s="13"/>
      <c r="M617" s="13"/>
      <c r="N617" s="13"/>
    </row>
    <row r="618" spans="1:14">
      <c r="A618" s="12"/>
      <c r="B618" s="12"/>
      <c r="C618" s="12"/>
      <c r="D618" s="7"/>
      <c r="E618" s="2"/>
      <c r="F618" s="13"/>
      <c r="G618" s="13"/>
      <c r="H618" s="13"/>
      <c r="I618" s="13"/>
      <c r="J618" s="13"/>
      <c r="K618" s="13"/>
      <c r="L618" s="13"/>
      <c r="M618" s="13"/>
      <c r="N618" s="13"/>
    </row>
    <row r="619" spans="1:14">
      <c r="A619" s="12"/>
      <c r="B619" s="12"/>
      <c r="C619" s="12"/>
      <c r="D619" s="7"/>
      <c r="E619" s="2"/>
      <c r="F619" s="13"/>
      <c r="G619" s="13"/>
      <c r="H619" s="13"/>
      <c r="I619" s="13"/>
      <c r="J619" s="13"/>
      <c r="K619" s="13"/>
      <c r="L619" s="13"/>
      <c r="M619" s="13"/>
      <c r="N619" s="13"/>
    </row>
    <row r="620" spans="1:14">
      <c r="A620" s="12"/>
      <c r="B620" s="12"/>
      <c r="C620" s="12"/>
      <c r="D620" s="7"/>
      <c r="E620" s="2"/>
      <c r="F620" s="13"/>
      <c r="G620" s="13"/>
      <c r="H620" s="13"/>
      <c r="I620" s="13"/>
      <c r="J620" s="13"/>
      <c r="K620" s="13"/>
      <c r="L620" s="13"/>
      <c r="M620" s="13"/>
      <c r="N620" s="13"/>
    </row>
    <row r="621" spans="1:14">
      <c r="A621" s="12"/>
      <c r="B621" s="12"/>
      <c r="C621" s="12"/>
      <c r="D621" s="7"/>
      <c r="E621" s="2"/>
      <c r="F621" s="13"/>
      <c r="G621" s="13"/>
      <c r="H621" s="13"/>
      <c r="I621" s="13"/>
      <c r="J621" s="13"/>
      <c r="K621" s="13"/>
      <c r="L621" s="13"/>
      <c r="M621" s="13"/>
      <c r="N621" s="13"/>
    </row>
    <row r="622" spans="1:14">
      <c r="A622" s="12"/>
      <c r="B622" s="12"/>
      <c r="C622" s="12"/>
      <c r="D622" s="7"/>
      <c r="E622" s="2"/>
      <c r="F622" s="13"/>
      <c r="G622" s="13"/>
      <c r="H622" s="13"/>
      <c r="I622" s="13"/>
      <c r="J622" s="13"/>
      <c r="K622" s="13"/>
      <c r="L622" s="13"/>
      <c r="M622" s="13"/>
      <c r="N622" s="13"/>
    </row>
    <row r="623" spans="1:14">
      <c r="A623" s="12"/>
      <c r="B623" s="12"/>
      <c r="C623" s="12"/>
      <c r="D623" s="7"/>
      <c r="E623" s="2"/>
      <c r="F623" s="13"/>
      <c r="G623" s="13"/>
      <c r="H623" s="13"/>
      <c r="I623" s="13"/>
      <c r="J623" s="13"/>
      <c r="K623" s="13"/>
      <c r="L623" s="13"/>
      <c r="M623" s="13"/>
      <c r="N623" s="13"/>
    </row>
    <row r="624" spans="1:14">
      <c r="A624" s="12"/>
      <c r="B624" s="12"/>
      <c r="C624" s="12"/>
      <c r="D624" s="7"/>
      <c r="E624" s="2"/>
      <c r="F624" s="13"/>
      <c r="G624" s="13"/>
      <c r="H624" s="13"/>
      <c r="I624" s="13"/>
      <c r="J624" s="13"/>
      <c r="K624" s="13"/>
      <c r="L624" s="13"/>
      <c r="M624" s="13"/>
      <c r="N624" s="13"/>
    </row>
    <row r="625" spans="1:14">
      <c r="A625" s="12"/>
      <c r="B625" s="12"/>
      <c r="C625" s="12"/>
      <c r="D625" s="7"/>
      <c r="E625" s="2"/>
      <c r="F625" s="13"/>
      <c r="G625" s="13"/>
      <c r="H625" s="13"/>
      <c r="I625" s="13"/>
      <c r="J625" s="13"/>
      <c r="K625" s="13"/>
      <c r="L625" s="13"/>
      <c r="M625" s="13"/>
      <c r="N625" s="13"/>
    </row>
    <row r="626" spans="1:14">
      <c r="A626" s="12"/>
      <c r="B626" s="12"/>
      <c r="C626" s="12"/>
      <c r="D626" s="7"/>
      <c r="E626" s="2"/>
      <c r="F626" s="13"/>
      <c r="G626" s="13"/>
      <c r="H626" s="13"/>
      <c r="I626" s="13"/>
      <c r="J626" s="13"/>
      <c r="K626" s="13"/>
      <c r="L626" s="13"/>
      <c r="M626" s="13"/>
      <c r="N626" s="13"/>
    </row>
    <row r="627" spans="1:14">
      <c r="A627" s="12"/>
      <c r="B627" s="12"/>
      <c r="C627" s="12"/>
      <c r="D627" s="7"/>
      <c r="E627" s="2"/>
      <c r="F627" s="13"/>
      <c r="G627" s="13"/>
      <c r="H627" s="13"/>
      <c r="I627" s="13"/>
      <c r="J627" s="13"/>
      <c r="K627" s="13"/>
      <c r="L627" s="13"/>
      <c r="M627" s="13"/>
      <c r="N627" s="13"/>
    </row>
    <row r="628" spans="1:14">
      <c r="A628" s="12"/>
      <c r="B628" s="12"/>
      <c r="C628" s="12"/>
      <c r="D628" s="7"/>
      <c r="E628" s="2"/>
      <c r="F628" s="13"/>
      <c r="G628" s="13"/>
      <c r="H628" s="13"/>
      <c r="I628" s="13"/>
      <c r="J628" s="13"/>
      <c r="K628" s="13"/>
      <c r="L628" s="13"/>
      <c r="M628" s="13"/>
      <c r="N628" s="13"/>
    </row>
    <row r="629" spans="1:14">
      <c r="A629" s="12"/>
      <c r="B629" s="12"/>
      <c r="C629" s="12"/>
      <c r="D629" s="7"/>
      <c r="E629" s="2"/>
      <c r="F629" s="13"/>
      <c r="G629" s="13"/>
      <c r="H629" s="13"/>
      <c r="I629" s="13"/>
      <c r="J629" s="13"/>
      <c r="K629" s="13"/>
      <c r="L629" s="13"/>
      <c r="M629" s="13"/>
      <c r="N629" s="13"/>
    </row>
    <row r="630" spans="1:14">
      <c r="A630" s="12"/>
      <c r="B630" s="12"/>
      <c r="C630" s="12"/>
      <c r="D630" s="7"/>
      <c r="E630" s="2"/>
      <c r="F630" s="13"/>
      <c r="G630" s="13"/>
      <c r="H630" s="13"/>
      <c r="I630" s="13"/>
      <c r="J630" s="13"/>
      <c r="K630" s="13"/>
      <c r="L630" s="13"/>
      <c r="M630" s="13"/>
      <c r="N630" s="13"/>
    </row>
    <row r="631" spans="1:14">
      <c r="A631" s="12"/>
      <c r="B631" s="12"/>
      <c r="C631" s="12"/>
      <c r="D631" s="7"/>
      <c r="E631" s="2"/>
      <c r="F631" s="13"/>
      <c r="G631" s="13"/>
      <c r="H631" s="13"/>
      <c r="I631" s="13"/>
      <c r="J631" s="13"/>
      <c r="K631" s="13"/>
      <c r="L631" s="13"/>
      <c r="M631" s="13"/>
      <c r="N631" s="13"/>
    </row>
    <row r="632" spans="1:14">
      <c r="A632" s="12"/>
      <c r="B632" s="12"/>
      <c r="C632" s="12"/>
      <c r="D632" s="7"/>
      <c r="E632" s="2"/>
      <c r="F632" s="13"/>
      <c r="G632" s="13"/>
      <c r="H632" s="13"/>
      <c r="I632" s="13"/>
      <c r="J632" s="13"/>
      <c r="K632" s="13"/>
      <c r="L632" s="13"/>
      <c r="M632" s="13"/>
      <c r="N632" s="13"/>
    </row>
    <row r="633" spans="1:14">
      <c r="A633" s="12"/>
      <c r="B633" s="12"/>
      <c r="C633" s="12"/>
      <c r="D633" s="7"/>
      <c r="E633" s="2"/>
      <c r="F633" s="13"/>
      <c r="G633" s="13"/>
      <c r="H633" s="13"/>
      <c r="I633" s="13"/>
      <c r="J633" s="13"/>
      <c r="K633" s="13"/>
      <c r="L633" s="13"/>
      <c r="M633" s="13"/>
      <c r="N633" s="13"/>
    </row>
    <row r="634" spans="1:14">
      <c r="A634" s="12"/>
      <c r="B634" s="12"/>
      <c r="C634" s="12"/>
      <c r="D634" s="7"/>
      <c r="E634" s="2"/>
      <c r="F634" s="13"/>
      <c r="G634" s="13"/>
      <c r="H634" s="13"/>
      <c r="I634" s="13"/>
      <c r="J634" s="13"/>
      <c r="K634" s="13"/>
      <c r="L634" s="13"/>
      <c r="M634" s="13"/>
      <c r="N634" s="13"/>
    </row>
    <row r="635" spans="1:14">
      <c r="A635" s="12"/>
      <c r="B635" s="12"/>
      <c r="C635" s="12"/>
      <c r="D635" s="7"/>
      <c r="E635" s="2"/>
      <c r="F635" s="13"/>
      <c r="G635" s="13"/>
      <c r="H635" s="13"/>
      <c r="I635" s="13"/>
      <c r="J635" s="13"/>
      <c r="K635" s="13"/>
      <c r="L635" s="13"/>
      <c r="M635" s="13"/>
      <c r="N635" s="13"/>
    </row>
    <row r="636" spans="1:14">
      <c r="A636" s="12"/>
      <c r="B636" s="12"/>
      <c r="C636" s="12"/>
      <c r="D636" s="7"/>
      <c r="E636" s="2"/>
      <c r="F636" s="13"/>
      <c r="G636" s="13"/>
      <c r="H636" s="13"/>
      <c r="I636" s="13"/>
      <c r="J636" s="13"/>
      <c r="K636" s="13"/>
      <c r="L636" s="13"/>
      <c r="M636" s="13"/>
      <c r="N636" s="13"/>
    </row>
    <row r="637" spans="1:14">
      <c r="A637" s="12"/>
      <c r="B637" s="12"/>
      <c r="C637" s="12"/>
      <c r="D637" s="7"/>
      <c r="E637" s="2"/>
      <c r="F637" s="13"/>
      <c r="G637" s="13"/>
      <c r="H637" s="13"/>
      <c r="I637" s="13"/>
      <c r="J637" s="13"/>
      <c r="K637" s="13"/>
      <c r="L637" s="13"/>
      <c r="M637" s="13"/>
      <c r="N637" s="13"/>
    </row>
    <row r="638" spans="1:14">
      <c r="A638" s="12"/>
      <c r="B638" s="12"/>
      <c r="C638" s="12"/>
      <c r="D638" s="7"/>
      <c r="E638" s="2"/>
      <c r="F638" s="13"/>
      <c r="G638" s="13"/>
      <c r="H638" s="13"/>
      <c r="I638" s="13"/>
      <c r="J638" s="13"/>
      <c r="K638" s="13"/>
      <c r="L638" s="13"/>
      <c r="M638" s="13"/>
      <c r="N638" s="13"/>
    </row>
    <row r="639" spans="1:14">
      <c r="A639" s="12"/>
      <c r="B639" s="12"/>
      <c r="C639" s="12"/>
      <c r="D639" s="7"/>
      <c r="E639" s="2"/>
      <c r="F639" s="13"/>
      <c r="G639" s="13"/>
      <c r="H639" s="13"/>
      <c r="I639" s="13"/>
      <c r="J639" s="13"/>
      <c r="K639" s="13"/>
      <c r="L639" s="13"/>
      <c r="M639" s="13"/>
      <c r="N639" s="13"/>
    </row>
    <row r="640" spans="1:14">
      <c r="A640" s="12"/>
      <c r="B640" s="12"/>
      <c r="C640" s="12"/>
      <c r="D640" s="7"/>
      <c r="E640" s="2"/>
      <c r="F640" s="13"/>
      <c r="G640" s="13"/>
      <c r="H640" s="13"/>
      <c r="I640" s="13"/>
      <c r="J640" s="13"/>
      <c r="K640" s="13"/>
      <c r="L640" s="13"/>
      <c r="M640" s="13"/>
      <c r="N640" s="13"/>
    </row>
    <row r="641" spans="1:14">
      <c r="A641" s="12"/>
      <c r="B641" s="12"/>
      <c r="C641" s="12"/>
      <c r="D641" s="7"/>
      <c r="E641" s="2"/>
      <c r="F641" s="13"/>
      <c r="G641" s="13"/>
      <c r="H641" s="13"/>
      <c r="I641" s="13"/>
      <c r="J641" s="13"/>
      <c r="K641" s="13"/>
      <c r="L641" s="13"/>
      <c r="M641" s="13"/>
      <c r="N641" s="13"/>
    </row>
    <row r="642" spans="1:14">
      <c r="A642" s="12"/>
      <c r="B642" s="12"/>
      <c r="C642" s="12"/>
      <c r="D642" s="7"/>
      <c r="E642" s="2"/>
      <c r="F642" s="13"/>
      <c r="G642" s="13"/>
      <c r="H642" s="13"/>
      <c r="I642" s="13"/>
      <c r="J642" s="13"/>
      <c r="K642" s="13"/>
      <c r="L642" s="13"/>
      <c r="M642" s="13"/>
      <c r="N642" s="13"/>
    </row>
    <row r="643" spans="1:14">
      <c r="A643" s="12"/>
      <c r="B643" s="12"/>
      <c r="C643" s="12"/>
      <c r="D643" s="7"/>
      <c r="E643" s="2"/>
      <c r="F643" s="13"/>
      <c r="G643" s="13"/>
      <c r="H643" s="13"/>
      <c r="I643" s="13"/>
      <c r="J643" s="13"/>
      <c r="K643" s="13"/>
      <c r="L643" s="13"/>
      <c r="M643" s="13"/>
      <c r="N643" s="13"/>
    </row>
    <row r="644" spans="1:14">
      <c r="A644" s="12"/>
      <c r="B644" s="12"/>
      <c r="C644" s="12"/>
      <c r="D644" s="7"/>
      <c r="E644" s="2"/>
      <c r="F644" s="13"/>
      <c r="G644" s="13"/>
      <c r="H644" s="13"/>
      <c r="I644" s="13"/>
      <c r="J644" s="13"/>
      <c r="K644" s="13"/>
      <c r="L644" s="13"/>
      <c r="M644" s="13"/>
      <c r="N644" s="13"/>
    </row>
    <row r="645" spans="1:14">
      <c r="A645" s="12"/>
      <c r="B645" s="12"/>
      <c r="C645" s="12"/>
      <c r="D645" s="7"/>
      <c r="E645" s="2"/>
      <c r="F645" s="13"/>
      <c r="G645" s="13"/>
      <c r="H645" s="13"/>
      <c r="I645" s="13"/>
      <c r="J645" s="13"/>
      <c r="K645" s="13"/>
      <c r="L645" s="13"/>
      <c r="M645" s="13"/>
      <c r="N645" s="13"/>
    </row>
    <row r="646" spans="1:14">
      <c r="A646" s="12"/>
      <c r="B646" s="12"/>
      <c r="C646" s="12"/>
      <c r="D646" s="7"/>
      <c r="E646" s="2"/>
      <c r="F646" s="13"/>
      <c r="G646" s="13"/>
      <c r="H646" s="13"/>
      <c r="I646" s="13"/>
      <c r="J646" s="13"/>
      <c r="K646" s="13"/>
      <c r="L646" s="13"/>
      <c r="M646" s="13"/>
      <c r="N646" s="13"/>
    </row>
    <row r="647" spans="1:14">
      <c r="A647" s="12"/>
      <c r="B647" s="12"/>
      <c r="C647" s="12"/>
      <c r="D647" s="7"/>
      <c r="E647" s="2"/>
      <c r="F647" s="13"/>
      <c r="G647" s="13"/>
      <c r="H647" s="13"/>
      <c r="I647" s="13"/>
      <c r="J647" s="13"/>
      <c r="K647" s="13"/>
      <c r="L647" s="13"/>
      <c r="M647" s="13"/>
      <c r="N647" s="13"/>
    </row>
    <row r="648" spans="1:14">
      <c r="A648" s="12"/>
      <c r="B648" s="12"/>
      <c r="C648" s="12"/>
      <c r="D648" s="7"/>
      <c r="E648" s="2"/>
      <c r="F648" s="13"/>
      <c r="G648" s="13"/>
      <c r="H648" s="13"/>
      <c r="I648" s="13"/>
      <c r="J648" s="13"/>
      <c r="K648" s="13"/>
      <c r="L648" s="13"/>
      <c r="M648" s="13"/>
      <c r="N648" s="13"/>
    </row>
    <row r="649" spans="1:14">
      <c r="A649" s="12"/>
      <c r="B649" s="12"/>
      <c r="C649" s="12"/>
      <c r="D649" s="7"/>
      <c r="E649" s="2"/>
      <c r="F649" s="13"/>
      <c r="G649" s="13"/>
      <c r="H649" s="13"/>
      <c r="I649" s="13"/>
      <c r="J649" s="13"/>
      <c r="K649" s="13"/>
      <c r="L649" s="13"/>
      <c r="M649" s="13"/>
      <c r="N649" s="13"/>
    </row>
    <row r="650" spans="1:14">
      <c r="A650" s="12"/>
      <c r="B650" s="12"/>
      <c r="C650" s="12"/>
      <c r="D650" s="7"/>
      <c r="E650" s="2"/>
      <c r="F650" s="13"/>
      <c r="G650" s="13"/>
      <c r="H650" s="13"/>
      <c r="I650" s="13"/>
      <c r="J650" s="13"/>
      <c r="K650" s="13"/>
      <c r="L650" s="13"/>
      <c r="M650" s="13"/>
      <c r="N650" s="13"/>
    </row>
    <row r="651" spans="1:14">
      <c r="A651" s="12"/>
      <c r="B651" s="12"/>
      <c r="C651" s="12"/>
      <c r="D651" s="7"/>
      <c r="E651" s="2"/>
      <c r="F651" s="13"/>
      <c r="G651" s="13"/>
      <c r="H651" s="13"/>
      <c r="I651" s="13"/>
      <c r="J651" s="13"/>
      <c r="K651" s="13"/>
      <c r="L651" s="13"/>
      <c r="M651" s="13"/>
      <c r="N651" s="13"/>
    </row>
    <row r="652" spans="1:14">
      <c r="A652" s="12"/>
      <c r="B652" s="12"/>
      <c r="C652" s="12"/>
      <c r="D652" s="7"/>
      <c r="E652" s="2"/>
      <c r="F652" s="13"/>
      <c r="G652" s="13"/>
      <c r="H652" s="13"/>
      <c r="I652" s="13"/>
      <c r="J652" s="13"/>
      <c r="K652" s="13"/>
      <c r="L652" s="13"/>
      <c r="M652" s="13"/>
      <c r="N652" s="13"/>
    </row>
    <row r="653" spans="1:14">
      <c r="A653" s="12"/>
      <c r="B653" s="12"/>
      <c r="C653" s="12"/>
      <c r="D653" s="7"/>
      <c r="E653" s="2"/>
      <c r="F653" s="13"/>
      <c r="G653" s="13"/>
      <c r="H653" s="13"/>
      <c r="I653" s="13"/>
      <c r="J653" s="13"/>
      <c r="K653" s="13"/>
      <c r="L653" s="13"/>
      <c r="M653" s="13"/>
      <c r="N653" s="13"/>
    </row>
    <row r="654" spans="1:14">
      <c r="A654" s="12"/>
      <c r="B654" s="12"/>
      <c r="C654" s="12"/>
      <c r="D654" s="7"/>
      <c r="E654" s="2"/>
      <c r="F654" s="13"/>
      <c r="G654" s="13"/>
      <c r="H654" s="13"/>
      <c r="I654" s="13"/>
      <c r="J654" s="13"/>
      <c r="K654" s="13"/>
      <c r="L654" s="13"/>
      <c r="M654" s="13"/>
      <c r="N654" s="13"/>
    </row>
    <row r="655" spans="1:14">
      <c r="A655" s="12"/>
      <c r="B655" s="12"/>
      <c r="C655" s="12"/>
      <c r="D655" s="7"/>
      <c r="E655" s="2"/>
      <c r="F655" s="13"/>
      <c r="G655" s="13"/>
      <c r="H655" s="13"/>
      <c r="I655" s="13"/>
      <c r="J655" s="13"/>
      <c r="K655" s="13"/>
      <c r="L655" s="13"/>
      <c r="M655" s="13"/>
      <c r="N655" s="13"/>
    </row>
    <row r="656" spans="1:14">
      <c r="A656" s="12"/>
      <c r="B656" s="12"/>
      <c r="C656" s="12"/>
      <c r="D656" s="7"/>
      <c r="E656" s="2"/>
      <c r="F656" s="13"/>
      <c r="G656" s="13"/>
      <c r="H656" s="13"/>
      <c r="I656" s="13"/>
      <c r="J656" s="13"/>
      <c r="K656" s="13"/>
      <c r="L656" s="13"/>
      <c r="M656" s="13"/>
      <c r="N656" s="13"/>
    </row>
    <row r="657" spans="1:14">
      <c r="A657" s="12"/>
      <c r="B657" s="12"/>
      <c r="C657" s="12"/>
      <c r="D657" s="7"/>
      <c r="E657" s="2"/>
      <c r="F657" s="13"/>
      <c r="G657" s="13"/>
      <c r="H657" s="13"/>
      <c r="I657" s="13"/>
      <c r="J657" s="13"/>
      <c r="K657" s="13"/>
      <c r="L657" s="13"/>
      <c r="M657" s="13"/>
      <c r="N657" s="13"/>
    </row>
    <row r="658" spans="1:14">
      <c r="A658" s="12"/>
      <c r="B658" s="12"/>
      <c r="C658" s="12"/>
      <c r="D658" s="7"/>
      <c r="E658" s="2"/>
      <c r="F658" s="13"/>
      <c r="G658" s="13"/>
      <c r="H658" s="13"/>
      <c r="I658" s="13"/>
      <c r="J658" s="13"/>
      <c r="K658" s="13"/>
      <c r="L658" s="13"/>
      <c r="M658" s="13"/>
      <c r="N658" s="13"/>
    </row>
    <row r="659" spans="1:14">
      <c r="A659" s="12"/>
      <c r="B659" s="12"/>
      <c r="C659" s="12"/>
      <c r="D659" s="7"/>
      <c r="E659" s="2"/>
      <c r="F659" s="13"/>
      <c r="G659" s="13"/>
      <c r="H659" s="13"/>
      <c r="I659" s="13"/>
      <c r="J659" s="13"/>
      <c r="K659" s="13"/>
      <c r="L659" s="13"/>
      <c r="M659" s="13"/>
      <c r="N659" s="13"/>
    </row>
    <row r="660" spans="1:14">
      <c r="A660" s="12"/>
      <c r="B660" s="12"/>
      <c r="C660" s="12"/>
      <c r="D660" s="7"/>
      <c r="E660" s="2"/>
      <c r="F660" s="13"/>
      <c r="G660" s="13"/>
      <c r="H660" s="13"/>
      <c r="I660" s="13"/>
      <c r="J660" s="13"/>
      <c r="K660" s="13"/>
      <c r="L660" s="13"/>
      <c r="M660" s="13"/>
      <c r="N660" s="13"/>
    </row>
    <row r="661" spans="1:14">
      <c r="A661" s="12"/>
      <c r="B661" s="12"/>
      <c r="C661" s="12"/>
      <c r="D661" s="7"/>
      <c r="E661" s="2"/>
      <c r="F661" s="13"/>
      <c r="G661" s="13"/>
      <c r="H661" s="13"/>
      <c r="I661" s="13"/>
      <c r="J661" s="13"/>
      <c r="K661" s="13"/>
      <c r="L661" s="13"/>
      <c r="M661" s="13"/>
      <c r="N661" s="13"/>
    </row>
    <row r="662" spans="1:14">
      <c r="A662" s="12"/>
      <c r="B662" s="12"/>
      <c r="C662" s="12"/>
      <c r="D662" s="7"/>
      <c r="E662" s="2"/>
      <c r="F662" s="13"/>
      <c r="G662" s="13"/>
      <c r="H662" s="13"/>
      <c r="I662" s="13"/>
      <c r="J662" s="13"/>
      <c r="K662" s="13"/>
      <c r="L662" s="13"/>
      <c r="M662" s="13"/>
      <c r="N662" s="13"/>
    </row>
    <row r="663" spans="1:14">
      <c r="A663" s="12"/>
      <c r="B663" s="12"/>
      <c r="C663" s="12"/>
      <c r="D663" s="7"/>
      <c r="E663" s="2"/>
      <c r="F663" s="13"/>
      <c r="G663" s="13"/>
      <c r="H663" s="13"/>
      <c r="I663" s="13"/>
      <c r="J663" s="13"/>
      <c r="K663" s="13"/>
      <c r="L663" s="13"/>
      <c r="M663" s="13"/>
      <c r="N663" s="13"/>
    </row>
    <row r="664" spans="1:14">
      <c r="A664" s="12"/>
      <c r="B664" s="12"/>
      <c r="C664" s="12"/>
      <c r="D664" s="7"/>
      <c r="E664" s="2"/>
      <c r="F664" s="13"/>
      <c r="G664" s="13"/>
      <c r="H664" s="13"/>
      <c r="I664" s="13"/>
      <c r="J664" s="13"/>
      <c r="K664" s="13"/>
      <c r="L664" s="13"/>
      <c r="M664" s="13"/>
      <c r="N664" s="13"/>
    </row>
    <row r="665" spans="1:14">
      <c r="A665" s="12"/>
      <c r="B665" s="12"/>
      <c r="C665" s="12"/>
      <c r="D665" s="7"/>
      <c r="E665" s="2"/>
      <c r="F665" s="13"/>
      <c r="G665" s="13"/>
      <c r="H665" s="13"/>
      <c r="I665" s="13"/>
      <c r="J665" s="13"/>
      <c r="K665" s="13"/>
      <c r="L665" s="13"/>
      <c r="M665" s="13"/>
      <c r="N665" s="13"/>
    </row>
    <row r="666" spans="1:14">
      <c r="A666" s="12"/>
      <c r="B666" s="12"/>
      <c r="C666" s="12"/>
      <c r="D666" s="7"/>
      <c r="E666" s="2"/>
      <c r="F666" s="13"/>
      <c r="G666" s="13"/>
      <c r="H666" s="13"/>
      <c r="I666" s="13"/>
      <c r="J666" s="13"/>
      <c r="K666" s="13"/>
      <c r="L666" s="13"/>
      <c r="M666" s="13"/>
      <c r="N666" s="13"/>
    </row>
    <row r="667" spans="1:14">
      <c r="A667" s="12"/>
      <c r="B667" s="12"/>
      <c r="C667" s="12"/>
      <c r="D667" s="7"/>
      <c r="E667" s="2"/>
      <c r="F667" s="13"/>
      <c r="G667" s="13"/>
      <c r="H667" s="13"/>
      <c r="I667" s="13"/>
      <c r="J667" s="13"/>
      <c r="K667" s="13"/>
      <c r="L667" s="13"/>
      <c r="M667" s="13"/>
      <c r="N667" s="13"/>
    </row>
    <row r="668" spans="1:14">
      <c r="A668" s="12"/>
      <c r="B668" s="12"/>
      <c r="C668" s="12"/>
      <c r="D668" s="7"/>
      <c r="E668" s="2"/>
      <c r="F668" s="13"/>
      <c r="G668" s="13"/>
      <c r="H668" s="13"/>
      <c r="I668" s="13"/>
      <c r="J668" s="13"/>
      <c r="K668" s="13"/>
      <c r="L668" s="13"/>
      <c r="M668" s="13"/>
      <c r="N668" s="13"/>
    </row>
    <row r="669" spans="1:14">
      <c r="A669" s="12"/>
      <c r="B669" s="12"/>
      <c r="C669" s="12"/>
      <c r="D669" s="7"/>
      <c r="E669" s="2"/>
      <c r="F669" s="13"/>
      <c r="G669" s="13"/>
      <c r="H669" s="13"/>
      <c r="I669" s="13"/>
      <c r="J669" s="13"/>
      <c r="K669" s="13"/>
      <c r="L669" s="13"/>
      <c r="M669" s="13"/>
      <c r="N669" s="13"/>
    </row>
    <row r="670" spans="1:14">
      <c r="A670" s="12"/>
      <c r="B670" s="12"/>
      <c r="C670" s="12"/>
      <c r="D670" s="7"/>
      <c r="E670" s="2"/>
      <c r="F670" s="13"/>
      <c r="G670" s="13"/>
      <c r="H670" s="13"/>
      <c r="I670" s="13"/>
      <c r="J670" s="13"/>
      <c r="K670" s="13"/>
      <c r="L670" s="13"/>
      <c r="M670" s="13"/>
      <c r="N670" s="13"/>
    </row>
    <row r="671" spans="1:14">
      <c r="A671" s="12"/>
      <c r="B671" s="12"/>
      <c r="C671" s="12"/>
      <c r="D671" s="7"/>
      <c r="E671" s="2"/>
      <c r="F671" s="13"/>
      <c r="G671" s="13"/>
      <c r="H671" s="13"/>
      <c r="I671" s="13"/>
      <c r="J671" s="13"/>
      <c r="K671" s="13"/>
      <c r="L671" s="13"/>
      <c r="M671" s="13"/>
      <c r="N671" s="13"/>
    </row>
    <row r="672" spans="1:14">
      <c r="A672" s="12"/>
      <c r="B672" s="12"/>
      <c r="C672" s="12"/>
      <c r="D672" s="7"/>
      <c r="E672" s="2"/>
      <c r="F672" s="13"/>
      <c r="G672" s="13"/>
      <c r="H672" s="13"/>
      <c r="I672" s="13"/>
      <c r="J672" s="13"/>
      <c r="K672" s="13"/>
      <c r="L672" s="13"/>
      <c r="M672" s="13"/>
      <c r="N672" s="13"/>
    </row>
    <row r="673" spans="1:14">
      <c r="A673" s="12"/>
      <c r="B673" s="12"/>
      <c r="C673" s="12"/>
      <c r="D673" s="7"/>
      <c r="E673" s="2"/>
      <c r="F673" s="13"/>
      <c r="G673" s="13"/>
      <c r="H673" s="13"/>
      <c r="I673" s="13"/>
      <c r="J673" s="13"/>
      <c r="K673" s="13"/>
      <c r="L673" s="13"/>
      <c r="M673" s="13"/>
      <c r="N673" s="13"/>
    </row>
    <row r="674" spans="1:14">
      <c r="A674" s="12"/>
      <c r="B674" s="12"/>
      <c r="C674" s="12"/>
      <c r="D674" s="7"/>
      <c r="E674" s="2"/>
      <c r="F674" s="13"/>
      <c r="G674" s="13"/>
      <c r="H674" s="13"/>
      <c r="I674" s="13"/>
      <c r="J674" s="13"/>
      <c r="K674" s="13"/>
      <c r="L674" s="13"/>
      <c r="M674" s="13"/>
      <c r="N674" s="13"/>
    </row>
    <row r="675" spans="1:14">
      <c r="A675" s="12"/>
      <c r="B675" s="12"/>
      <c r="C675" s="12"/>
      <c r="D675" s="7"/>
      <c r="E675" s="2"/>
      <c r="F675" s="13"/>
      <c r="G675" s="13"/>
      <c r="H675" s="13"/>
      <c r="I675" s="13"/>
      <c r="J675" s="13"/>
      <c r="K675" s="13"/>
      <c r="L675" s="13"/>
      <c r="M675" s="13"/>
      <c r="N675" s="13"/>
    </row>
    <row r="676" spans="1:14">
      <c r="A676" s="12"/>
      <c r="B676" s="12"/>
      <c r="C676" s="12"/>
      <c r="D676" s="7"/>
      <c r="E676" s="2"/>
      <c r="F676" s="13"/>
      <c r="G676" s="13"/>
      <c r="H676" s="13"/>
      <c r="I676" s="13"/>
      <c r="J676" s="13"/>
      <c r="K676" s="13"/>
      <c r="L676" s="13"/>
      <c r="M676" s="13"/>
      <c r="N676" s="13"/>
    </row>
    <row r="677" spans="1:14">
      <c r="A677" s="12"/>
      <c r="B677" s="12"/>
      <c r="C677" s="12"/>
      <c r="D677" s="7"/>
      <c r="E677" s="2"/>
      <c r="F677" s="13"/>
      <c r="G677" s="13"/>
      <c r="H677" s="13"/>
      <c r="I677" s="13"/>
      <c r="J677" s="13"/>
      <c r="K677" s="13"/>
      <c r="L677" s="13"/>
      <c r="M677" s="13"/>
      <c r="N677" s="13"/>
    </row>
    <row r="678" spans="1:14">
      <c r="A678" s="12"/>
      <c r="B678" s="12"/>
      <c r="C678" s="12"/>
      <c r="D678" s="7"/>
      <c r="E678" s="2"/>
      <c r="F678" s="13"/>
      <c r="G678" s="13"/>
      <c r="H678" s="13"/>
      <c r="I678" s="13"/>
      <c r="J678" s="13"/>
      <c r="K678" s="13"/>
      <c r="L678" s="13"/>
      <c r="M678" s="13"/>
      <c r="N678" s="13"/>
    </row>
    <row r="679" spans="1:14">
      <c r="A679" s="12"/>
      <c r="B679" s="12"/>
      <c r="C679" s="12"/>
      <c r="D679" s="7"/>
      <c r="E679" s="2"/>
      <c r="F679" s="13"/>
      <c r="G679" s="13"/>
      <c r="H679" s="13"/>
      <c r="I679" s="13"/>
      <c r="J679" s="13"/>
      <c r="K679" s="13"/>
      <c r="L679" s="13"/>
      <c r="M679" s="13"/>
      <c r="N679" s="13"/>
    </row>
    <row r="680" spans="1:14">
      <c r="A680" s="12"/>
      <c r="B680" s="12"/>
      <c r="C680" s="12"/>
      <c r="D680" s="7"/>
      <c r="E680" s="2"/>
      <c r="F680" s="13"/>
      <c r="G680" s="13"/>
      <c r="H680" s="13"/>
      <c r="I680" s="13"/>
      <c r="J680" s="13"/>
      <c r="K680" s="13"/>
      <c r="L680" s="13"/>
      <c r="M680" s="13"/>
      <c r="N680" s="13"/>
    </row>
    <row r="681" spans="1:14">
      <c r="A681" s="12"/>
      <c r="B681" s="12"/>
      <c r="C681" s="12"/>
      <c r="D681" s="7"/>
      <c r="E681" s="2"/>
      <c r="F681" s="13"/>
      <c r="G681" s="13"/>
      <c r="H681" s="13"/>
      <c r="I681" s="13"/>
      <c r="J681" s="13"/>
      <c r="K681" s="13"/>
      <c r="L681" s="13"/>
      <c r="M681" s="13"/>
      <c r="N681" s="13"/>
    </row>
    <row r="682" spans="1:14">
      <c r="A682" s="12"/>
      <c r="B682" s="12"/>
      <c r="C682" s="12"/>
      <c r="D682" s="7"/>
      <c r="E682" s="2"/>
      <c r="F682" s="13"/>
      <c r="G682" s="13"/>
      <c r="H682" s="13"/>
      <c r="I682" s="13"/>
      <c r="J682" s="13"/>
      <c r="K682" s="13"/>
      <c r="L682" s="13"/>
      <c r="M682" s="13"/>
      <c r="N682" s="13"/>
    </row>
    <row r="683" spans="1:14">
      <c r="A683" s="12"/>
      <c r="B683" s="12"/>
      <c r="C683" s="12"/>
      <c r="D683" s="7"/>
      <c r="E683" s="2"/>
      <c r="F683" s="13"/>
      <c r="G683" s="13"/>
      <c r="H683" s="13"/>
      <c r="I683" s="13"/>
      <c r="J683" s="13"/>
      <c r="K683" s="13"/>
      <c r="L683" s="13"/>
      <c r="M683" s="13"/>
      <c r="N683" s="13"/>
    </row>
    <row r="684" spans="1:14">
      <c r="A684" s="12"/>
      <c r="B684" s="12"/>
      <c r="C684" s="12"/>
      <c r="D684" s="7"/>
      <c r="E684" s="2"/>
      <c r="F684" s="13"/>
      <c r="G684" s="13"/>
      <c r="H684" s="13"/>
      <c r="I684" s="13"/>
      <c r="J684" s="13"/>
      <c r="K684" s="13"/>
      <c r="L684" s="13"/>
      <c r="M684" s="13"/>
      <c r="N684" s="13"/>
    </row>
    <row r="685" spans="1:14">
      <c r="A685" s="12"/>
      <c r="B685" s="12"/>
      <c r="C685" s="12"/>
      <c r="D685" s="7"/>
      <c r="E685" s="2"/>
      <c r="F685" s="13"/>
      <c r="G685" s="13"/>
      <c r="H685" s="13"/>
      <c r="I685" s="13"/>
      <c r="J685" s="13"/>
      <c r="K685" s="13"/>
      <c r="L685" s="13"/>
      <c r="M685" s="13"/>
      <c r="N685" s="13"/>
    </row>
    <row r="686" spans="1:14">
      <c r="A686" s="12"/>
      <c r="B686" s="12"/>
      <c r="C686" s="12"/>
      <c r="D686" s="7"/>
      <c r="E686" s="2"/>
      <c r="F686" s="13"/>
      <c r="G686" s="13"/>
      <c r="H686" s="13"/>
      <c r="I686" s="13"/>
      <c r="J686" s="13"/>
      <c r="K686" s="13"/>
      <c r="L686" s="13"/>
      <c r="M686" s="13"/>
      <c r="N686" s="13"/>
    </row>
    <row r="687" spans="1:14">
      <c r="A687" s="12"/>
      <c r="B687" s="12"/>
      <c r="C687" s="12"/>
      <c r="D687" s="7"/>
      <c r="E687" s="2"/>
      <c r="F687" s="13"/>
      <c r="G687" s="13"/>
      <c r="H687" s="13"/>
      <c r="I687" s="13"/>
      <c r="J687" s="13"/>
      <c r="K687" s="13"/>
      <c r="L687" s="13"/>
      <c r="M687" s="13"/>
      <c r="N687" s="13"/>
    </row>
    <row r="688" spans="1:14">
      <c r="A688" s="12"/>
      <c r="B688" s="12"/>
      <c r="C688" s="12"/>
      <c r="D688" s="7"/>
      <c r="E688" s="2"/>
      <c r="F688" s="13"/>
      <c r="G688" s="13"/>
      <c r="H688" s="13"/>
      <c r="I688" s="13"/>
      <c r="J688" s="13"/>
      <c r="K688" s="13"/>
      <c r="L688" s="13"/>
      <c r="M688" s="13"/>
      <c r="N688" s="13"/>
    </row>
    <row r="689" spans="1:14">
      <c r="A689" s="12"/>
      <c r="B689" s="12"/>
      <c r="C689" s="12"/>
      <c r="D689" s="7"/>
      <c r="E689" s="2"/>
      <c r="F689" s="13"/>
      <c r="G689" s="13"/>
      <c r="H689" s="13"/>
      <c r="I689" s="13"/>
      <c r="J689" s="13"/>
      <c r="K689" s="13"/>
      <c r="L689" s="13"/>
      <c r="M689" s="13"/>
      <c r="N689" s="13"/>
    </row>
    <row r="690" spans="1:14">
      <c r="A690" s="12"/>
      <c r="B690" s="12"/>
      <c r="C690" s="12"/>
      <c r="D690" s="7"/>
      <c r="E690" s="2"/>
      <c r="F690" s="13"/>
      <c r="G690" s="13"/>
      <c r="H690" s="13"/>
      <c r="I690" s="13"/>
      <c r="J690" s="13"/>
      <c r="K690" s="13"/>
      <c r="L690" s="13"/>
      <c r="M690" s="13"/>
      <c r="N690" s="13"/>
    </row>
    <row r="691" spans="1:14">
      <c r="A691" s="12"/>
      <c r="B691" s="12"/>
      <c r="C691" s="12"/>
      <c r="D691" s="7"/>
      <c r="E691" s="2"/>
      <c r="F691" s="13"/>
      <c r="G691" s="13"/>
      <c r="H691" s="13"/>
      <c r="I691" s="13"/>
      <c r="J691" s="13"/>
      <c r="K691" s="13"/>
      <c r="L691" s="13"/>
      <c r="M691" s="13"/>
      <c r="N691" s="13"/>
    </row>
    <row r="692" spans="1:14">
      <c r="A692" s="12"/>
      <c r="B692" s="12"/>
      <c r="C692" s="12"/>
      <c r="D692" s="7"/>
      <c r="E692" s="2"/>
      <c r="F692" s="13"/>
      <c r="G692" s="13"/>
      <c r="H692" s="13"/>
      <c r="I692" s="13"/>
      <c r="J692" s="13"/>
      <c r="K692" s="13"/>
      <c r="L692" s="13"/>
      <c r="M692" s="13"/>
      <c r="N692" s="13"/>
    </row>
    <row r="693" spans="1:14">
      <c r="A693" s="12"/>
      <c r="B693" s="12"/>
      <c r="C693" s="12"/>
      <c r="D693" s="7"/>
      <c r="E693" s="2"/>
      <c r="F693" s="13"/>
      <c r="G693" s="13"/>
      <c r="H693" s="13"/>
      <c r="I693" s="13"/>
      <c r="J693" s="13"/>
      <c r="K693" s="13"/>
      <c r="L693" s="13"/>
      <c r="M693" s="13"/>
      <c r="N693" s="13"/>
    </row>
    <row r="694" spans="1:14">
      <c r="A694" s="12"/>
      <c r="B694" s="12"/>
      <c r="C694" s="12"/>
      <c r="D694" s="7"/>
      <c r="E694" s="2"/>
      <c r="F694" s="13"/>
      <c r="G694" s="13"/>
      <c r="H694" s="13"/>
      <c r="I694" s="13"/>
      <c r="J694" s="13"/>
      <c r="K694" s="13"/>
      <c r="L694" s="13"/>
      <c r="M694" s="13"/>
      <c r="N694" s="13"/>
    </row>
    <row r="695" spans="1:14">
      <c r="A695" s="12"/>
      <c r="B695" s="12"/>
      <c r="C695" s="12"/>
      <c r="D695" s="7"/>
      <c r="E695" s="2"/>
      <c r="F695" s="13"/>
      <c r="G695" s="13"/>
      <c r="H695" s="13"/>
      <c r="I695" s="13"/>
      <c r="J695" s="13"/>
      <c r="K695" s="13"/>
      <c r="L695" s="13"/>
      <c r="M695" s="13"/>
      <c r="N695" s="13"/>
    </row>
    <row r="696" spans="1:14">
      <c r="A696" s="12"/>
      <c r="B696" s="12"/>
      <c r="C696" s="12"/>
      <c r="D696" s="7"/>
      <c r="E696" s="2"/>
      <c r="F696" s="13"/>
      <c r="G696" s="13"/>
      <c r="H696" s="13"/>
      <c r="I696" s="13"/>
      <c r="J696" s="13"/>
      <c r="K696" s="13"/>
      <c r="L696" s="13"/>
      <c r="M696" s="13"/>
      <c r="N696" s="13"/>
    </row>
    <row r="697" spans="1:14">
      <c r="A697" s="12"/>
      <c r="B697" s="12"/>
      <c r="C697" s="12"/>
      <c r="D697" s="7"/>
      <c r="E697" s="2"/>
      <c r="F697" s="13"/>
      <c r="G697" s="13"/>
      <c r="H697" s="13"/>
      <c r="I697" s="13"/>
      <c r="J697" s="13"/>
      <c r="K697" s="13"/>
      <c r="L697" s="13"/>
      <c r="M697" s="13"/>
      <c r="N697" s="13"/>
    </row>
    <row r="698" spans="1:14">
      <c r="A698" s="12"/>
      <c r="B698" s="12"/>
      <c r="C698" s="12"/>
      <c r="D698" s="7"/>
      <c r="E698" s="2"/>
      <c r="F698" s="13"/>
      <c r="G698" s="13"/>
      <c r="H698" s="13"/>
      <c r="I698" s="13"/>
      <c r="J698" s="13"/>
      <c r="K698" s="13"/>
      <c r="L698" s="13"/>
      <c r="M698" s="13"/>
      <c r="N698" s="13"/>
    </row>
    <row r="699" spans="1:14">
      <c r="A699" s="12"/>
      <c r="B699" s="12"/>
      <c r="C699" s="12"/>
      <c r="D699" s="7"/>
      <c r="E699" s="2"/>
      <c r="F699" s="13"/>
      <c r="G699" s="13"/>
      <c r="H699" s="13"/>
      <c r="I699" s="13"/>
      <c r="J699" s="13"/>
      <c r="K699" s="13"/>
      <c r="L699" s="13"/>
      <c r="M699" s="13"/>
      <c r="N699" s="13"/>
    </row>
    <row r="700" spans="1:14">
      <c r="A700" s="12"/>
      <c r="B700" s="12"/>
      <c r="C700" s="12"/>
      <c r="D700" s="7"/>
      <c r="E700" s="2"/>
      <c r="F700" s="13"/>
      <c r="G700" s="13"/>
      <c r="H700" s="13"/>
      <c r="I700" s="13"/>
      <c r="J700" s="13"/>
      <c r="K700" s="13"/>
      <c r="L700" s="13"/>
      <c r="M700" s="13"/>
      <c r="N700" s="13"/>
    </row>
    <row r="701" spans="1:14">
      <c r="A701" s="12"/>
      <c r="B701" s="12"/>
      <c r="C701" s="12"/>
      <c r="D701" s="7"/>
      <c r="E701" s="2"/>
      <c r="F701" s="13"/>
      <c r="G701" s="13"/>
      <c r="H701" s="13"/>
      <c r="I701" s="13"/>
      <c r="J701" s="13"/>
      <c r="K701" s="13"/>
      <c r="L701" s="13"/>
      <c r="M701" s="13"/>
      <c r="N701" s="13"/>
    </row>
    <row r="702" spans="1:14">
      <c r="A702" s="12"/>
      <c r="B702" s="12"/>
      <c r="C702" s="12"/>
      <c r="D702" s="7"/>
      <c r="E702" s="2"/>
      <c r="F702" s="13"/>
      <c r="G702" s="13"/>
      <c r="H702" s="13"/>
      <c r="I702" s="13"/>
      <c r="J702" s="13"/>
      <c r="K702" s="13"/>
      <c r="L702" s="13"/>
      <c r="M702" s="13"/>
      <c r="N702" s="13"/>
    </row>
    <row r="703" spans="1:14">
      <c r="A703" s="12"/>
      <c r="B703" s="12"/>
      <c r="C703" s="12"/>
      <c r="D703" s="7"/>
      <c r="E703" s="2"/>
      <c r="F703" s="13"/>
      <c r="G703" s="13"/>
      <c r="H703" s="13"/>
      <c r="I703" s="13"/>
      <c r="J703" s="13"/>
      <c r="K703" s="13"/>
      <c r="L703" s="13"/>
      <c r="M703" s="13"/>
      <c r="N703" s="13"/>
    </row>
    <row r="704" spans="1:14">
      <c r="A704" s="12"/>
      <c r="B704" s="12"/>
      <c r="C704" s="12"/>
      <c r="D704" s="7"/>
      <c r="E704" s="2"/>
      <c r="F704" s="13"/>
      <c r="G704" s="13"/>
      <c r="H704" s="13"/>
      <c r="I704" s="13"/>
      <c r="J704" s="13"/>
      <c r="K704" s="13"/>
      <c r="L704" s="13"/>
      <c r="M704" s="13"/>
      <c r="N704" s="13"/>
    </row>
    <row r="705" spans="1:14">
      <c r="A705" s="12"/>
      <c r="B705" s="12"/>
      <c r="C705" s="12"/>
      <c r="D705" s="7"/>
      <c r="E705" s="2"/>
      <c r="F705" s="13"/>
      <c r="G705" s="13"/>
      <c r="H705" s="13"/>
      <c r="I705" s="13"/>
      <c r="J705" s="13"/>
      <c r="K705" s="13"/>
      <c r="L705" s="13"/>
      <c r="M705" s="13"/>
      <c r="N705" s="13"/>
    </row>
    <row r="706" spans="1:14">
      <c r="A706" s="12"/>
      <c r="B706" s="12"/>
      <c r="C706" s="12"/>
      <c r="D706" s="7"/>
      <c r="E706" s="2"/>
      <c r="F706" s="13"/>
      <c r="G706" s="13"/>
      <c r="H706" s="13"/>
      <c r="I706" s="13"/>
      <c r="J706" s="13"/>
      <c r="K706" s="13"/>
      <c r="L706" s="13"/>
      <c r="M706" s="13"/>
      <c r="N706" s="13"/>
    </row>
    <row r="707" spans="1:14">
      <c r="A707" s="12"/>
      <c r="B707" s="12"/>
      <c r="C707" s="12"/>
      <c r="D707" s="7"/>
      <c r="E707" s="2"/>
      <c r="F707" s="13"/>
      <c r="G707" s="13"/>
      <c r="H707" s="13"/>
      <c r="I707" s="13"/>
      <c r="J707" s="13"/>
      <c r="K707" s="13"/>
      <c r="L707" s="13"/>
      <c r="M707" s="13"/>
      <c r="N707" s="13"/>
    </row>
    <row r="708" spans="1:14">
      <c r="A708" s="12"/>
      <c r="B708" s="12"/>
      <c r="C708" s="12"/>
      <c r="D708" s="7"/>
      <c r="E708" s="2"/>
      <c r="F708" s="13"/>
      <c r="G708" s="13"/>
      <c r="H708" s="13"/>
      <c r="I708" s="13"/>
      <c r="J708" s="13"/>
      <c r="K708" s="13"/>
      <c r="L708" s="13"/>
      <c r="M708" s="13"/>
      <c r="N708" s="13"/>
    </row>
    <row r="709" spans="1:14">
      <c r="A709" s="12"/>
      <c r="B709" s="12"/>
      <c r="C709" s="12"/>
      <c r="D709" s="7"/>
      <c r="E709" s="2"/>
      <c r="F709" s="13"/>
      <c r="G709" s="13"/>
      <c r="H709" s="13"/>
      <c r="I709" s="13"/>
      <c r="J709" s="13"/>
      <c r="K709" s="13"/>
      <c r="L709" s="13"/>
      <c r="M709" s="13"/>
      <c r="N709" s="13"/>
    </row>
    <row r="710" spans="1:14">
      <c r="A710" s="12"/>
      <c r="B710" s="12"/>
      <c r="C710" s="12"/>
      <c r="D710" s="7"/>
      <c r="E710" s="2"/>
      <c r="F710" s="13"/>
      <c r="G710" s="13"/>
      <c r="H710" s="13"/>
      <c r="I710" s="13"/>
      <c r="J710" s="13"/>
      <c r="K710" s="13"/>
      <c r="L710" s="13"/>
      <c r="M710" s="13"/>
      <c r="N710" s="13"/>
    </row>
    <row r="711" spans="1:14">
      <c r="A711" s="12"/>
      <c r="B711" s="12"/>
      <c r="C711" s="12"/>
      <c r="D711" s="7"/>
      <c r="E711" s="2"/>
      <c r="F711" s="13"/>
      <c r="G711" s="13"/>
      <c r="H711" s="13"/>
      <c r="I711" s="13"/>
      <c r="J711" s="13"/>
      <c r="K711" s="13"/>
      <c r="L711" s="13"/>
      <c r="M711" s="13"/>
      <c r="N711" s="13"/>
    </row>
    <row r="712" spans="1:14">
      <c r="A712" s="12"/>
      <c r="B712" s="12"/>
      <c r="C712" s="12"/>
      <c r="D712" s="7"/>
      <c r="E712" s="2"/>
      <c r="F712" s="13"/>
      <c r="G712" s="13"/>
      <c r="H712" s="13"/>
      <c r="I712" s="13"/>
      <c r="J712" s="13"/>
      <c r="K712" s="13"/>
      <c r="L712" s="13"/>
      <c r="M712" s="13"/>
      <c r="N712" s="13"/>
    </row>
    <row r="713" spans="1:14">
      <c r="A713" s="12"/>
      <c r="B713" s="12"/>
      <c r="C713" s="12"/>
      <c r="D713" s="7"/>
      <c r="E713" s="2"/>
      <c r="F713" s="13"/>
      <c r="G713" s="13"/>
      <c r="H713" s="13"/>
      <c r="I713" s="13"/>
      <c r="J713" s="13"/>
      <c r="K713" s="13"/>
      <c r="L713" s="13"/>
      <c r="M713" s="13"/>
      <c r="N713" s="13"/>
    </row>
    <row r="714" spans="1:14">
      <c r="A714" s="12"/>
      <c r="B714" s="12"/>
      <c r="C714" s="12"/>
      <c r="D714" s="7"/>
      <c r="E714" s="2"/>
      <c r="F714" s="13"/>
      <c r="G714" s="13"/>
      <c r="H714" s="13"/>
      <c r="I714" s="13"/>
      <c r="J714" s="13"/>
      <c r="K714" s="13"/>
      <c r="L714" s="13"/>
      <c r="M714" s="13"/>
      <c r="N714" s="13"/>
    </row>
    <row r="715" spans="1:14">
      <c r="A715" s="12"/>
      <c r="B715" s="12"/>
      <c r="C715" s="12"/>
      <c r="D715" s="7"/>
      <c r="E715" s="2"/>
      <c r="F715" s="13"/>
      <c r="G715" s="13"/>
      <c r="H715" s="13"/>
      <c r="I715" s="13"/>
      <c r="J715" s="13"/>
      <c r="K715" s="13"/>
      <c r="L715" s="13"/>
      <c r="M715" s="13"/>
      <c r="N715" s="13"/>
    </row>
    <row r="716" spans="1:14">
      <c r="A716" s="12"/>
      <c r="B716" s="12"/>
      <c r="C716" s="12"/>
      <c r="D716" s="7"/>
      <c r="E716" s="2"/>
      <c r="F716" s="13"/>
      <c r="G716" s="13"/>
      <c r="H716" s="13"/>
      <c r="I716" s="13"/>
      <c r="J716" s="13"/>
      <c r="K716" s="13"/>
      <c r="L716" s="13"/>
      <c r="M716" s="13"/>
      <c r="N716" s="13"/>
    </row>
    <row r="717" spans="1:14">
      <c r="A717" s="12"/>
      <c r="B717" s="12"/>
      <c r="C717" s="12"/>
      <c r="D717" s="7"/>
      <c r="E717" s="2"/>
      <c r="F717" s="13"/>
      <c r="G717" s="13"/>
      <c r="H717" s="13"/>
      <c r="I717" s="13"/>
      <c r="J717" s="13"/>
      <c r="K717" s="13"/>
      <c r="L717" s="13"/>
      <c r="M717" s="13"/>
      <c r="N717" s="13"/>
    </row>
    <row r="718" spans="1:14">
      <c r="A718" s="12"/>
      <c r="B718" s="12"/>
      <c r="C718" s="12"/>
      <c r="D718" s="7"/>
      <c r="E718" s="2"/>
      <c r="F718" s="13"/>
      <c r="G718" s="13"/>
      <c r="H718" s="13"/>
      <c r="I718" s="13"/>
      <c r="J718" s="13"/>
      <c r="K718" s="13"/>
      <c r="L718" s="13"/>
      <c r="M718" s="13"/>
      <c r="N718" s="13"/>
    </row>
    <row r="719" spans="1:14">
      <c r="A719" s="12"/>
      <c r="B719" s="12"/>
      <c r="C719" s="12"/>
      <c r="D719" s="7"/>
      <c r="E719" s="2"/>
      <c r="F719" s="13"/>
      <c r="G719" s="13"/>
      <c r="H719" s="13"/>
      <c r="I719" s="13"/>
      <c r="J719" s="13"/>
      <c r="K719" s="13"/>
      <c r="L719" s="13"/>
      <c r="M719" s="13"/>
      <c r="N719" s="13"/>
    </row>
    <row r="720" spans="1:14">
      <c r="A720" s="12"/>
      <c r="B720" s="12"/>
      <c r="C720" s="12"/>
      <c r="D720" s="7"/>
      <c r="E720" s="2"/>
      <c r="F720" s="13"/>
      <c r="G720" s="13"/>
      <c r="H720" s="13"/>
      <c r="I720" s="13"/>
      <c r="J720" s="13"/>
      <c r="K720" s="13"/>
      <c r="L720" s="13"/>
      <c r="M720" s="13"/>
      <c r="N720" s="13"/>
    </row>
    <row r="721" spans="1:14">
      <c r="A721" s="12"/>
      <c r="B721" s="12"/>
      <c r="C721" s="12"/>
      <c r="D721" s="7"/>
      <c r="E721" s="2"/>
      <c r="F721" s="13"/>
      <c r="G721" s="13"/>
      <c r="H721" s="13"/>
      <c r="I721" s="13"/>
      <c r="J721" s="13"/>
      <c r="K721" s="13"/>
      <c r="L721" s="13"/>
      <c r="M721" s="13"/>
      <c r="N721" s="13"/>
    </row>
    <row r="722" spans="1:14">
      <c r="A722" s="12"/>
      <c r="B722" s="12"/>
      <c r="C722" s="12"/>
      <c r="D722" s="7"/>
      <c r="E722" s="2"/>
      <c r="F722" s="13"/>
      <c r="G722" s="13"/>
      <c r="H722" s="13"/>
      <c r="I722" s="13"/>
      <c r="J722" s="13"/>
      <c r="K722" s="13"/>
      <c r="L722" s="13"/>
      <c r="M722" s="13"/>
      <c r="N722" s="13"/>
    </row>
    <row r="723" spans="1:14">
      <c r="A723" s="12"/>
      <c r="B723" s="12"/>
      <c r="C723" s="12"/>
      <c r="D723" s="7"/>
      <c r="E723" s="2"/>
      <c r="F723" s="13"/>
      <c r="G723" s="13"/>
      <c r="H723" s="13"/>
      <c r="I723" s="13"/>
      <c r="J723" s="13"/>
      <c r="K723" s="13"/>
      <c r="L723" s="13"/>
      <c r="M723" s="13"/>
      <c r="N723" s="13"/>
    </row>
    <row r="724" spans="1:14">
      <c r="A724" s="12"/>
      <c r="B724" s="12"/>
      <c r="C724" s="12"/>
      <c r="D724" s="7"/>
      <c r="E724" s="2"/>
      <c r="F724" s="13"/>
      <c r="G724" s="13"/>
      <c r="H724" s="13"/>
      <c r="I724" s="13"/>
      <c r="J724" s="13"/>
      <c r="K724" s="13"/>
      <c r="L724" s="13"/>
      <c r="M724" s="13"/>
      <c r="N724" s="13"/>
    </row>
    <row r="725" spans="1:14">
      <c r="A725" s="12"/>
      <c r="B725" s="12"/>
      <c r="C725" s="12"/>
      <c r="D725" s="7"/>
      <c r="E725" s="2"/>
      <c r="F725" s="13"/>
      <c r="G725" s="13"/>
      <c r="H725" s="13"/>
      <c r="I725" s="13"/>
      <c r="J725" s="13"/>
      <c r="K725" s="13"/>
      <c r="L725" s="13"/>
      <c r="M725" s="13"/>
      <c r="N725" s="13"/>
    </row>
    <row r="726" spans="1:14">
      <c r="A726" s="12"/>
      <c r="B726" s="12"/>
      <c r="C726" s="12"/>
      <c r="D726" s="7"/>
      <c r="E726" s="2"/>
      <c r="F726" s="13"/>
      <c r="G726" s="13"/>
      <c r="H726" s="13"/>
      <c r="I726" s="13"/>
      <c r="J726" s="13"/>
      <c r="K726" s="13"/>
      <c r="L726" s="13"/>
      <c r="M726" s="13"/>
      <c r="N726" s="13"/>
    </row>
    <row r="727" spans="1:14">
      <c r="A727" s="12"/>
      <c r="B727" s="12"/>
      <c r="C727" s="12"/>
      <c r="D727" s="7"/>
      <c r="E727" s="2"/>
      <c r="F727" s="13"/>
      <c r="G727" s="13"/>
      <c r="H727" s="13"/>
      <c r="I727" s="13"/>
      <c r="J727" s="13"/>
      <c r="K727" s="13"/>
      <c r="L727" s="13"/>
      <c r="M727" s="13"/>
      <c r="N727" s="13"/>
    </row>
    <row r="728" spans="1:14">
      <c r="A728" s="12"/>
      <c r="B728" s="12"/>
      <c r="C728" s="12"/>
      <c r="D728" s="7"/>
      <c r="E728" s="2"/>
      <c r="F728" s="13"/>
      <c r="G728" s="13"/>
      <c r="H728" s="13"/>
      <c r="I728" s="13"/>
      <c r="J728" s="13"/>
      <c r="K728" s="13"/>
      <c r="L728" s="13"/>
      <c r="M728" s="13"/>
      <c r="N728" s="13"/>
    </row>
    <row r="729" spans="1:14">
      <c r="A729" s="12"/>
      <c r="B729" s="12"/>
      <c r="C729" s="12"/>
      <c r="D729" s="7"/>
      <c r="E729" s="2"/>
      <c r="F729" s="13"/>
      <c r="G729" s="13"/>
      <c r="H729" s="13"/>
      <c r="I729" s="13"/>
      <c r="J729" s="13"/>
      <c r="K729" s="13"/>
      <c r="L729" s="13"/>
      <c r="M729" s="13"/>
      <c r="N729" s="13"/>
    </row>
    <row r="730" spans="1:14">
      <c r="A730" s="12"/>
      <c r="B730" s="12"/>
      <c r="C730" s="12"/>
      <c r="D730" s="7"/>
      <c r="E730" s="2"/>
      <c r="F730" s="13"/>
      <c r="G730" s="13"/>
      <c r="H730" s="13"/>
      <c r="I730" s="13"/>
      <c r="J730" s="13"/>
      <c r="K730" s="13"/>
      <c r="L730" s="13"/>
      <c r="M730" s="13"/>
      <c r="N730" s="13"/>
    </row>
    <row r="731" spans="1:14">
      <c r="A731" s="12"/>
      <c r="B731" s="12"/>
      <c r="C731" s="12"/>
      <c r="D731" s="7"/>
      <c r="E731" s="2"/>
      <c r="F731" s="13"/>
      <c r="G731" s="13"/>
      <c r="H731" s="13"/>
      <c r="I731" s="13"/>
      <c r="J731" s="13"/>
      <c r="K731" s="13"/>
      <c r="L731" s="13"/>
      <c r="M731" s="13"/>
      <c r="N731" s="13"/>
    </row>
    <row r="732" spans="1:14">
      <c r="A732" s="12"/>
      <c r="B732" s="12"/>
      <c r="C732" s="12"/>
      <c r="D732" s="7"/>
      <c r="E732" s="2"/>
      <c r="F732" s="13"/>
      <c r="G732" s="13"/>
      <c r="H732" s="13"/>
      <c r="I732" s="13"/>
      <c r="J732" s="13"/>
      <c r="K732" s="13"/>
      <c r="L732" s="13"/>
      <c r="M732" s="13"/>
      <c r="N732" s="13"/>
    </row>
    <row r="733" spans="1:14">
      <c r="A733" s="12"/>
      <c r="B733" s="12"/>
      <c r="C733" s="12"/>
      <c r="D733" s="7"/>
      <c r="E733" s="2"/>
      <c r="F733" s="13"/>
      <c r="G733" s="13"/>
      <c r="H733" s="13"/>
      <c r="I733" s="13"/>
      <c r="J733" s="13"/>
      <c r="K733" s="13"/>
      <c r="L733" s="13"/>
      <c r="M733" s="13"/>
      <c r="N733" s="13"/>
    </row>
    <row r="734" spans="1:14">
      <c r="A734" s="12"/>
      <c r="B734" s="12"/>
      <c r="C734" s="12"/>
      <c r="D734" s="7"/>
      <c r="E734" s="2"/>
      <c r="F734" s="13"/>
      <c r="G734" s="13"/>
      <c r="H734" s="13"/>
      <c r="I734" s="13"/>
      <c r="J734" s="13"/>
      <c r="K734" s="13"/>
      <c r="L734" s="13"/>
      <c r="M734" s="13"/>
      <c r="N734" s="13"/>
    </row>
    <row r="735" spans="1:14">
      <c r="A735" s="12"/>
      <c r="B735" s="12"/>
      <c r="C735" s="12"/>
      <c r="D735" s="7"/>
      <c r="E735" s="2"/>
      <c r="F735" s="13"/>
      <c r="G735" s="13"/>
      <c r="H735" s="13"/>
      <c r="I735" s="13"/>
      <c r="J735" s="13"/>
      <c r="K735" s="13"/>
      <c r="L735" s="13"/>
      <c r="M735" s="13"/>
      <c r="N735" s="13"/>
    </row>
    <row r="736" spans="1:14">
      <c r="A736" s="12"/>
      <c r="B736" s="12"/>
      <c r="C736" s="12"/>
      <c r="D736" s="7"/>
      <c r="E736" s="2"/>
      <c r="F736" s="13"/>
      <c r="G736" s="13"/>
      <c r="H736" s="13"/>
      <c r="I736" s="13"/>
      <c r="J736" s="13"/>
      <c r="K736" s="13"/>
      <c r="L736" s="13"/>
      <c r="M736" s="13"/>
      <c r="N736" s="13"/>
    </row>
    <row r="737" spans="1:14">
      <c r="A737" s="12"/>
      <c r="B737" s="12"/>
      <c r="C737" s="12"/>
      <c r="D737" s="7"/>
      <c r="E737" s="2"/>
      <c r="F737" s="13"/>
      <c r="G737" s="13"/>
      <c r="H737" s="13"/>
      <c r="I737" s="13"/>
      <c r="J737" s="13"/>
      <c r="K737" s="13"/>
      <c r="L737" s="13"/>
      <c r="M737" s="13"/>
      <c r="N737" s="13"/>
    </row>
    <row r="738" spans="1:14">
      <c r="A738" s="12"/>
      <c r="B738" s="12"/>
      <c r="C738" s="12"/>
      <c r="D738" s="7"/>
      <c r="E738" s="2"/>
      <c r="F738" s="13"/>
      <c r="G738" s="13"/>
      <c r="H738" s="13"/>
      <c r="I738" s="13"/>
      <c r="J738" s="13"/>
      <c r="K738" s="13"/>
      <c r="L738" s="13"/>
      <c r="M738" s="13"/>
      <c r="N738" s="13"/>
    </row>
    <row r="739" spans="1:14">
      <c r="A739" s="12"/>
      <c r="B739" s="12"/>
      <c r="C739" s="12"/>
      <c r="D739" s="7"/>
      <c r="E739" s="2"/>
      <c r="F739" s="13"/>
      <c r="G739" s="13"/>
      <c r="H739" s="13"/>
      <c r="I739" s="13"/>
      <c r="J739" s="13"/>
      <c r="K739" s="13"/>
      <c r="L739" s="13"/>
      <c r="M739" s="13"/>
      <c r="N739" s="13"/>
    </row>
    <row r="740" spans="1:14">
      <c r="A740" s="12"/>
      <c r="B740" s="12"/>
      <c r="C740" s="12"/>
      <c r="D740" s="7"/>
      <c r="E740" s="2"/>
      <c r="F740" s="13"/>
      <c r="G740" s="13"/>
      <c r="H740" s="13"/>
      <c r="I740" s="13"/>
      <c r="J740" s="13"/>
      <c r="K740" s="13"/>
      <c r="L740" s="13"/>
      <c r="M740" s="13"/>
      <c r="N740" s="13"/>
    </row>
    <row r="741" spans="1:14">
      <c r="A741" s="12"/>
      <c r="B741" s="12"/>
      <c r="C741" s="12"/>
      <c r="D741" s="7"/>
      <c r="E741" s="2"/>
      <c r="F741" s="13"/>
      <c r="G741" s="13"/>
      <c r="H741" s="13"/>
      <c r="I741" s="13"/>
      <c r="J741" s="13"/>
      <c r="K741" s="13"/>
      <c r="L741" s="13"/>
      <c r="M741" s="13"/>
      <c r="N741" s="13"/>
    </row>
    <row r="742" spans="1:14">
      <c r="A742" s="12"/>
      <c r="B742" s="12"/>
      <c r="C742" s="12"/>
      <c r="D742" s="7"/>
      <c r="E742" s="2"/>
      <c r="F742" s="13"/>
      <c r="G742" s="13"/>
      <c r="H742" s="13"/>
      <c r="I742" s="13"/>
      <c r="J742" s="13"/>
      <c r="K742" s="13"/>
      <c r="L742" s="13"/>
      <c r="M742" s="13"/>
      <c r="N742" s="13"/>
    </row>
    <row r="743" spans="1:14">
      <c r="A743" s="12"/>
      <c r="B743" s="12"/>
      <c r="C743" s="12"/>
      <c r="D743" s="7"/>
      <c r="E743" s="2"/>
      <c r="F743" s="13"/>
      <c r="G743" s="13"/>
      <c r="H743" s="13"/>
      <c r="I743" s="13"/>
      <c r="J743" s="13"/>
      <c r="K743" s="13"/>
      <c r="L743" s="13"/>
      <c r="M743" s="13"/>
      <c r="N743" s="13"/>
    </row>
    <row r="744" spans="1:14">
      <c r="A744" s="12"/>
      <c r="B744" s="12"/>
      <c r="C744" s="12"/>
      <c r="D744" s="7"/>
      <c r="E744" s="2"/>
      <c r="F744" s="13"/>
      <c r="G744" s="13"/>
      <c r="H744" s="13"/>
      <c r="I744" s="13"/>
      <c r="J744" s="13"/>
      <c r="K744" s="13"/>
      <c r="L744" s="13"/>
      <c r="M744" s="13"/>
      <c r="N744" s="13"/>
    </row>
    <row r="745" spans="1:14">
      <c r="A745" s="12"/>
      <c r="B745" s="12"/>
      <c r="C745" s="12"/>
      <c r="D745" s="7"/>
      <c r="E745" s="2"/>
      <c r="F745" s="13"/>
      <c r="G745" s="13"/>
      <c r="H745" s="13"/>
      <c r="I745" s="13"/>
      <c r="J745" s="13"/>
      <c r="K745" s="13"/>
      <c r="L745" s="13"/>
      <c r="M745" s="13"/>
      <c r="N745" s="13"/>
    </row>
    <row r="746" spans="1:14">
      <c r="A746" s="12"/>
      <c r="B746" s="12"/>
      <c r="C746" s="12"/>
      <c r="D746" s="7"/>
      <c r="E746" s="2"/>
      <c r="F746" s="13"/>
      <c r="G746" s="13"/>
      <c r="H746" s="13"/>
      <c r="I746" s="13"/>
      <c r="J746" s="13"/>
      <c r="K746" s="13"/>
      <c r="L746" s="13"/>
      <c r="M746" s="13"/>
      <c r="N746" s="13"/>
    </row>
    <row r="747" spans="1:14">
      <c r="A747" s="12"/>
      <c r="B747" s="12"/>
      <c r="C747" s="12"/>
      <c r="D747" s="7"/>
      <c r="E747" s="2"/>
      <c r="F747" s="13"/>
      <c r="G747" s="13"/>
      <c r="H747" s="13"/>
      <c r="I747" s="13"/>
      <c r="J747" s="13"/>
      <c r="K747" s="13"/>
      <c r="L747" s="13"/>
      <c r="M747" s="13"/>
      <c r="N747" s="13"/>
    </row>
    <row r="748" spans="1:14">
      <c r="A748" s="12"/>
      <c r="B748" s="12"/>
      <c r="C748" s="12"/>
      <c r="D748" s="7"/>
      <c r="E748" s="2"/>
      <c r="F748" s="13"/>
      <c r="G748" s="13"/>
      <c r="H748" s="13"/>
      <c r="I748" s="13"/>
      <c r="J748" s="13"/>
      <c r="K748" s="13"/>
      <c r="L748" s="13"/>
      <c r="M748" s="13"/>
      <c r="N748" s="13"/>
    </row>
    <row r="749" spans="1:14">
      <c r="A749" s="12"/>
      <c r="B749" s="12"/>
      <c r="C749" s="12"/>
      <c r="D749" s="7"/>
      <c r="E749" s="2"/>
      <c r="F749" s="13"/>
      <c r="G749" s="13"/>
      <c r="H749" s="13"/>
      <c r="I749" s="13"/>
      <c r="J749" s="13"/>
      <c r="K749" s="13"/>
      <c r="L749" s="13"/>
      <c r="M749" s="13"/>
      <c r="N749" s="13"/>
    </row>
    <row r="750" spans="1:14">
      <c r="A750" s="12"/>
      <c r="B750" s="12"/>
      <c r="C750" s="12"/>
      <c r="D750" s="7"/>
      <c r="E750" s="2"/>
      <c r="F750" s="13"/>
      <c r="G750" s="13"/>
      <c r="H750" s="13"/>
      <c r="I750" s="13"/>
      <c r="J750" s="13"/>
      <c r="K750" s="13"/>
      <c r="L750" s="13"/>
      <c r="M750" s="13"/>
      <c r="N750" s="13"/>
    </row>
    <row r="751" spans="1:14">
      <c r="A751" s="12"/>
      <c r="B751" s="12"/>
      <c r="C751" s="12"/>
      <c r="D751" s="7"/>
      <c r="E751" s="2"/>
      <c r="F751" s="13"/>
      <c r="G751" s="13"/>
      <c r="H751" s="13"/>
      <c r="I751" s="13"/>
      <c r="J751" s="13"/>
      <c r="K751" s="13"/>
      <c r="L751" s="13"/>
      <c r="M751" s="13"/>
      <c r="N751" s="13"/>
    </row>
    <row r="752" spans="1:14">
      <c r="A752" s="12"/>
      <c r="B752" s="12"/>
      <c r="C752" s="12"/>
      <c r="D752" s="7"/>
      <c r="E752" s="2"/>
      <c r="F752" s="13"/>
      <c r="G752" s="13"/>
      <c r="H752" s="13"/>
      <c r="I752" s="13"/>
      <c r="J752" s="13"/>
      <c r="K752" s="13"/>
      <c r="L752" s="13"/>
      <c r="M752" s="13"/>
      <c r="N752" s="13"/>
    </row>
    <row r="753" spans="1:14">
      <c r="A753" s="12"/>
      <c r="B753" s="12"/>
      <c r="C753" s="12"/>
      <c r="D753" s="7"/>
      <c r="E753" s="2"/>
      <c r="F753" s="13"/>
      <c r="G753" s="13"/>
      <c r="H753" s="13"/>
      <c r="I753" s="13"/>
      <c r="J753" s="13"/>
      <c r="K753" s="13"/>
      <c r="L753" s="13"/>
      <c r="M753" s="13"/>
      <c r="N753" s="13"/>
    </row>
    <row r="754" spans="1:14">
      <c r="A754" s="12"/>
      <c r="B754" s="12"/>
      <c r="C754" s="12"/>
      <c r="D754" s="7"/>
      <c r="E754" s="2"/>
      <c r="F754" s="13"/>
      <c r="G754" s="13"/>
      <c r="H754" s="13"/>
      <c r="I754" s="13"/>
      <c r="J754" s="13"/>
      <c r="K754" s="13"/>
      <c r="L754" s="13"/>
      <c r="M754" s="13"/>
      <c r="N754" s="13"/>
    </row>
    <row r="755" spans="1:14">
      <c r="A755" s="12"/>
      <c r="B755" s="12"/>
      <c r="C755" s="12"/>
      <c r="D755" s="7"/>
      <c r="E755" s="2"/>
      <c r="F755" s="13"/>
      <c r="G755" s="13"/>
      <c r="H755" s="13"/>
      <c r="I755" s="13"/>
      <c r="J755" s="13"/>
      <c r="K755" s="13"/>
      <c r="L755" s="13"/>
      <c r="M755" s="13"/>
      <c r="N755" s="13"/>
    </row>
    <row r="756" spans="1:14">
      <c r="A756" s="12"/>
      <c r="B756" s="12"/>
      <c r="C756" s="12"/>
      <c r="D756" s="7"/>
      <c r="E756" s="2"/>
      <c r="F756" s="13"/>
      <c r="G756" s="13"/>
      <c r="H756" s="13"/>
      <c r="I756" s="13"/>
      <c r="J756" s="13"/>
      <c r="K756" s="13"/>
      <c r="L756" s="13"/>
      <c r="M756" s="13"/>
      <c r="N756" s="13"/>
    </row>
    <row r="757" spans="1:14">
      <c r="A757" s="12"/>
      <c r="B757" s="12"/>
      <c r="C757" s="12"/>
      <c r="D757" s="7"/>
      <c r="E757" s="2"/>
      <c r="F757" s="13"/>
      <c r="G757" s="13"/>
      <c r="H757" s="13"/>
      <c r="I757" s="13"/>
      <c r="J757" s="13"/>
      <c r="K757" s="13"/>
      <c r="L757" s="13"/>
      <c r="M757" s="13"/>
      <c r="N757" s="13"/>
    </row>
    <row r="758" spans="1:14">
      <c r="A758" s="12"/>
      <c r="B758" s="12"/>
      <c r="C758" s="12"/>
      <c r="D758" s="7"/>
      <c r="E758" s="2"/>
      <c r="F758" s="13"/>
      <c r="G758" s="13"/>
      <c r="H758" s="13"/>
      <c r="I758" s="13"/>
      <c r="J758" s="13"/>
      <c r="K758" s="13"/>
      <c r="L758" s="13"/>
      <c r="M758" s="13"/>
      <c r="N758" s="13"/>
    </row>
    <row r="759" spans="1:14">
      <c r="A759" s="12"/>
      <c r="B759" s="12"/>
      <c r="C759" s="12"/>
      <c r="D759" s="7"/>
      <c r="E759" s="2"/>
      <c r="F759" s="13"/>
      <c r="G759" s="13"/>
      <c r="H759" s="13"/>
      <c r="I759" s="13"/>
      <c r="J759" s="13"/>
      <c r="K759" s="13"/>
      <c r="L759" s="13"/>
      <c r="M759" s="13"/>
      <c r="N759" s="13"/>
    </row>
    <row r="760" spans="1:14">
      <c r="A760" s="12"/>
      <c r="B760" s="12"/>
      <c r="C760" s="12"/>
      <c r="D760" s="7"/>
      <c r="E760" s="2"/>
      <c r="F760" s="13"/>
      <c r="G760" s="13"/>
      <c r="H760" s="13"/>
      <c r="I760" s="13"/>
      <c r="J760" s="13"/>
      <c r="K760" s="13"/>
      <c r="L760" s="13"/>
      <c r="M760" s="13"/>
      <c r="N760" s="13"/>
    </row>
    <row r="761" spans="1:14">
      <c r="A761" s="12"/>
      <c r="B761" s="12"/>
      <c r="C761" s="12"/>
      <c r="D761" s="7"/>
      <c r="E761" s="2"/>
      <c r="F761" s="13"/>
      <c r="G761" s="13"/>
      <c r="H761" s="13"/>
      <c r="I761" s="13"/>
      <c r="J761" s="13"/>
      <c r="K761" s="13"/>
      <c r="L761" s="13"/>
      <c r="M761" s="13"/>
      <c r="N761" s="13"/>
    </row>
    <row r="762" spans="1:14">
      <c r="A762" s="12"/>
      <c r="B762" s="12"/>
      <c r="C762" s="12"/>
      <c r="D762" s="7"/>
      <c r="E762" s="2"/>
      <c r="F762" s="13"/>
      <c r="G762" s="13"/>
      <c r="H762" s="13"/>
      <c r="I762" s="13"/>
      <c r="J762" s="13"/>
      <c r="K762" s="13"/>
      <c r="L762" s="13"/>
      <c r="M762" s="13"/>
      <c r="N762" s="13"/>
    </row>
    <row r="763" spans="1:14">
      <c r="A763" s="12"/>
      <c r="B763" s="12"/>
      <c r="C763" s="12"/>
      <c r="D763" s="7"/>
      <c r="E763" s="2"/>
      <c r="F763" s="13"/>
      <c r="G763" s="13"/>
      <c r="H763" s="13"/>
      <c r="I763" s="13"/>
      <c r="J763" s="13"/>
      <c r="K763" s="13"/>
      <c r="L763" s="13"/>
      <c r="M763" s="13"/>
      <c r="N763" s="13"/>
    </row>
    <row r="764" spans="1:14">
      <c r="A764" s="12"/>
      <c r="B764" s="12"/>
      <c r="C764" s="12"/>
      <c r="D764" s="7"/>
      <c r="E764" s="2"/>
      <c r="F764" s="13"/>
      <c r="G764" s="13"/>
      <c r="H764" s="13"/>
      <c r="I764" s="13"/>
      <c r="J764" s="13"/>
      <c r="K764" s="13"/>
      <c r="L764" s="13"/>
      <c r="M764" s="13"/>
      <c r="N764" s="13"/>
    </row>
    <row r="765" spans="1:14">
      <c r="A765" s="12"/>
      <c r="B765" s="12"/>
      <c r="C765" s="12"/>
      <c r="D765" s="7"/>
      <c r="E765" s="2"/>
      <c r="F765" s="13"/>
      <c r="G765" s="13"/>
      <c r="H765" s="13"/>
      <c r="I765" s="13"/>
      <c r="J765" s="13"/>
      <c r="K765" s="13"/>
      <c r="L765" s="13"/>
      <c r="M765" s="13"/>
      <c r="N765" s="13"/>
    </row>
    <row r="766" spans="1:14">
      <c r="A766" s="12"/>
      <c r="B766" s="12"/>
      <c r="C766" s="12"/>
      <c r="D766" s="7"/>
      <c r="E766" s="2"/>
      <c r="F766" s="13"/>
      <c r="G766" s="13"/>
      <c r="H766" s="13"/>
      <c r="I766" s="13"/>
      <c r="J766" s="13"/>
      <c r="K766" s="13"/>
      <c r="L766" s="13"/>
      <c r="M766" s="13"/>
      <c r="N766" s="13"/>
    </row>
    <row r="767" spans="1:14">
      <c r="A767" s="12"/>
      <c r="B767" s="12"/>
      <c r="C767" s="12"/>
      <c r="D767" s="7"/>
      <c r="E767" s="2"/>
      <c r="F767" s="13"/>
      <c r="G767" s="13"/>
      <c r="H767" s="13"/>
      <c r="I767" s="13"/>
      <c r="J767" s="13"/>
      <c r="K767" s="13"/>
      <c r="L767" s="13"/>
      <c r="M767" s="13"/>
      <c r="N767" s="13"/>
    </row>
    <row r="768" spans="1:14">
      <c r="A768" s="12"/>
      <c r="B768" s="12"/>
      <c r="C768" s="12"/>
      <c r="D768" s="7"/>
      <c r="E768" s="2"/>
      <c r="F768" s="13"/>
      <c r="G768" s="13"/>
      <c r="H768" s="13"/>
      <c r="I768" s="13"/>
      <c r="J768" s="13"/>
      <c r="K768" s="13"/>
      <c r="L768" s="13"/>
      <c r="M768" s="13"/>
      <c r="N768" s="13"/>
    </row>
    <row r="769" spans="1:14">
      <c r="A769" s="12"/>
      <c r="B769" s="12"/>
      <c r="C769" s="12"/>
      <c r="D769" s="7"/>
      <c r="E769" s="2"/>
      <c r="F769" s="13"/>
      <c r="G769" s="13"/>
      <c r="H769" s="13"/>
      <c r="I769" s="13"/>
      <c r="J769" s="13"/>
      <c r="K769" s="13"/>
      <c r="L769" s="13"/>
      <c r="M769" s="13"/>
      <c r="N769" s="13"/>
    </row>
    <row r="770" spans="1:14">
      <c r="A770" s="12"/>
      <c r="B770" s="12"/>
      <c r="C770" s="12"/>
      <c r="D770" s="7"/>
      <c r="E770" s="2"/>
      <c r="F770" s="13"/>
      <c r="G770" s="13"/>
      <c r="H770" s="13"/>
      <c r="I770" s="13"/>
      <c r="J770" s="13"/>
      <c r="K770" s="13"/>
      <c r="L770" s="13"/>
      <c r="M770" s="13"/>
      <c r="N770" s="13"/>
    </row>
    <row r="771" spans="1:14">
      <c r="A771" s="12"/>
      <c r="B771" s="12"/>
      <c r="C771" s="12"/>
      <c r="D771" s="7"/>
      <c r="E771" s="2"/>
      <c r="F771" s="13"/>
      <c r="G771" s="13"/>
      <c r="H771" s="13"/>
      <c r="I771" s="13"/>
      <c r="J771" s="13"/>
      <c r="K771" s="13"/>
      <c r="L771" s="13"/>
      <c r="M771" s="13"/>
      <c r="N771" s="13"/>
    </row>
    <row r="772" spans="1:14">
      <c r="A772" s="12"/>
      <c r="B772" s="12"/>
      <c r="C772" s="12"/>
      <c r="D772" s="7"/>
      <c r="E772" s="2"/>
      <c r="F772" s="13"/>
      <c r="G772" s="13"/>
      <c r="H772" s="13"/>
      <c r="I772" s="13"/>
      <c r="J772" s="13"/>
      <c r="K772" s="13"/>
      <c r="L772" s="13"/>
      <c r="M772" s="13"/>
      <c r="N772" s="13"/>
    </row>
    <row r="773" spans="1:14">
      <c r="A773" s="12"/>
      <c r="B773" s="12"/>
      <c r="C773" s="12"/>
      <c r="D773" s="7"/>
      <c r="E773" s="2"/>
      <c r="F773" s="13"/>
      <c r="G773" s="13"/>
      <c r="H773" s="13"/>
      <c r="I773" s="13"/>
      <c r="J773" s="13"/>
      <c r="K773" s="13"/>
      <c r="L773" s="13"/>
      <c r="M773" s="13"/>
      <c r="N773" s="13"/>
    </row>
    <row r="774" spans="1:14">
      <c r="A774" s="12"/>
      <c r="B774" s="12"/>
      <c r="C774" s="12"/>
      <c r="D774" s="7"/>
      <c r="E774" s="2"/>
      <c r="F774" s="13"/>
      <c r="G774" s="13"/>
      <c r="H774" s="13"/>
      <c r="I774" s="13"/>
      <c r="J774" s="13"/>
      <c r="K774" s="13"/>
      <c r="L774" s="13"/>
      <c r="M774" s="13"/>
      <c r="N774" s="13"/>
    </row>
    <row r="775" spans="1:14">
      <c r="A775" s="12"/>
      <c r="B775" s="12"/>
      <c r="C775" s="12"/>
      <c r="D775" s="7"/>
      <c r="E775" s="2"/>
      <c r="F775" s="13"/>
      <c r="G775" s="13"/>
      <c r="H775" s="13"/>
      <c r="I775" s="13"/>
      <c r="J775" s="13"/>
      <c r="K775" s="13"/>
      <c r="L775" s="13"/>
      <c r="M775" s="13"/>
      <c r="N775" s="13"/>
    </row>
    <row r="776" spans="1:14">
      <c r="A776" s="12"/>
      <c r="B776" s="12"/>
      <c r="C776" s="12"/>
      <c r="D776" s="7"/>
      <c r="E776" s="2"/>
      <c r="F776" s="13"/>
      <c r="G776" s="13"/>
      <c r="H776" s="13"/>
      <c r="I776" s="13"/>
      <c r="J776" s="13"/>
      <c r="K776" s="13"/>
      <c r="L776" s="13"/>
      <c r="M776" s="13"/>
      <c r="N776" s="13"/>
    </row>
    <row r="777" spans="1:14">
      <c r="A777" s="12"/>
      <c r="B777" s="12"/>
      <c r="C777" s="12"/>
      <c r="D777" s="7"/>
      <c r="E777" s="2"/>
      <c r="F777" s="13"/>
      <c r="G777" s="13"/>
      <c r="H777" s="13"/>
      <c r="I777" s="13"/>
      <c r="J777" s="13"/>
      <c r="K777" s="13"/>
      <c r="L777" s="13"/>
      <c r="M777" s="13"/>
      <c r="N777" s="13"/>
    </row>
    <row r="778" spans="1:14">
      <c r="A778" s="12"/>
      <c r="B778" s="12"/>
      <c r="C778" s="12"/>
      <c r="D778" s="7"/>
      <c r="E778" s="2"/>
      <c r="F778" s="13"/>
      <c r="G778" s="13"/>
      <c r="H778" s="13"/>
      <c r="I778" s="13"/>
      <c r="J778" s="13"/>
      <c r="K778" s="13"/>
      <c r="L778" s="13"/>
      <c r="M778" s="13"/>
      <c r="N778" s="13"/>
    </row>
    <row r="779" spans="1:14">
      <c r="A779" s="12"/>
      <c r="B779" s="12"/>
      <c r="C779" s="12"/>
      <c r="D779" s="7"/>
      <c r="E779" s="2"/>
      <c r="F779" s="13"/>
      <c r="G779" s="13"/>
      <c r="H779" s="13"/>
      <c r="I779" s="13"/>
      <c r="J779" s="13"/>
      <c r="K779" s="13"/>
      <c r="L779" s="13"/>
      <c r="M779" s="13"/>
      <c r="N779" s="13"/>
    </row>
    <row r="780" spans="1:14">
      <c r="A780" s="12"/>
      <c r="B780" s="12"/>
      <c r="C780" s="12"/>
      <c r="D780" s="7"/>
      <c r="E780" s="2"/>
      <c r="F780" s="13"/>
      <c r="G780" s="13"/>
      <c r="H780" s="13"/>
      <c r="I780" s="13"/>
      <c r="J780" s="13"/>
      <c r="K780" s="13"/>
      <c r="L780" s="13"/>
      <c r="M780" s="13"/>
      <c r="N780" s="13"/>
    </row>
    <row r="781" spans="1:14">
      <c r="A781" s="12"/>
      <c r="B781" s="12"/>
      <c r="C781" s="12"/>
      <c r="D781" s="7"/>
      <c r="E781" s="2"/>
      <c r="F781" s="13"/>
      <c r="G781" s="13"/>
      <c r="H781" s="13"/>
      <c r="I781" s="13"/>
      <c r="J781" s="13"/>
      <c r="K781" s="13"/>
      <c r="L781" s="13"/>
      <c r="M781" s="13"/>
      <c r="N781" s="13"/>
    </row>
    <row r="782" spans="1:14">
      <c r="A782" s="12"/>
      <c r="B782" s="12"/>
      <c r="C782" s="12"/>
      <c r="D782" s="7"/>
      <c r="E782" s="2"/>
      <c r="F782" s="13"/>
      <c r="G782" s="13"/>
      <c r="H782" s="13"/>
      <c r="I782" s="13"/>
      <c r="J782" s="13"/>
      <c r="K782" s="13"/>
      <c r="L782" s="13"/>
      <c r="M782" s="13"/>
      <c r="N782" s="13"/>
    </row>
    <row r="783" spans="1:14">
      <c r="A783" s="12"/>
      <c r="B783" s="12"/>
      <c r="C783" s="12"/>
      <c r="D783" s="7"/>
      <c r="E783" s="2"/>
      <c r="F783" s="13"/>
      <c r="G783" s="13"/>
      <c r="H783" s="13"/>
      <c r="I783" s="13"/>
      <c r="J783" s="13"/>
      <c r="K783" s="13"/>
      <c r="L783" s="13"/>
      <c r="M783" s="13"/>
      <c r="N783" s="13"/>
    </row>
    <row r="784" spans="1:14">
      <c r="A784" s="12"/>
      <c r="B784" s="12"/>
      <c r="C784" s="12"/>
      <c r="D784" s="7"/>
      <c r="E784" s="2"/>
      <c r="F784" s="13"/>
      <c r="G784" s="13"/>
      <c r="H784" s="13"/>
      <c r="I784" s="13"/>
      <c r="J784" s="13"/>
      <c r="K784" s="13"/>
      <c r="L784" s="13"/>
      <c r="M784" s="13"/>
      <c r="N784" s="13"/>
    </row>
    <row r="785" spans="1:14">
      <c r="A785" s="12"/>
      <c r="B785" s="12"/>
      <c r="C785" s="12"/>
      <c r="D785" s="7"/>
      <c r="E785" s="2"/>
      <c r="F785" s="13"/>
      <c r="G785" s="13"/>
      <c r="H785" s="13"/>
      <c r="I785" s="13"/>
      <c r="J785" s="13"/>
      <c r="K785" s="13"/>
      <c r="L785" s="13"/>
      <c r="M785" s="13"/>
      <c r="N785" s="13"/>
    </row>
    <row r="786" spans="1:14">
      <c r="A786" s="12"/>
      <c r="B786" s="12"/>
      <c r="C786" s="12"/>
      <c r="D786" s="7"/>
    </row>
    <row r="787" spans="1:14">
      <c r="A787" s="12"/>
      <c r="B787" s="12"/>
      <c r="C787" s="12"/>
      <c r="D787" s="7"/>
    </row>
    <row r="788" spans="1:14">
      <c r="A788" s="12"/>
      <c r="B788" s="12"/>
      <c r="C788" s="12"/>
      <c r="D788" s="7"/>
    </row>
    <row r="789" spans="1:14">
      <c r="A789" s="12"/>
      <c r="B789" s="12"/>
      <c r="C789" s="12"/>
      <c r="D789" s="7"/>
    </row>
    <row r="790" spans="1:14">
      <c r="A790" s="12"/>
      <c r="B790" s="12"/>
      <c r="C790" s="12"/>
      <c r="D790" s="7"/>
    </row>
    <row r="791" spans="1:14">
      <c r="A791" s="12"/>
      <c r="B791" s="12"/>
      <c r="C791" s="12"/>
      <c r="D791" s="7"/>
    </row>
    <row r="792" spans="1:14">
      <c r="A792" s="12"/>
      <c r="B792" s="12"/>
      <c r="C792" s="12"/>
      <c r="D792" s="7"/>
    </row>
    <row r="793" spans="1:14">
      <c r="A793" s="12"/>
      <c r="B793" s="12"/>
      <c r="C793" s="12"/>
      <c r="D793" s="7"/>
    </row>
    <row r="794" spans="1:14">
      <c r="A794" s="12"/>
      <c r="B794" s="12"/>
      <c r="C794" s="12"/>
      <c r="D794" s="7"/>
    </row>
    <row r="795" spans="1:14">
      <c r="A795" s="12"/>
      <c r="B795" s="12"/>
      <c r="C795" s="12"/>
      <c r="D795" s="7"/>
    </row>
    <row r="796" spans="1:14">
      <c r="A796" s="12"/>
      <c r="B796" s="12"/>
      <c r="C796" s="12"/>
      <c r="D796" s="7"/>
    </row>
    <row r="797" spans="1:14">
      <c r="A797" s="12"/>
      <c r="B797" s="12"/>
      <c r="C797" s="12"/>
      <c r="D797" s="7"/>
    </row>
    <row r="798" spans="1:14">
      <c r="A798" s="12"/>
      <c r="B798" s="12"/>
      <c r="C798" s="12"/>
      <c r="D798" s="7"/>
    </row>
    <row r="799" spans="1:14">
      <c r="A799" s="12"/>
      <c r="B799" s="12"/>
      <c r="C799" s="12"/>
      <c r="D799" s="7"/>
    </row>
    <row r="800" spans="1:14">
      <c r="A800" s="12"/>
      <c r="B800" s="12"/>
      <c r="C800" s="12"/>
      <c r="D800" s="7"/>
    </row>
    <row r="801" spans="1:4">
      <c r="A801" s="12"/>
      <c r="B801" s="12"/>
      <c r="C801" s="12"/>
      <c r="D801" s="7"/>
    </row>
    <row r="802" spans="1:4">
      <c r="A802" s="12"/>
      <c r="B802" s="12"/>
      <c r="C802" s="12"/>
      <c r="D802" s="7"/>
    </row>
    <row r="803" spans="1:4">
      <c r="A803" s="12"/>
      <c r="B803" s="12"/>
      <c r="C803" s="12"/>
      <c r="D803" s="7"/>
    </row>
    <row r="804" spans="1:4">
      <c r="A804" s="12"/>
      <c r="B804" s="12"/>
      <c r="C804" s="12"/>
      <c r="D804" s="7"/>
    </row>
    <row r="805" spans="1:4">
      <c r="A805" s="12"/>
      <c r="B805" s="12"/>
      <c r="C805" s="12"/>
      <c r="D805" s="7"/>
    </row>
    <row r="806" spans="1:4">
      <c r="A806" s="12"/>
      <c r="B806" s="12"/>
      <c r="C806" s="12"/>
      <c r="D806" s="7"/>
    </row>
    <row r="807" spans="1:4">
      <c r="A807" s="12"/>
      <c r="B807" s="12"/>
      <c r="C807" s="12"/>
      <c r="D807" s="7"/>
    </row>
    <row r="808" spans="1:4">
      <c r="A808" s="12"/>
      <c r="B808" s="12"/>
      <c r="C808" s="12"/>
      <c r="D808" s="7"/>
    </row>
    <row r="809" spans="1:4">
      <c r="A809" s="12"/>
      <c r="B809" s="12"/>
      <c r="C809" s="12"/>
      <c r="D809" s="7"/>
    </row>
    <row r="810" spans="1:4">
      <c r="A810" s="12"/>
      <c r="B810" s="12"/>
      <c r="C810" s="12"/>
      <c r="D810" s="7"/>
    </row>
    <row r="811" spans="1:4">
      <c r="A811" s="12"/>
      <c r="B811" s="12"/>
      <c r="C811" s="12"/>
      <c r="D811" s="7"/>
    </row>
    <row r="812" spans="1:4">
      <c r="A812" s="12"/>
      <c r="B812" s="12"/>
      <c r="C812" s="12"/>
      <c r="D812" s="7"/>
    </row>
    <row r="813" spans="1:4">
      <c r="A813" s="12"/>
      <c r="B813" s="12"/>
      <c r="C813" s="12"/>
      <c r="D813" s="7"/>
    </row>
    <row r="814" spans="1:4">
      <c r="A814" s="12"/>
      <c r="B814" s="12"/>
      <c r="C814" s="12"/>
      <c r="D814" s="7"/>
    </row>
    <row r="815" spans="1:4">
      <c r="A815" s="12"/>
      <c r="B815" s="12"/>
      <c r="C815" s="12"/>
      <c r="D815" s="7"/>
    </row>
    <row r="816" spans="1:4">
      <c r="A816" s="12"/>
      <c r="B816" s="12"/>
      <c r="C816" s="12"/>
      <c r="D816" s="7"/>
    </row>
    <row r="817" spans="1:4">
      <c r="A817" s="12"/>
      <c r="B817" s="12"/>
      <c r="C817" s="12"/>
      <c r="D817" s="7"/>
    </row>
    <row r="818" spans="1:4">
      <c r="A818" s="12"/>
      <c r="B818" s="12"/>
      <c r="C818" s="12"/>
      <c r="D818" s="7"/>
    </row>
    <row r="819" spans="1:4">
      <c r="A819" s="12"/>
      <c r="B819" s="12"/>
      <c r="C819" s="12"/>
      <c r="D819" s="7"/>
    </row>
    <row r="820" spans="1:4">
      <c r="A820" s="12"/>
      <c r="B820" s="12"/>
      <c r="C820" s="12"/>
      <c r="D820" s="7"/>
    </row>
    <row r="821" spans="1:4">
      <c r="A821" s="12"/>
      <c r="B821" s="12"/>
      <c r="C821" s="12"/>
      <c r="D821" s="7"/>
    </row>
    <row r="822" spans="1:4">
      <c r="A822" s="12"/>
      <c r="B822" s="12"/>
      <c r="C822" s="12"/>
      <c r="D822" s="7"/>
    </row>
    <row r="823" spans="1:4">
      <c r="A823" s="12"/>
      <c r="B823" s="12"/>
      <c r="C823" s="12"/>
      <c r="D823" s="7"/>
    </row>
    <row r="824" spans="1:4">
      <c r="A824" s="12"/>
      <c r="B824" s="12"/>
      <c r="C824" s="12"/>
      <c r="D824" s="7"/>
    </row>
    <row r="825" spans="1:4">
      <c r="A825" s="12"/>
      <c r="B825" s="12"/>
      <c r="C825" s="12"/>
      <c r="D825" s="7"/>
    </row>
    <row r="826" spans="1:4">
      <c r="A826" s="12"/>
      <c r="B826" s="12"/>
      <c r="C826" s="12"/>
      <c r="D826" s="7"/>
    </row>
    <row r="827" spans="1:4">
      <c r="A827" s="12"/>
      <c r="B827" s="12"/>
      <c r="C827" s="12"/>
      <c r="D827" s="7"/>
    </row>
    <row r="828" spans="1:4">
      <c r="A828" s="12"/>
      <c r="B828" s="12"/>
      <c r="C828" s="12"/>
      <c r="D828" s="7"/>
    </row>
    <row r="829" spans="1:4">
      <c r="A829" s="12"/>
      <c r="B829" s="12"/>
      <c r="C829" s="12"/>
      <c r="D829" s="7"/>
    </row>
    <row r="830" spans="1:4">
      <c r="A830" s="12"/>
      <c r="B830" s="12"/>
      <c r="C830" s="12"/>
      <c r="D830" s="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7851-E1EA-44D1-B844-576D95D15B06}">
  <dimension ref="A1"/>
  <sheetViews>
    <sheetView workbookViewId="0">
      <selection activeCell="B22" sqref="B22"/>
    </sheetView>
  </sheetViews>
  <sheetFormatPr baseColWidth="10" defaultRowHeight="14.4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80"/>
  <sheetViews>
    <sheetView zoomScale="80" zoomScaleNormal="80" zoomScalePageLayoutView="80" workbookViewId="0">
      <selection activeCell="J17" sqref="J17"/>
    </sheetView>
  </sheetViews>
  <sheetFormatPr baseColWidth="10" defaultRowHeight="14.4"/>
  <cols>
    <col min="3" max="3" width="30.47265625" customWidth="1"/>
    <col min="4" max="4" width="20" customWidth="1"/>
    <col min="5" max="5" width="20.3125" customWidth="1"/>
    <col min="6" max="6" width="22.68359375" customWidth="1"/>
    <col min="14" max="14" width="10.68359375" style="21"/>
  </cols>
  <sheetData>
    <row r="1" spans="2:11" ht="18.3">
      <c r="K1" s="20" t="s">
        <v>126</v>
      </c>
    </row>
    <row r="2" spans="2:11">
      <c r="B2" t="s">
        <v>50</v>
      </c>
      <c r="K2" s="1" t="s">
        <v>127</v>
      </c>
    </row>
    <row r="3" spans="2:11">
      <c r="B3" t="s">
        <v>51</v>
      </c>
      <c r="K3" s="1" t="s">
        <v>128</v>
      </c>
    </row>
    <row r="4" spans="2:11">
      <c r="B4" t="s">
        <v>52</v>
      </c>
      <c r="K4" s="1"/>
    </row>
    <row r="5" spans="2:11">
      <c r="K5" s="22" t="s">
        <v>129</v>
      </c>
    </row>
    <row r="6" spans="2:11">
      <c r="C6" t="s">
        <v>53</v>
      </c>
      <c r="D6" t="s">
        <v>54</v>
      </c>
      <c r="E6" t="s">
        <v>55</v>
      </c>
      <c r="F6" t="s">
        <v>56</v>
      </c>
      <c r="G6" t="s">
        <v>65</v>
      </c>
    </row>
    <row r="7" spans="2:11">
      <c r="C7" t="s">
        <v>57</v>
      </c>
      <c r="D7" t="s">
        <v>58</v>
      </c>
      <c r="E7" s="15">
        <v>1297</v>
      </c>
      <c r="F7" s="15">
        <v>1127</v>
      </c>
    </row>
    <row r="8" spans="2:11">
      <c r="D8" t="s">
        <v>59</v>
      </c>
      <c r="E8" s="15">
        <v>2038</v>
      </c>
      <c r="F8" s="15">
        <v>1770</v>
      </c>
      <c r="G8">
        <f>E8/E$7</f>
        <v>1.5713184271395528</v>
      </c>
      <c r="H8">
        <f>F8/F$7</f>
        <v>1.5705412599822537</v>
      </c>
    </row>
    <row r="9" spans="2:11">
      <c r="D9" t="s">
        <v>130</v>
      </c>
      <c r="E9" s="23">
        <v>730</v>
      </c>
      <c r="F9" s="24">
        <v>597.57862333333333</v>
      </c>
      <c r="G9" s="25">
        <f>E9/E$7</f>
        <v>0.56283731688511951</v>
      </c>
      <c r="H9">
        <f t="shared" ref="H9:H10" si="0">F9/F$7</f>
        <v>0.53023835255841467</v>
      </c>
    </row>
    <row r="10" spans="2:11">
      <c r="D10" t="s">
        <v>131</v>
      </c>
      <c r="E10" s="26">
        <v>1713</v>
      </c>
      <c r="F10" s="24">
        <v>1404.8813434119911</v>
      </c>
      <c r="G10">
        <f t="shared" ref="G10" si="1">E10/E$7</f>
        <v>1.3207401696222052</v>
      </c>
      <c r="H10">
        <f t="shared" si="0"/>
        <v>1.2465672967275876</v>
      </c>
    </row>
    <row r="11" spans="2:11">
      <c r="C11" t="s">
        <v>60</v>
      </c>
      <c r="D11" t="s">
        <v>58</v>
      </c>
      <c r="E11" s="15">
        <v>1316</v>
      </c>
      <c r="F11" s="15">
        <v>1143</v>
      </c>
    </row>
    <row r="12" spans="2:11">
      <c r="D12" t="s">
        <v>59</v>
      </c>
      <c r="E12" s="15">
        <v>2071</v>
      </c>
      <c r="F12" s="15">
        <v>1798</v>
      </c>
      <c r="G12">
        <f>E12/E$11</f>
        <v>1.5737082066869301</v>
      </c>
      <c r="H12">
        <f>F12/F$11</f>
        <v>1.5730533683289589</v>
      </c>
    </row>
    <row r="13" spans="2:11">
      <c r="D13" t="s">
        <v>130</v>
      </c>
      <c r="E13" s="26">
        <v>742.53</v>
      </c>
      <c r="F13" s="24">
        <v>607.63708083333336</v>
      </c>
      <c r="G13">
        <f t="shared" ref="G13:H14" si="2">E13/E$11</f>
        <v>0.56423252279635261</v>
      </c>
      <c r="H13">
        <f t="shared" si="2"/>
        <v>0.5316159937299505</v>
      </c>
    </row>
    <row r="14" spans="2:11">
      <c r="D14" t="s">
        <v>131</v>
      </c>
      <c r="E14" s="26">
        <v>1735.6999999999998</v>
      </c>
      <c r="F14" s="24">
        <v>1423.1037684119908</v>
      </c>
      <c r="G14">
        <f t="shared" si="2"/>
        <v>1.3189209726443767</v>
      </c>
      <c r="H14">
        <f t="shared" si="2"/>
        <v>1.2450601648398869</v>
      </c>
    </row>
    <row r="15" spans="2:11">
      <c r="C15" t="s">
        <v>61</v>
      </c>
      <c r="D15" t="s">
        <v>58</v>
      </c>
      <c r="E15" s="15">
        <v>1403</v>
      </c>
      <c r="F15" s="15">
        <v>1191</v>
      </c>
    </row>
    <row r="16" spans="2:11">
      <c r="D16" t="s">
        <v>59</v>
      </c>
      <c r="E16" s="15">
        <v>2210</v>
      </c>
      <c r="F16" s="15">
        <v>1876</v>
      </c>
      <c r="G16">
        <f>E16/E$15</f>
        <v>1.5751960085531005</v>
      </c>
      <c r="H16">
        <f>F16/F$15</f>
        <v>1.5751469353484466</v>
      </c>
    </row>
    <row r="17" spans="3:22">
      <c r="D17" t="s">
        <v>130</v>
      </c>
      <c r="E17" s="26">
        <v>804.27583400000003</v>
      </c>
      <c r="F17" s="24">
        <v>635.17066684880001</v>
      </c>
      <c r="G17">
        <f t="shared" ref="G17:H18" si="3">E17/E$15</f>
        <v>0.573254336421953</v>
      </c>
      <c r="H17">
        <f t="shared" si="3"/>
        <v>0.53330870432308985</v>
      </c>
    </row>
    <row r="18" spans="3:22">
      <c r="D18" t="s">
        <v>131</v>
      </c>
      <c r="E18" s="26">
        <v>1836.07963</v>
      </c>
      <c r="F18" s="24">
        <v>1453.8872925311562</v>
      </c>
      <c r="G18">
        <f t="shared" si="3"/>
        <v>1.3086811332858161</v>
      </c>
      <c r="H18">
        <f t="shared" si="3"/>
        <v>1.2207282053158321</v>
      </c>
    </row>
    <row r="19" spans="3:22">
      <c r="C19" t="s">
        <v>62</v>
      </c>
      <c r="D19" t="s">
        <v>58</v>
      </c>
      <c r="E19" s="15">
        <v>1447</v>
      </c>
      <c r="F19" s="15">
        <v>1204</v>
      </c>
    </row>
    <row r="20" spans="3:22">
      <c r="D20" t="s">
        <v>59</v>
      </c>
      <c r="E20" s="15">
        <v>2218</v>
      </c>
      <c r="F20" s="15">
        <v>1844</v>
      </c>
      <c r="G20">
        <f>E20/E$19</f>
        <v>1.5328265376641328</v>
      </c>
      <c r="H20">
        <f>F20/F$19</f>
        <v>1.5315614617940199</v>
      </c>
    </row>
    <row r="21" spans="3:22">
      <c r="D21" t="s">
        <v>130</v>
      </c>
      <c r="E21" s="26">
        <v>838.26334000000008</v>
      </c>
      <c r="F21" s="24">
        <v>641.3360976493334</v>
      </c>
      <c r="G21">
        <f t="shared" ref="G21:H22" si="4">E21/E$19</f>
        <v>0.57931122322045614</v>
      </c>
      <c r="H21">
        <f t="shared" si="4"/>
        <v>0.53267117744961245</v>
      </c>
    </row>
    <row r="22" spans="3:22">
      <c r="D22" t="s">
        <v>131</v>
      </c>
      <c r="E22" s="26">
        <v>1887.2462999999998</v>
      </c>
      <c r="F22" s="24">
        <v>1448.6523555749752</v>
      </c>
      <c r="G22">
        <f t="shared" si="4"/>
        <v>1.304247615756738</v>
      </c>
      <c r="H22">
        <f>F22/F$19</f>
        <v>1.2031996308762252</v>
      </c>
    </row>
    <row r="23" spans="3:22">
      <c r="C23" t="s">
        <v>63</v>
      </c>
      <c r="D23" t="s">
        <v>58</v>
      </c>
      <c r="E23" s="15">
        <v>1713</v>
      </c>
      <c r="F23" s="15">
        <v>1438</v>
      </c>
    </row>
    <row r="24" spans="3:22">
      <c r="D24" t="s">
        <v>59</v>
      </c>
      <c r="E24" s="15">
        <v>2612</v>
      </c>
      <c r="F24" s="15">
        <v>2192</v>
      </c>
      <c r="G24">
        <f>E24/E$23</f>
        <v>1.5248102743724461</v>
      </c>
      <c r="H24">
        <f>F24/F$23</f>
        <v>1.5243393602225312</v>
      </c>
    </row>
    <row r="25" spans="3:22">
      <c r="D25" t="s">
        <v>130</v>
      </c>
      <c r="E25" s="26">
        <v>1043.777057</v>
      </c>
      <c r="F25" s="24">
        <v>806.3151260768168</v>
      </c>
      <c r="G25">
        <f t="shared" ref="G25:H26" si="5">E25/E$23</f>
        <v>0.60932694512551078</v>
      </c>
      <c r="H25">
        <f t="shared" si="5"/>
        <v>0.56071983732741082</v>
      </c>
    </row>
    <row r="26" spans="3:22">
      <c r="D26" t="s">
        <v>131</v>
      </c>
      <c r="E26" s="26">
        <v>2187.2739020299996</v>
      </c>
      <c r="F26" s="24">
        <v>1696.4127778415386</v>
      </c>
      <c r="G26">
        <f t="shared" si="5"/>
        <v>1.2768674267542321</v>
      </c>
      <c r="H26">
        <f t="shared" si="5"/>
        <v>1.1797029053140047</v>
      </c>
    </row>
    <row r="27" spans="3:22">
      <c r="C27" t="s">
        <v>64</v>
      </c>
      <c r="D27" t="s">
        <v>58</v>
      </c>
      <c r="E27" s="15">
        <v>1423</v>
      </c>
      <c r="F27" s="15">
        <v>1180</v>
      </c>
    </row>
    <row r="28" spans="3:22">
      <c r="D28" t="s">
        <v>59</v>
      </c>
      <c r="E28" s="15">
        <v>2210</v>
      </c>
      <c r="F28" s="15">
        <v>1832</v>
      </c>
      <c r="G28">
        <f>E28/E$27</f>
        <v>1.5530569219957835</v>
      </c>
      <c r="H28">
        <f>F28/F$27</f>
        <v>1.5525423728813559</v>
      </c>
    </row>
    <row r="29" spans="3:22">
      <c r="D29" t="s">
        <v>130</v>
      </c>
      <c r="E29" s="26">
        <v>817.22083399999997</v>
      </c>
      <c r="F29" s="24">
        <v>622.65055007899991</v>
      </c>
      <c r="G29">
        <f t="shared" ref="G29:H30" si="6">E29/E$27</f>
        <v>0.574294331693605</v>
      </c>
      <c r="H29">
        <f t="shared" si="6"/>
        <v>0.52766995769406777</v>
      </c>
    </row>
    <row r="30" spans="3:22">
      <c r="D30" t="s">
        <v>131</v>
      </c>
      <c r="E30" s="26">
        <v>1915.1296299999999</v>
      </c>
      <c r="F30" s="24">
        <v>1462.6119709578547</v>
      </c>
      <c r="G30">
        <f t="shared" si="6"/>
        <v>1.3458395151089246</v>
      </c>
      <c r="H30">
        <f t="shared" si="6"/>
        <v>1.2395016703032666</v>
      </c>
    </row>
    <row r="32" spans="3:22" ht="18.3">
      <c r="C32" s="27" t="s">
        <v>132</v>
      </c>
      <c r="D32" s="2" t="s">
        <v>42</v>
      </c>
      <c r="E32" s="2" t="s">
        <v>43</v>
      </c>
      <c r="F32" s="2" t="s">
        <v>44</v>
      </c>
      <c r="G32" s="2" t="s">
        <v>45</v>
      </c>
      <c r="H32" s="2" t="s">
        <v>46</v>
      </c>
      <c r="I32" s="2" t="s">
        <v>47</v>
      </c>
      <c r="J32" s="2" t="s">
        <v>49</v>
      </c>
      <c r="K32" s="2" t="s">
        <v>48</v>
      </c>
      <c r="M32" t="s">
        <v>66</v>
      </c>
      <c r="N32" s="28" t="s">
        <v>133</v>
      </c>
      <c r="O32" s="2" t="s">
        <v>42</v>
      </c>
      <c r="P32" s="2" t="s">
        <v>43</v>
      </c>
      <c r="Q32" s="2" t="s">
        <v>44</v>
      </c>
      <c r="R32" s="2" t="s">
        <v>45</v>
      </c>
      <c r="S32" s="2" t="s">
        <v>46</v>
      </c>
      <c r="T32" s="2" t="s">
        <v>47</v>
      </c>
      <c r="U32" s="2" t="s">
        <v>49</v>
      </c>
      <c r="V32" s="2" t="s">
        <v>48</v>
      </c>
    </row>
    <row r="33" spans="3:22">
      <c r="C33" t="s">
        <v>18</v>
      </c>
      <c r="D33">
        <f t="shared" ref="D33:K33" si="7">INDEX(veh_US_lookup_tab,MATCH($C33,veh_US_lookup_col,0),MATCH(D$32,veh_US_lookup_header,0))</f>
        <v>593.91318234627215</v>
      </c>
      <c r="E33">
        <f t="shared" si="7"/>
        <v>0</v>
      </c>
      <c r="F33">
        <f t="shared" si="7"/>
        <v>131.90656858722551</v>
      </c>
      <c r="G33">
        <f t="shared" si="7"/>
        <v>21.665366905384627</v>
      </c>
      <c r="H33">
        <f t="shared" si="7"/>
        <v>8.5818581555169544</v>
      </c>
      <c r="I33">
        <f t="shared" si="7"/>
        <v>24.098388490906636</v>
      </c>
      <c r="J33">
        <f t="shared" si="7"/>
        <v>0</v>
      </c>
      <c r="K33">
        <f t="shared" si="7"/>
        <v>146.31739133125711</v>
      </c>
      <c r="M33">
        <v>1</v>
      </c>
      <c r="N33" s="29" t="str">
        <f>C33</f>
        <v xml:space="preserve">ICEV-g passenger car </v>
      </c>
      <c r="O33" s="30">
        <f>D33*$M33</f>
        <v>593.91318234627215</v>
      </c>
      <c r="P33" s="30">
        <f t="shared" ref="P33:V48" si="8">E33*$M33</f>
        <v>0</v>
      </c>
      <c r="Q33" s="30">
        <f t="shared" si="8"/>
        <v>131.90656858722551</v>
      </c>
      <c r="R33" s="30">
        <f t="shared" si="8"/>
        <v>21.665366905384627</v>
      </c>
      <c r="S33" s="30">
        <f t="shared" si="8"/>
        <v>8.5818581555169544</v>
      </c>
      <c r="T33" s="30">
        <f t="shared" si="8"/>
        <v>24.098388490906636</v>
      </c>
      <c r="U33" s="30">
        <f t="shared" si="8"/>
        <v>0</v>
      </c>
      <c r="V33" s="31">
        <f t="shared" si="8"/>
        <v>146.31739133125711</v>
      </c>
    </row>
    <row r="34" spans="3:22">
      <c r="C34" t="s">
        <v>19</v>
      </c>
      <c r="D34">
        <f>D33</f>
        <v>593.91318234627215</v>
      </c>
      <c r="E34">
        <f t="shared" ref="E34:K34" si="9">E33</f>
        <v>0</v>
      </c>
      <c r="F34">
        <f t="shared" si="9"/>
        <v>131.90656858722551</v>
      </c>
      <c r="G34">
        <f t="shared" si="9"/>
        <v>21.665366905384627</v>
      </c>
      <c r="H34">
        <f t="shared" si="9"/>
        <v>8.5818581555169544</v>
      </c>
      <c r="I34">
        <f t="shared" si="9"/>
        <v>24.098388490906636</v>
      </c>
      <c r="J34">
        <f t="shared" si="9"/>
        <v>0</v>
      </c>
      <c r="K34">
        <f t="shared" si="9"/>
        <v>146.31739133125711</v>
      </c>
      <c r="M34">
        <f>G8</f>
        <v>1.5713184271395528</v>
      </c>
      <c r="N34" s="32" t="str">
        <f t="shared" ref="N34:N80" si="10">C34</f>
        <v>ICEV-g light truck</v>
      </c>
      <c r="O34" s="33">
        <f t="shared" ref="O34:V78" si="11">D34*$M34</f>
        <v>933.22672754179075</v>
      </c>
      <c r="P34" s="33">
        <f t="shared" si="8"/>
        <v>0</v>
      </c>
      <c r="Q34" s="33">
        <f t="shared" si="8"/>
        <v>207.26722188185474</v>
      </c>
      <c r="R34" s="33">
        <f t="shared" si="8"/>
        <v>34.043190249170294</v>
      </c>
      <c r="S34" s="33">
        <f t="shared" si="8"/>
        <v>13.484831858861645</v>
      </c>
      <c r="T34" s="33">
        <f t="shared" si="8"/>
        <v>37.866241900129317</v>
      </c>
      <c r="U34" s="33">
        <f t="shared" si="8"/>
        <v>0</v>
      </c>
      <c r="V34" s="34">
        <f t="shared" si="8"/>
        <v>229.91121320979337</v>
      </c>
    </row>
    <row r="35" spans="3:22">
      <c r="C35" t="s">
        <v>134</v>
      </c>
      <c r="D35">
        <f>D33</f>
        <v>593.91318234627215</v>
      </c>
      <c r="E35">
        <f t="shared" ref="E35:K35" si="12">E33</f>
        <v>0</v>
      </c>
      <c r="F35">
        <f t="shared" si="12"/>
        <v>131.90656858722551</v>
      </c>
      <c r="G35">
        <f t="shared" si="12"/>
        <v>21.665366905384627</v>
      </c>
      <c r="H35">
        <f t="shared" si="12"/>
        <v>8.5818581555169544</v>
      </c>
      <c r="I35">
        <f t="shared" si="12"/>
        <v>24.098388490906636</v>
      </c>
      <c r="J35">
        <f t="shared" si="12"/>
        <v>0</v>
      </c>
      <c r="K35">
        <f t="shared" si="12"/>
        <v>146.31739133125711</v>
      </c>
      <c r="M35" s="25">
        <f>G9</f>
        <v>0.56283731688511951</v>
      </c>
      <c r="N35" s="32" t="str">
        <f t="shared" si="10"/>
        <v>ICEV-g microcar</v>
      </c>
      <c r="O35" s="33">
        <f t="shared" si="11"/>
        <v>334.27650201447852</v>
      </c>
      <c r="P35" s="33">
        <f t="shared" si="8"/>
        <v>0</v>
      </c>
      <c r="Q35" s="33">
        <f t="shared" si="8"/>
        <v>74.241939143156998</v>
      </c>
      <c r="R35" s="33">
        <f t="shared" si="8"/>
        <v>12.194076978358348</v>
      </c>
      <c r="S35" s="33">
        <f t="shared" si="8"/>
        <v>4.8301900181398434</v>
      </c>
      <c r="T35" s="33">
        <f t="shared" si="8"/>
        <v>13.563472319477135</v>
      </c>
      <c r="U35" s="33">
        <f t="shared" si="8"/>
        <v>0</v>
      </c>
      <c r="V35" s="34">
        <f t="shared" si="8"/>
        <v>82.352887950514798</v>
      </c>
    </row>
    <row r="36" spans="3:22">
      <c r="C36" t="s">
        <v>135</v>
      </c>
      <c r="D36">
        <f>D33</f>
        <v>593.91318234627215</v>
      </c>
      <c r="E36">
        <f t="shared" ref="E36:K36" si="13">E33</f>
        <v>0</v>
      </c>
      <c r="F36">
        <f t="shared" si="13"/>
        <v>131.90656858722551</v>
      </c>
      <c r="G36">
        <f t="shared" si="13"/>
        <v>21.665366905384627</v>
      </c>
      <c r="H36">
        <f t="shared" si="13"/>
        <v>8.5818581555169544</v>
      </c>
      <c r="I36">
        <f t="shared" si="13"/>
        <v>24.098388490906636</v>
      </c>
      <c r="J36">
        <f t="shared" si="13"/>
        <v>0</v>
      </c>
      <c r="K36">
        <f t="shared" si="13"/>
        <v>146.31739133125711</v>
      </c>
      <c r="M36" s="25">
        <f>G10</f>
        <v>1.3207401696222052</v>
      </c>
      <c r="N36" s="32" t="str">
        <f t="shared" si="10"/>
        <v>ICEV-g minivan/SUV</v>
      </c>
      <c r="O36" s="33">
        <f t="shared" si="11"/>
        <v>784.40499719287914</v>
      </c>
      <c r="P36" s="33">
        <f t="shared" si="8"/>
        <v>0</v>
      </c>
      <c r="Q36" s="33">
        <f t="shared" si="8"/>
        <v>174.21430377017526</v>
      </c>
      <c r="R36" s="33">
        <f t="shared" si="8"/>
        <v>28.614320361545001</v>
      </c>
      <c r="S36" s="33">
        <f t="shared" si="8"/>
        <v>11.334404795991167</v>
      </c>
      <c r="T36" s="33">
        <f t="shared" si="8"/>
        <v>31.827709703101828</v>
      </c>
      <c r="U36" s="33">
        <f t="shared" si="8"/>
        <v>0</v>
      </c>
      <c r="V36" s="34">
        <f t="shared" si="8"/>
        <v>193.24725624552309</v>
      </c>
    </row>
    <row r="37" spans="3:22">
      <c r="C37" t="s">
        <v>20</v>
      </c>
      <c r="D37">
        <f>D33*($E$11/$E$7)</f>
        <v>602.61352965897777</v>
      </c>
      <c r="E37">
        <f t="shared" ref="E37:K37" si="14">E33*($E$11/$E$7)</f>
        <v>0</v>
      </c>
      <c r="F37">
        <f t="shared" si="14"/>
        <v>133.83889303067753</v>
      </c>
      <c r="G37">
        <f t="shared" si="14"/>
        <v>21.98274699112272</v>
      </c>
      <c r="H37">
        <f t="shared" si="14"/>
        <v>8.7075754299616897</v>
      </c>
      <c r="I37">
        <f t="shared" si="14"/>
        <v>24.451410373194395</v>
      </c>
      <c r="J37">
        <f t="shared" si="14"/>
        <v>0</v>
      </c>
      <c r="K37">
        <f t="shared" si="14"/>
        <v>148.46082266147599</v>
      </c>
      <c r="M37">
        <v>1</v>
      </c>
      <c r="N37" s="32" t="str">
        <f t="shared" si="10"/>
        <v>ICEV-d passenger car</v>
      </c>
      <c r="O37" s="33">
        <f t="shared" si="11"/>
        <v>602.61352965897777</v>
      </c>
      <c r="P37" s="33">
        <f t="shared" si="8"/>
        <v>0</v>
      </c>
      <c r="Q37" s="33">
        <f t="shared" si="8"/>
        <v>133.83889303067753</v>
      </c>
      <c r="R37" s="33">
        <f t="shared" si="8"/>
        <v>21.98274699112272</v>
      </c>
      <c r="S37" s="33">
        <f t="shared" si="8"/>
        <v>8.7075754299616897</v>
      </c>
      <c r="T37" s="33">
        <f t="shared" si="8"/>
        <v>24.451410373194395</v>
      </c>
      <c r="U37" s="33">
        <f t="shared" si="8"/>
        <v>0</v>
      </c>
      <c r="V37" s="34">
        <f t="shared" si="8"/>
        <v>148.46082266147599</v>
      </c>
    </row>
    <row r="38" spans="3:22">
      <c r="C38" t="s">
        <v>21</v>
      </c>
      <c r="D38">
        <f>D37</f>
        <v>602.61352965897777</v>
      </c>
      <c r="E38">
        <f t="shared" ref="E38:K38" si="15">E37</f>
        <v>0</v>
      </c>
      <c r="F38">
        <f t="shared" si="15"/>
        <v>133.83889303067753</v>
      </c>
      <c r="G38">
        <f t="shared" si="15"/>
        <v>21.98274699112272</v>
      </c>
      <c r="H38">
        <f t="shared" si="15"/>
        <v>8.7075754299616897</v>
      </c>
      <c r="I38">
        <f t="shared" si="15"/>
        <v>24.451410373194395</v>
      </c>
      <c r="J38">
        <f t="shared" si="15"/>
        <v>0</v>
      </c>
      <c r="K38">
        <f t="shared" si="15"/>
        <v>148.46082266147599</v>
      </c>
      <c r="M38">
        <f>G12</f>
        <v>1.5737082066869301</v>
      </c>
      <c r="N38" s="32" t="str">
        <f t="shared" si="10"/>
        <v>ICEV-d light truck</v>
      </c>
      <c r="O38" s="33">
        <f t="shared" si="11"/>
        <v>948.33785708491109</v>
      </c>
      <c r="P38" s="33">
        <f t="shared" si="8"/>
        <v>0</v>
      </c>
      <c r="Q38" s="33">
        <f t="shared" si="8"/>
        <v>210.62336433627141</v>
      </c>
      <c r="R38" s="33">
        <f t="shared" si="8"/>
        <v>34.594429345452248</v>
      </c>
      <c r="S38" s="33">
        <f t="shared" si="8"/>
        <v>13.703182914476185</v>
      </c>
      <c r="T38" s="33">
        <f t="shared" si="8"/>
        <v>38.479385169365955</v>
      </c>
      <c r="U38" s="33">
        <f t="shared" si="8"/>
        <v>0</v>
      </c>
      <c r="V38" s="34">
        <f t="shared" si="8"/>
        <v>233.63401499385773</v>
      </c>
    </row>
    <row r="39" spans="3:22">
      <c r="C39" t="s">
        <v>136</v>
      </c>
      <c r="D39">
        <f>D37</f>
        <v>602.61352965897777</v>
      </c>
      <c r="E39">
        <f t="shared" ref="E39:K39" si="16">E37</f>
        <v>0</v>
      </c>
      <c r="F39">
        <f t="shared" si="16"/>
        <v>133.83889303067753</v>
      </c>
      <c r="G39">
        <f t="shared" si="16"/>
        <v>21.98274699112272</v>
      </c>
      <c r="H39">
        <f t="shared" si="16"/>
        <v>8.7075754299616897</v>
      </c>
      <c r="I39">
        <f t="shared" si="16"/>
        <v>24.451410373194395</v>
      </c>
      <c r="J39">
        <f t="shared" si="16"/>
        <v>0</v>
      </c>
      <c r="K39">
        <f t="shared" si="16"/>
        <v>148.46082266147599</v>
      </c>
      <c r="M39" s="25">
        <f>G13</f>
        <v>0.56423252279635261</v>
      </c>
      <c r="N39" s="32" t="str">
        <f t="shared" si="10"/>
        <v>ICEV-d microcar</v>
      </c>
      <c r="O39" s="33">
        <f t="shared" si="11"/>
        <v>340.01415211069968</v>
      </c>
      <c r="P39" s="33">
        <f t="shared" si="8"/>
        <v>0</v>
      </c>
      <c r="Q39" s="33">
        <f t="shared" si="8"/>
        <v>75.516256262970359</v>
      </c>
      <c r="R39" s="33">
        <f t="shared" si="8"/>
        <v>12.403380792795103</v>
      </c>
      <c r="S39" s="33">
        <f t="shared" si="8"/>
        <v>4.9130972522868186</v>
      </c>
      <c r="T39" s="33">
        <f t="shared" si="8"/>
        <v>13.796280960796379</v>
      </c>
      <c r="U39" s="33">
        <f t="shared" si="8"/>
        <v>0</v>
      </c>
      <c r="V39" s="34">
        <f t="shared" si="8"/>
        <v>83.766424506706514</v>
      </c>
    </row>
    <row r="40" spans="3:22">
      <c r="C40" t="s">
        <v>137</v>
      </c>
      <c r="D40">
        <f>D37</f>
        <v>602.61352965897777</v>
      </c>
      <c r="E40">
        <f t="shared" ref="E40:K40" si="17">E37</f>
        <v>0</v>
      </c>
      <c r="F40">
        <f t="shared" si="17"/>
        <v>133.83889303067753</v>
      </c>
      <c r="G40">
        <f t="shared" si="17"/>
        <v>21.98274699112272</v>
      </c>
      <c r="H40">
        <f t="shared" si="17"/>
        <v>8.7075754299616897</v>
      </c>
      <c r="I40">
        <f t="shared" si="17"/>
        <v>24.451410373194395</v>
      </c>
      <c r="J40">
        <f t="shared" si="17"/>
        <v>0</v>
      </c>
      <c r="K40">
        <f t="shared" si="17"/>
        <v>148.46082266147599</v>
      </c>
      <c r="M40" s="25">
        <f>G14</f>
        <v>1.3189209726443767</v>
      </c>
      <c r="N40" s="32" t="str">
        <f t="shared" si="10"/>
        <v>ICEV-d minivan/SUV</v>
      </c>
      <c r="O40" s="33">
        <f t="shared" si="11"/>
        <v>794.79962266647988</v>
      </c>
      <c r="P40" s="33">
        <f t="shared" si="8"/>
        <v>0</v>
      </c>
      <c r="Q40" s="33">
        <f t="shared" si="8"/>
        <v>176.5229229736679</v>
      </c>
      <c r="R40" s="33">
        <f t="shared" si="8"/>
        <v>28.993506042926825</v>
      </c>
      <c r="S40" s="33">
        <f t="shared" si="8"/>
        <v>11.484603855459348</v>
      </c>
      <c r="T40" s="33">
        <f t="shared" si="8"/>
        <v>32.249477951940356</v>
      </c>
      <c r="U40" s="33">
        <f t="shared" si="8"/>
        <v>0</v>
      </c>
      <c r="V40" s="34">
        <f t="shared" si="8"/>
        <v>195.80809262425822</v>
      </c>
    </row>
    <row r="41" spans="3:22">
      <c r="C41" t="s">
        <v>22</v>
      </c>
      <c r="D41">
        <f t="shared" ref="D41:K41" si="18">INDEX(veh_US_lookup_tab,MATCH($C41,veh_US_lookup_col,0),MATCH(D$32,veh_US_lookup_header,0))</f>
        <v>657.7232025847876</v>
      </c>
      <c r="E41">
        <f t="shared" si="18"/>
        <v>0</v>
      </c>
      <c r="F41">
        <f t="shared" si="18"/>
        <v>101.3769041882037</v>
      </c>
      <c r="G41">
        <f t="shared" si="18"/>
        <v>15.848315876678297</v>
      </c>
      <c r="H41">
        <f t="shared" si="18"/>
        <v>12.017271240682883</v>
      </c>
      <c r="I41">
        <f t="shared" si="18"/>
        <v>55.374192840557313</v>
      </c>
      <c r="J41">
        <f t="shared" si="18"/>
        <v>0</v>
      </c>
      <c r="K41">
        <f t="shared" si="18"/>
        <v>149.94127823762105</v>
      </c>
      <c r="M41">
        <v>1</v>
      </c>
      <c r="N41" s="32" t="str">
        <f t="shared" si="10"/>
        <v>HEV passenger car</v>
      </c>
      <c r="O41" s="33">
        <f t="shared" si="11"/>
        <v>657.7232025847876</v>
      </c>
      <c r="P41" s="33">
        <f t="shared" si="8"/>
        <v>0</v>
      </c>
      <c r="Q41" s="33">
        <f t="shared" si="8"/>
        <v>101.3769041882037</v>
      </c>
      <c r="R41" s="33">
        <f t="shared" si="8"/>
        <v>15.848315876678297</v>
      </c>
      <c r="S41" s="33">
        <f t="shared" si="8"/>
        <v>12.017271240682883</v>
      </c>
      <c r="T41" s="33">
        <f t="shared" si="8"/>
        <v>55.374192840557313</v>
      </c>
      <c r="U41" s="33">
        <f t="shared" si="8"/>
        <v>0</v>
      </c>
      <c r="V41" s="34">
        <f t="shared" si="8"/>
        <v>149.94127823762105</v>
      </c>
    </row>
    <row r="42" spans="3:22">
      <c r="C42" t="s">
        <v>23</v>
      </c>
      <c r="D42">
        <f t="shared" ref="D42:K42" si="19">D41</f>
        <v>657.7232025847876</v>
      </c>
      <c r="E42">
        <f t="shared" si="19"/>
        <v>0</v>
      </c>
      <c r="F42">
        <f t="shared" si="19"/>
        <v>101.3769041882037</v>
      </c>
      <c r="G42">
        <f t="shared" si="19"/>
        <v>15.848315876678297</v>
      </c>
      <c r="H42">
        <f t="shared" si="19"/>
        <v>12.017271240682883</v>
      </c>
      <c r="I42">
        <f t="shared" si="19"/>
        <v>55.374192840557313</v>
      </c>
      <c r="J42">
        <f t="shared" si="19"/>
        <v>0</v>
      </c>
      <c r="K42">
        <f t="shared" si="19"/>
        <v>149.94127823762105</v>
      </c>
      <c r="M42">
        <f>G16</f>
        <v>1.5751960085531005</v>
      </c>
      <c r="N42" s="32" t="str">
        <f t="shared" si="10"/>
        <v>HEV light truck</v>
      </c>
      <c r="O42" s="33">
        <f t="shared" si="11"/>
        <v>1036.0429634443196</v>
      </c>
      <c r="P42" s="33">
        <f t="shared" si="8"/>
        <v>0</v>
      </c>
      <c r="Q42" s="33">
        <f t="shared" si="8"/>
        <v>159.68849483672855</v>
      </c>
      <c r="R42" s="33">
        <f t="shared" si="8"/>
        <v>24.964203911232385</v>
      </c>
      <c r="S42" s="33">
        <f t="shared" si="8"/>
        <v>18.929557692023643</v>
      </c>
      <c r="T42" s="33">
        <f t="shared" si="8"/>
        <v>87.225207539295553</v>
      </c>
      <c r="U42" s="33">
        <f t="shared" si="8"/>
        <v>0</v>
      </c>
      <c r="V42" s="34">
        <f t="shared" si="8"/>
        <v>236.18690299725054</v>
      </c>
    </row>
    <row r="43" spans="3:22">
      <c r="C43" t="s">
        <v>138</v>
      </c>
      <c r="D43">
        <f>D41</f>
        <v>657.7232025847876</v>
      </c>
      <c r="E43">
        <f t="shared" ref="E43:K43" si="20">E41</f>
        <v>0</v>
      </c>
      <c r="F43">
        <f t="shared" si="20"/>
        <v>101.3769041882037</v>
      </c>
      <c r="G43">
        <f t="shared" si="20"/>
        <v>15.848315876678297</v>
      </c>
      <c r="H43">
        <f t="shared" si="20"/>
        <v>12.017271240682883</v>
      </c>
      <c r="I43">
        <f t="shared" si="20"/>
        <v>55.374192840557313</v>
      </c>
      <c r="J43">
        <f t="shared" si="20"/>
        <v>0</v>
      </c>
      <c r="K43">
        <f t="shared" si="20"/>
        <v>149.94127823762105</v>
      </c>
      <c r="M43" s="25">
        <f>G17</f>
        <v>0.573254336421953</v>
      </c>
      <c r="N43" s="32" t="str">
        <f t="shared" si="10"/>
        <v>HEV microcar</v>
      </c>
      <c r="O43" s="33">
        <f t="shared" si="11"/>
        <v>377.04267804706416</v>
      </c>
      <c r="P43" s="33">
        <f t="shared" si="8"/>
        <v>0</v>
      </c>
      <c r="Q43" s="33">
        <f t="shared" si="8"/>
        <v>58.114749938920617</v>
      </c>
      <c r="R43" s="33">
        <f t="shared" si="8"/>
        <v>9.0851158012907192</v>
      </c>
      <c r="S43" s="33">
        <f t="shared" si="8"/>
        <v>6.888952850680286</v>
      </c>
      <c r="T43" s="33">
        <f t="shared" si="8"/>
        <v>31.743496171714945</v>
      </c>
      <c r="U43" s="33">
        <f t="shared" si="8"/>
        <v>0</v>
      </c>
      <c r="V43" s="34">
        <f t="shared" si="8"/>
        <v>85.954487958366883</v>
      </c>
    </row>
    <row r="44" spans="3:22">
      <c r="C44" t="s">
        <v>139</v>
      </c>
      <c r="D44">
        <f>D41</f>
        <v>657.7232025847876</v>
      </c>
      <c r="E44">
        <f t="shared" ref="E44:K44" si="21">E41</f>
        <v>0</v>
      </c>
      <c r="F44">
        <f t="shared" si="21"/>
        <v>101.3769041882037</v>
      </c>
      <c r="G44">
        <f t="shared" si="21"/>
        <v>15.848315876678297</v>
      </c>
      <c r="H44">
        <f t="shared" si="21"/>
        <v>12.017271240682883</v>
      </c>
      <c r="I44">
        <f t="shared" si="21"/>
        <v>55.374192840557313</v>
      </c>
      <c r="J44">
        <f t="shared" si="21"/>
        <v>0</v>
      </c>
      <c r="K44">
        <f t="shared" si="21"/>
        <v>149.94127823762105</v>
      </c>
      <c r="M44" s="25">
        <f>G18</f>
        <v>1.3086811332858161</v>
      </c>
      <c r="N44" s="32" t="str">
        <f t="shared" si="10"/>
        <v>HEV minivan/SUV</v>
      </c>
      <c r="O44" s="33">
        <f t="shared" si="11"/>
        <v>860.74994614703633</v>
      </c>
      <c r="P44" s="33">
        <f t="shared" si="8"/>
        <v>0</v>
      </c>
      <c r="Q44" s="33">
        <f t="shared" si="8"/>
        <v>132.67004186202601</v>
      </c>
      <c r="R44" s="33">
        <f t="shared" si="8"/>
        <v>20.740391982162947</v>
      </c>
      <c r="S44" s="33">
        <f t="shared" si="8"/>
        <v>15.726776146259921</v>
      </c>
      <c r="T44" s="33">
        <f t="shared" si="8"/>
        <v>72.467161441367878</v>
      </c>
      <c r="U44" s="33">
        <f t="shared" si="8"/>
        <v>0</v>
      </c>
      <c r="V44" s="34">
        <f t="shared" si="8"/>
        <v>196.22532193033379</v>
      </c>
    </row>
    <row r="45" spans="3:22">
      <c r="C45" t="s">
        <v>24</v>
      </c>
      <c r="D45">
        <f t="shared" ref="D45:K45" si="22">INDEX(veh_US_lookup_tab,MATCH($C45,veh_US_lookup_col,0),MATCH(D$32,veh_US_lookup_header,0))</f>
        <v>628.49904328101616</v>
      </c>
      <c r="E45">
        <f t="shared" si="22"/>
        <v>0</v>
      </c>
      <c r="F45">
        <f t="shared" si="22"/>
        <v>94.825380410780468</v>
      </c>
      <c r="G45">
        <f t="shared" si="22"/>
        <v>38.386873422688431</v>
      </c>
      <c r="H45">
        <f t="shared" si="22"/>
        <v>13.326639580695124</v>
      </c>
      <c r="I45">
        <f t="shared" si="22"/>
        <v>78.580734311323226</v>
      </c>
      <c r="J45">
        <f t="shared" si="22"/>
        <v>0</v>
      </c>
      <c r="K45">
        <f t="shared" si="22"/>
        <v>135.07656016880844</v>
      </c>
      <c r="M45">
        <v>1</v>
      </c>
      <c r="N45" s="32" t="str">
        <f t="shared" si="10"/>
        <v>PHEV passenger car</v>
      </c>
      <c r="O45" s="33">
        <f t="shared" si="11"/>
        <v>628.49904328101616</v>
      </c>
      <c r="P45" s="33">
        <f t="shared" si="8"/>
        <v>0</v>
      </c>
      <c r="Q45" s="33">
        <f t="shared" si="8"/>
        <v>94.825380410780468</v>
      </c>
      <c r="R45" s="33">
        <f t="shared" si="8"/>
        <v>38.386873422688431</v>
      </c>
      <c r="S45" s="33">
        <f t="shared" si="8"/>
        <v>13.326639580695124</v>
      </c>
      <c r="T45" s="33">
        <f t="shared" si="8"/>
        <v>78.580734311323226</v>
      </c>
      <c r="U45" s="33">
        <f t="shared" si="8"/>
        <v>0</v>
      </c>
      <c r="V45" s="34">
        <f t="shared" si="8"/>
        <v>135.07656016880844</v>
      </c>
    </row>
    <row r="46" spans="3:22">
      <c r="C46" t="s">
        <v>25</v>
      </c>
      <c r="D46">
        <f>D45</f>
        <v>628.49904328101616</v>
      </c>
      <c r="E46">
        <f t="shared" ref="E46:K46" si="23">E45</f>
        <v>0</v>
      </c>
      <c r="F46">
        <f t="shared" si="23"/>
        <v>94.825380410780468</v>
      </c>
      <c r="G46">
        <f t="shared" si="23"/>
        <v>38.386873422688431</v>
      </c>
      <c r="H46">
        <f t="shared" si="23"/>
        <v>13.326639580695124</v>
      </c>
      <c r="I46">
        <f t="shared" si="23"/>
        <v>78.580734311323226</v>
      </c>
      <c r="J46">
        <f t="shared" si="23"/>
        <v>0</v>
      </c>
      <c r="K46">
        <f t="shared" si="23"/>
        <v>135.07656016880844</v>
      </c>
      <c r="M46">
        <f>G20</f>
        <v>1.5328265376641328</v>
      </c>
      <c r="N46" s="32" t="str">
        <f t="shared" si="10"/>
        <v>PHEV light truck</v>
      </c>
      <c r="O46" s="33">
        <f t="shared" si="11"/>
        <v>963.38001243765996</v>
      </c>
      <c r="P46" s="33">
        <f t="shared" si="8"/>
        <v>0</v>
      </c>
      <c r="Q46" s="33">
        <f t="shared" si="8"/>
        <v>145.35085953774092</v>
      </c>
      <c r="R46" s="33">
        <f t="shared" si="8"/>
        <v>58.84041828025083</v>
      </c>
      <c r="S46" s="33">
        <f t="shared" si="8"/>
        <v>20.427426807174697</v>
      </c>
      <c r="T46" s="33">
        <f t="shared" si="8"/>
        <v>120.45063490153071</v>
      </c>
      <c r="U46" s="33">
        <f t="shared" si="8"/>
        <v>0</v>
      </c>
      <c r="V46" s="34">
        <f t="shared" si="8"/>
        <v>207.04893604313554</v>
      </c>
    </row>
    <row r="47" spans="3:22">
      <c r="C47" t="s">
        <v>140</v>
      </c>
      <c r="D47">
        <f>D45</f>
        <v>628.49904328101616</v>
      </c>
      <c r="E47">
        <f t="shared" ref="E47:K47" si="24">E45</f>
        <v>0</v>
      </c>
      <c r="F47">
        <f t="shared" si="24"/>
        <v>94.825380410780468</v>
      </c>
      <c r="G47">
        <f t="shared" si="24"/>
        <v>38.386873422688431</v>
      </c>
      <c r="H47">
        <f t="shared" si="24"/>
        <v>13.326639580695124</v>
      </c>
      <c r="I47">
        <f t="shared" si="24"/>
        <v>78.580734311323226</v>
      </c>
      <c r="J47">
        <f t="shared" si="24"/>
        <v>0</v>
      </c>
      <c r="K47">
        <f t="shared" si="24"/>
        <v>135.07656016880844</v>
      </c>
      <c r="M47" s="25">
        <f>G21</f>
        <v>0.57931122322045614</v>
      </c>
      <c r="N47" s="32" t="str">
        <f t="shared" si="10"/>
        <v>PHEV microcar</v>
      </c>
      <c r="O47" s="33">
        <f t="shared" si="11"/>
        <v>364.09654955601189</v>
      </c>
      <c r="P47" s="33">
        <f t="shared" si="8"/>
        <v>0</v>
      </c>
      <c r="Q47" s="33">
        <f t="shared" si="8"/>
        <v>54.93340711811431</v>
      </c>
      <c r="R47" s="33">
        <f t="shared" si="8"/>
        <v>22.237946598106454</v>
      </c>
      <c r="S47" s="33">
        <f t="shared" si="8"/>
        <v>7.7202718769106387</v>
      </c>
      <c r="T47" s="33">
        <f t="shared" si="8"/>
        <v>45.522701315454327</v>
      </c>
      <c r="U47" s="33">
        <f t="shared" si="8"/>
        <v>0</v>
      </c>
      <c r="V47" s="34">
        <f t="shared" si="8"/>
        <v>78.25136729980396</v>
      </c>
    </row>
    <row r="48" spans="3:22">
      <c r="C48" t="s">
        <v>141</v>
      </c>
      <c r="D48">
        <f>D45</f>
        <v>628.49904328101616</v>
      </c>
      <c r="E48">
        <f t="shared" ref="E48:K48" si="25">E45</f>
        <v>0</v>
      </c>
      <c r="F48">
        <f t="shared" si="25"/>
        <v>94.825380410780468</v>
      </c>
      <c r="G48">
        <f t="shared" si="25"/>
        <v>38.386873422688431</v>
      </c>
      <c r="H48">
        <f t="shared" si="25"/>
        <v>13.326639580695124</v>
      </c>
      <c r="I48">
        <f t="shared" si="25"/>
        <v>78.580734311323226</v>
      </c>
      <c r="J48">
        <f t="shared" si="25"/>
        <v>0</v>
      </c>
      <c r="K48">
        <f t="shared" si="25"/>
        <v>135.07656016880844</v>
      </c>
      <c r="M48" s="25">
        <f>G22</f>
        <v>1.304247615756738</v>
      </c>
      <c r="N48" s="32" t="str">
        <f t="shared" si="10"/>
        <v>PHEV minivan/SUV</v>
      </c>
      <c r="O48" s="33">
        <f t="shared" si="11"/>
        <v>819.71837870465617</v>
      </c>
      <c r="P48" s="33">
        <f t="shared" si="8"/>
        <v>0</v>
      </c>
      <c r="Q48" s="33">
        <f t="shared" si="8"/>
        <v>123.67577631398612</v>
      </c>
      <c r="R48" s="33">
        <f t="shared" si="8"/>
        <v>50.065988137897079</v>
      </c>
      <c r="S48" s="33">
        <f t="shared" si="8"/>
        <v>17.381237899170991</v>
      </c>
      <c r="T48" s="33">
        <f t="shared" si="8"/>
        <v>102.48873536995701</v>
      </c>
      <c r="U48" s="33">
        <f t="shared" si="8"/>
        <v>0</v>
      </c>
      <c r="V48" s="34">
        <f t="shared" si="8"/>
        <v>176.17328154478997</v>
      </c>
    </row>
    <row r="49" spans="3:22">
      <c r="C49" t="s">
        <v>26</v>
      </c>
      <c r="D49">
        <f t="shared" ref="D49:K49" si="26">INDEX(veh_US_lookup_tab,MATCH($C49,veh_US_lookup_col,0),MATCH(D$32,veh_US_lookup_header,0))</f>
        <v>715.98856977199068</v>
      </c>
      <c r="E49">
        <f t="shared" si="26"/>
        <v>0</v>
      </c>
      <c r="F49">
        <f t="shared" si="26"/>
        <v>29.517562608186445</v>
      </c>
      <c r="G49">
        <f t="shared" si="26"/>
        <v>58.294326248798441</v>
      </c>
      <c r="H49">
        <f t="shared" si="26"/>
        <v>12.54176435963201</v>
      </c>
      <c r="I49">
        <f t="shared" si="26"/>
        <v>111.14242100025686</v>
      </c>
      <c r="J49">
        <f t="shared" si="26"/>
        <v>0</v>
      </c>
      <c r="K49">
        <f t="shared" si="26"/>
        <v>184.16566382104941</v>
      </c>
      <c r="M49">
        <v>1</v>
      </c>
      <c r="N49" s="32" t="str">
        <f t="shared" si="10"/>
        <v>BEV passenger car</v>
      </c>
      <c r="O49" s="33">
        <f t="shared" si="11"/>
        <v>715.98856977199068</v>
      </c>
      <c r="P49" s="33">
        <f t="shared" si="11"/>
        <v>0</v>
      </c>
      <c r="Q49" s="33">
        <f t="shared" si="11"/>
        <v>29.517562608186445</v>
      </c>
      <c r="R49" s="33">
        <f t="shared" si="11"/>
        <v>58.294326248798441</v>
      </c>
      <c r="S49" s="33">
        <f t="shared" si="11"/>
        <v>12.54176435963201</v>
      </c>
      <c r="T49" s="33">
        <f t="shared" si="11"/>
        <v>111.14242100025686</v>
      </c>
      <c r="U49" s="33">
        <f t="shared" si="11"/>
        <v>0</v>
      </c>
      <c r="V49" s="34">
        <f t="shared" si="11"/>
        <v>184.16566382104941</v>
      </c>
    </row>
    <row r="50" spans="3:22">
      <c r="C50" t="s">
        <v>27</v>
      </c>
      <c r="D50">
        <f>D49</f>
        <v>715.98856977199068</v>
      </c>
      <c r="E50">
        <f t="shared" ref="E50:K50" si="27">E49</f>
        <v>0</v>
      </c>
      <c r="F50">
        <f t="shared" si="27"/>
        <v>29.517562608186445</v>
      </c>
      <c r="G50">
        <f t="shared" si="27"/>
        <v>58.294326248798441</v>
      </c>
      <c r="H50">
        <f t="shared" si="27"/>
        <v>12.54176435963201</v>
      </c>
      <c r="I50">
        <f t="shared" si="27"/>
        <v>111.14242100025686</v>
      </c>
      <c r="J50">
        <f t="shared" si="27"/>
        <v>0</v>
      </c>
      <c r="K50">
        <f t="shared" si="27"/>
        <v>184.16566382104941</v>
      </c>
      <c r="M50">
        <f>G24</f>
        <v>1.5248102743724461</v>
      </c>
      <c r="N50" s="32" t="str">
        <f t="shared" si="10"/>
        <v>BEV light truck</v>
      </c>
      <c r="O50" s="33">
        <f t="shared" si="11"/>
        <v>1091.7467275215645</v>
      </c>
      <c r="P50" s="33">
        <f t="shared" si="11"/>
        <v>0</v>
      </c>
      <c r="Q50" s="33">
        <f t="shared" si="11"/>
        <v>45.008682739394629</v>
      </c>
      <c r="R50" s="33">
        <f t="shared" si="11"/>
        <v>88.887787601787238</v>
      </c>
      <c r="S50" s="33">
        <f t="shared" si="11"/>
        <v>19.12381115432505</v>
      </c>
      <c r="T50" s="33">
        <f t="shared" si="11"/>
        <v>169.47110545981957</v>
      </c>
      <c r="U50" s="33">
        <f t="shared" si="11"/>
        <v>0</v>
      </c>
      <c r="V50" s="34">
        <f t="shared" si="11"/>
        <v>280.81769638095801</v>
      </c>
    </row>
    <row r="51" spans="3:22">
      <c r="C51" t="s">
        <v>142</v>
      </c>
      <c r="D51">
        <f>D49</f>
        <v>715.98856977199068</v>
      </c>
      <c r="E51">
        <f t="shared" ref="E51:K51" si="28">E49</f>
        <v>0</v>
      </c>
      <c r="F51">
        <f t="shared" si="28"/>
        <v>29.517562608186445</v>
      </c>
      <c r="G51">
        <f t="shared" si="28"/>
        <v>58.294326248798441</v>
      </c>
      <c r="H51">
        <f t="shared" si="28"/>
        <v>12.54176435963201</v>
      </c>
      <c r="I51">
        <f t="shared" si="28"/>
        <v>111.14242100025686</v>
      </c>
      <c r="J51">
        <f t="shared" si="28"/>
        <v>0</v>
      </c>
      <c r="K51">
        <f t="shared" si="28"/>
        <v>184.16566382104941</v>
      </c>
      <c r="M51" s="25">
        <f>G25</f>
        <v>0.60932694512551078</v>
      </c>
      <c r="N51" s="32" t="str">
        <f t="shared" si="10"/>
        <v>BEV microcar</v>
      </c>
      <c r="O51" s="33">
        <f t="shared" si="11"/>
        <v>436.27112796395073</v>
      </c>
      <c r="P51" s="33">
        <f t="shared" si="11"/>
        <v>0</v>
      </c>
      <c r="Q51" s="33">
        <f t="shared" si="11"/>
        <v>17.985846251597252</v>
      </c>
      <c r="R51" s="33">
        <f t="shared" si="11"/>
        <v>35.52030373133023</v>
      </c>
      <c r="S51" s="33">
        <f t="shared" si="11"/>
        <v>7.6420349637385803</v>
      </c>
      <c r="T51" s="33">
        <f t="shared" si="11"/>
        <v>67.722071861939924</v>
      </c>
      <c r="U51" s="33">
        <f t="shared" si="11"/>
        <v>0</v>
      </c>
      <c r="V51" s="34">
        <f t="shared" si="11"/>
        <v>112.21710133309183</v>
      </c>
    </row>
    <row r="52" spans="3:22">
      <c r="C52" t="s">
        <v>143</v>
      </c>
      <c r="D52">
        <f>D49</f>
        <v>715.98856977199068</v>
      </c>
      <c r="E52">
        <f t="shared" ref="E52:K52" si="29">E49</f>
        <v>0</v>
      </c>
      <c r="F52">
        <f t="shared" si="29"/>
        <v>29.517562608186445</v>
      </c>
      <c r="G52">
        <f t="shared" si="29"/>
        <v>58.294326248798441</v>
      </c>
      <c r="H52">
        <f t="shared" si="29"/>
        <v>12.54176435963201</v>
      </c>
      <c r="I52">
        <f t="shared" si="29"/>
        <v>111.14242100025686</v>
      </c>
      <c r="J52">
        <f t="shared" si="29"/>
        <v>0</v>
      </c>
      <c r="K52">
        <f t="shared" si="29"/>
        <v>184.16566382104941</v>
      </c>
      <c r="M52" s="25">
        <f>G26</f>
        <v>1.2768674267542321</v>
      </c>
      <c r="N52" s="32" t="str">
        <f t="shared" si="10"/>
        <v>BEV minivan/SUV</v>
      </c>
      <c r="O52" s="33">
        <f t="shared" si="11"/>
        <v>914.22248267020473</v>
      </c>
      <c r="P52" s="33">
        <f t="shared" si="11"/>
        <v>0</v>
      </c>
      <c r="Q52" s="33">
        <f t="shared" si="11"/>
        <v>37.69001421157197</v>
      </c>
      <c r="R52" s="33">
        <f t="shared" si="11"/>
        <v>74.434126351674962</v>
      </c>
      <c r="S52" s="33">
        <f t="shared" si="11"/>
        <v>16.014170384841265</v>
      </c>
      <c r="T52" s="33">
        <f t="shared" si="11"/>
        <v>141.9141371058335</v>
      </c>
      <c r="U52" s="33">
        <f t="shared" si="11"/>
        <v>0</v>
      </c>
      <c r="V52" s="34">
        <f t="shared" si="11"/>
        <v>235.15513725966835</v>
      </c>
    </row>
    <row r="53" spans="3:22">
      <c r="C53" t="s">
        <v>28</v>
      </c>
      <c r="D53">
        <f t="shared" ref="D53:K53" si="30">INDEX(veh_US_lookup_tab,MATCH($C53,veh_US_lookup_col,0),MATCH(D$32,veh_US_lookup_header,0))</f>
        <v>608.07655530953593</v>
      </c>
      <c r="E53">
        <f t="shared" si="30"/>
        <v>45.525916819981532</v>
      </c>
      <c r="F53">
        <f t="shared" si="30"/>
        <v>28.958616224807525</v>
      </c>
      <c r="G53">
        <f t="shared" si="30"/>
        <v>28.270371706910822</v>
      </c>
      <c r="H53">
        <f t="shared" si="30"/>
        <v>7.2475263923225208</v>
      </c>
      <c r="I53">
        <f t="shared" si="30"/>
        <v>47.890291524897592</v>
      </c>
      <c r="J53">
        <f t="shared" si="30"/>
        <v>0</v>
      </c>
      <c r="K53">
        <f t="shared" si="30"/>
        <v>174.50924074147358</v>
      </c>
      <c r="M53">
        <v>1</v>
      </c>
      <c r="N53" s="32" t="str">
        <f t="shared" si="10"/>
        <v>HFCEV passenger car</v>
      </c>
      <c r="O53" s="33">
        <f t="shared" si="11"/>
        <v>608.07655530953593</v>
      </c>
      <c r="P53" s="33">
        <f t="shared" si="11"/>
        <v>45.525916819981532</v>
      </c>
      <c r="Q53" s="33">
        <f t="shared" si="11"/>
        <v>28.958616224807525</v>
      </c>
      <c r="R53" s="33">
        <f t="shared" si="11"/>
        <v>28.270371706910822</v>
      </c>
      <c r="S53" s="33">
        <f t="shared" si="11"/>
        <v>7.2475263923225208</v>
      </c>
      <c r="T53" s="33">
        <f t="shared" si="11"/>
        <v>47.890291524897592</v>
      </c>
      <c r="U53" s="33">
        <f t="shared" si="11"/>
        <v>0</v>
      </c>
      <c r="V53" s="34">
        <f t="shared" si="11"/>
        <v>174.50924074147358</v>
      </c>
    </row>
    <row r="54" spans="3:22">
      <c r="C54" t="s">
        <v>29</v>
      </c>
      <c r="D54">
        <f>D53</f>
        <v>608.07655530953593</v>
      </c>
      <c r="E54">
        <f t="shared" ref="E54:K54" si="31">E53</f>
        <v>45.525916819981532</v>
      </c>
      <c r="F54">
        <f t="shared" si="31"/>
        <v>28.958616224807525</v>
      </c>
      <c r="G54">
        <f t="shared" si="31"/>
        <v>28.270371706910822</v>
      </c>
      <c r="H54">
        <f t="shared" si="31"/>
        <v>7.2475263923225208</v>
      </c>
      <c r="I54">
        <f t="shared" si="31"/>
        <v>47.890291524897592</v>
      </c>
      <c r="J54">
        <f t="shared" si="31"/>
        <v>0</v>
      </c>
      <c r="K54">
        <f t="shared" si="31"/>
        <v>174.50924074147358</v>
      </c>
      <c r="M54">
        <f>G28</f>
        <v>1.5530569219957835</v>
      </c>
      <c r="N54" s="32" t="str">
        <f t="shared" si="10"/>
        <v>HFCEV light truck</v>
      </c>
      <c r="O54" s="33">
        <f t="shared" si="11"/>
        <v>944.37750332682663</v>
      </c>
      <c r="P54" s="33">
        <f t="shared" si="11"/>
        <v>70.70434024747658</v>
      </c>
      <c r="Q54" s="33">
        <f t="shared" si="11"/>
        <v>44.974379379356733</v>
      </c>
      <c r="R54" s="33">
        <f t="shared" si="11"/>
        <v>43.905496466811606</v>
      </c>
      <c r="S54" s="33">
        <f t="shared" si="11"/>
        <v>11.25582103094362</v>
      </c>
      <c r="T54" s="33">
        <f t="shared" si="11"/>
        <v>74.376348749138216</v>
      </c>
      <c r="U54" s="33">
        <f t="shared" si="11"/>
        <v>0</v>
      </c>
      <c r="V54" s="34">
        <f t="shared" si="11"/>
        <v>271.02278428577415</v>
      </c>
    </row>
    <row r="55" spans="3:22">
      <c r="C55" t="s">
        <v>144</v>
      </c>
      <c r="D55">
        <f>D53</f>
        <v>608.07655530953593</v>
      </c>
      <c r="E55">
        <f t="shared" ref="E55:K55" si="32">E53</f>
        <v>45.525916819981532</v>
      </c>
      <c r="F55">
        <f t="shared" si="32"/>
        <v>28.958616224807525</v>
      </c>
      <c r="G55">
        <f t="shared" si="32"/>
        <v>28.270371706910822</v>
      </c>
      <c r="H55">
        <f t="shared" si="32"/>
        <v>7.2475263923225208</v>
      </c>
      <c r="I55">
        <f t="shared" si="32"/>
        <v>47.890291524897592</v>
      </c>
      <c r="J55">
        <f t="shared" si="32"/>
        <v>0</v>
      </c>
      <c r="K55">
        <f t="shared" si="32"/>
        <v>174.50924074147358</v>
      </c>
      <c r="M55" s="25">
        <f>G29</f>
        <v>0.574294331693605</v>
      </c>
      <c r="N55" s="32" t="str">
        <f t="shared" si="10"/>
        <v>HFCEV microcar</v>
      </c>
      <c r="O55" s="33">
        <f t="shared" si="11"/>
        <v>349.21491895003936</v>
      </c>
      <c r="P55" s="33">
        <f t="shared" si="11"/>
        <v>26.145275974869946</v>
      </c>
      <c r="Q55" s="33">
        <f t="shared" si="11"/>
        <v>16.630769151597423</v>
      </c>
      <c r="R55" s="33">
        <f t="shared" si="11"/>
        <v>16.235514226150151</v>
      </c>
      <c r="S55" s="33">
        <f t="shared" si="11"/>
        <v>4.162213325910626</v>
      </c>
      <c r="T55" s="33">
        <f t="shared" si="11"/>
        <v>27.503122965902978</v>
      </c>
      <c r="U55" s="33">
        <f t="shared" si="11"/>
        <v>0</v>
      </c>
      <c r="V55" s="34">
        <f t="shared" si="11"/>
        <v>100.21966778598299</v>
      </c>
    </row>
    <row r="56" spans="3:22">
      <c r="C56" t="s">
        <v>145</v>
      </c>
      <c r="D56">
        <f>D53</f>
        <v>608.07655530953593</v>
      </c>
      <c r="E56">
        <f t="shared" ref="E56:K56" si="33">E53</f>
        <v>45.525916819981532</v>
      </c>
      <c r="F56">
        <f t="shared" si="33"/>
        <v>28.958616224807525</v>
      </c>
      <c r="G56">
        <f t="shared" si="33"/>
        <v>28.270371706910822</v>
      </c>
      <c r="H56">
        <f t="shared" si="33"/>
        <v>7.2475263923225208</v>
      </c>
      <c r="I56">
        <f t="shared" si="33"/>
        <v>47.890291524897592</v>
      </c>
      <c r="J56">
        <f t="shared" si="33"/>
        <v>0</v>
      </c>
      <c r="K56">
        <f t="shared" si="33"/>
        <v>174.50924074147358</v>
      </c>
      <c r="M56" s="25">
        <f>G30</f>
        <v>1.3458395151089246</v>
      </c>
      <c r="N56" s="32" t="str">
        <f t="shared" si="10"/>
        <v>HFCEV minivan/SUV</v>
      </c>
      <c r="O56" s="33">
        <f t="shared" si="11"/>
        <v>818.37345634689098</v>
      </c>
      <c r="P56" s="33">
        <f t="shared" si="11"/>
        <v>61.270577817893184</v>
      </c>
      <c r="Q56" s="33">
        <f t="shared" si="11"/>
        <v>38.973650018220397</v>
      </c>
      <c r="R56" s="33">
        <f t="shared" si="11"/>
        <v>38.04738334997792</v>
      </c>
      <c r="S56" s="33">
        <f t="shared" si="11"/>
        <v>9.7540074055824757</v>
      </c>
      <c r="T56" s="33">
        <f t="shared" si="11"/>
        <v>64.452646724293217</v>
      </c>
      <c r="U56" s="33">
        <f t="shared" si="11"/>
        <v>0</v>
      </c>
      <c r="V56" s="34">
        <f t="shared" si="11"/>
        <v>234.86143194153141</v>
      </c>
    </row>
    <row r="57" spans="3:22">
      <c r="C57" t="s">
        <v>30</v>
      </c>
      <c r="D57">
        <f t="shared" ref="D57:K57" si="34">INDEX(veh_US_lookup_tab,MATCH($C57,veh_US_lookup_col,0),MATCH(D$32,veh_US_lookup_header,0))</f>
        <v>240.75327503067197</v>
      </c>
      <c r="E57">
        <f t="shared" si="34"/>
        <v>11.168690301996969</v>
      </c>
      <c r="F57">
        <f t="shared" si="34"/>
        <v>38.395148320234092</v>
      </c>
      <c r="G57">
        <f t="shared" si="34"/>
        <v>215.40063606035218</v>
      </c>
      <c r="H57">
        <f t="shared" si="34"/>
        <v>26.652863059783218</v>
      </c>
      <c r="I57">
        <f t="shared" si="34"/>
        <v>31.293781892651577</v>
      </c>
      <c r="J57">
        <f t="shared" si="34"/>
        <v>0</v>
      </c>
      <c r="K57">
        <f t="shared" si="34"/>
        <v>139.35838690707828</v>
      </c>
      <c r="M57">
        <v>1</v>
      </c>
      <c r="N57" s="32" t="str">
        <f t="shared" si="10"/>
        <v>ICEV-g passenger car lightweight</v>
      </c>
      <c r="O57" s="33">
        <f t="shared" si="11"/>
        <v>240.75327503067197</v>
      </c>
      <c r="P57" s="33">
        <f t="shared" si="11"/>
        <v>11.168690301996969</v>
      </c>
      <c r="Q57" s="33">
        <f t="shared" si="11"/>
        <v>38.395148320234092</v>
      </c>
      <c r="R57" s="33">
        <f t="shared" si="11"/>
        <v>215.40063606035218</v>
      </c>
      <c r="S57" s="33">
        <f t="shared" si="11"/>
        <v>26.652863059783218</v>
      </c>
      <c r="T57" s="33">
        <f t="shared" si="11"/>
        <v>31.293781892651577</v>
      </c>
      <c r="U57" s="33">
        <f t="shared" si="11"/>
        <v>0</v>
      </c>
      <c r="V57" s="34">
        <f t="shared" si="11"/>
        <v>139.35838690707828</v>
      </c>
    </row>
    <row r="58" spans="3:22">
      <c r="C58" t="s">
        <v>31</v>
      </c>
      <c r="D58">
        <f>D57</f>
        <v>240.75327503067197</v>
      </c>
      <c r="E58">
        <f t="shared" ref="E58:K58" si="35">E57</f>
        <v>11.168690301996969</v>
      </c>
      <c r="F58">
        <f t="shared" si="35"/>
        <v>38.395148320234092</v>
      </c>
      <c r="G58">
        <f t="shared" si="35"/>
        <v>215.40063606035218</v>
      </c>
      <c r="H58">
        <f t="shared" si="35"/>
        <v>26.652863059783218</v>
      </c>
      <c r="I58">
        <f t="shared" si="35"/>
        <v>31.293781892651577</v>
      </c>
      <c r="J58">
        <f t="shared" si="35"/>
        <v>0</v>
      </c>
      <c r="K58">
        <f t="shared" si="35"/>
        <v>139.35838690707828</v>
      </c>
      <c r="M58">
        <f>H8</f>
        <v>1.5705412599822537</v>
      </c>
      <c r="N58" s="32" t="str">
        <f t="shared" si="10"/>
        <v>ICEV-g light truck lightweight</v>
      </c>
      <c r="O58" s="33">
        <f t="shared" si="11"/>
        <v>378.11295191152561</v>
      </c>
      <c r="P58" s="33">
        <f t="shared" si="11"/>
        <v>17.540888939249896</v>
      </c>
      <c r="Q58" s="33">
        <f t="shared" si="11"/>
        <v>60.301164620065961</v>
      </c>
      <c r="R58" s="33">
        <f t="shared" si="11"/>
        <v>338.29558635920438</v>
      </c>
      <c r="S58" s="33">
        <f t="shared" si="11"/>
        <v>41.8594211320464</v>
      </c>
      <c r="T58" s="33">
        <f t="shared" si="11"/>
        <v>49.148175643294842</v>
      </c>
      <c r="U58" s="33">
        <f t="shared" si="11"/>
        <v>0</v>
      </c>
      <c r="V58" s="34">
        <f t="shared" si="11"/>
        <v>218.86809656213714</v>
      </c>
    </row>
    <row r="59" spans="3:22">
      <c r="C59" t="s">
        <v>146</v>
      </c>
      <c r="D59">
        <f>D57</f>
        <v>240.75327503067197</v>
      </c>
      <c r="E59">
        <f t="shared" ref="E59:K59" si="36">E57</f>
        <v>11.168690301996969</v>
      </c>
      <c r="F59">
        <f t="shared" si="36"/>
        <v>38.395148320234092</v>
      </c>
      <c r="G59">
        <f t="shared" si="36"/>
        <v>215.40063606035218</v>
      </c>
      <c r="H59">
        <f t="shared" si="36"/>
        <v>26.652863059783218</v>
      </c>
      <c r="I59">
        <f t="shared" si="36"/>
        <v>31.293781892651577</v>
      </c>
      <c r="J59">
        <f t="shared" si="36"/>
        <v>0</v>
      </c>
      <c r="K59">
        <f t="shared" si="36"/>
        <v>139.35838690707828</v>
      </c>
      <c r="M59">
        <f t="shared" ref="M59:M60" si="37">H9</f>
        <v>0.53023835255841467</v>
      </c>
      <c r="N59" s="32" t="str">
        <f t="shared" si="10"/>
        <v>ICEV-g microcar lightweight</v>
      </c>
      <c r="O59" s="33">
        <f t="shared" si="11"/>
        <v>127.65661992530642</v>
      </c>
      <c r="P59" s="33">
        <f t="shared" si="11"/>
        <v>5.9220679459660159</v>
      </c>
      <c r="Q59" s="33">
        <f t="shared" si="11"/>
        <v>20.358580191556907</v>
      </c>
      <c r="R59" s="33">
        <f t="shared" si="11"/>
        <v>114.21367840467579</v>
      </c>
      <c r="S59" s="33">
        <f t="shared" si="11"/>
        <v>14.13237019978448</v>
      </c>
      <c r="T59" s="33">
        <f t="shared" si="11"/>
        <v>16.59316335608192</v>
      </c>
      <c r="U59" s="33">
        <f t="shared" si="11"/>
        <v>0</v>
      </c>
      <c r="V59" s="34">
        <f t="shared" si="11"/>
        <v>73.893161488807337</v>
      </c>
    </row>
    <row r="60" spans="3:22">
      <c r="C60" t="s">
        <v>147</v>
      </c>
      <c r="D60">
        <f>D57</f>
        <v>240.75327503067197</v>
      </c>
      <c r="E60">
        <f t="shared" ref="E60:K60" si="38">E57</f>
        <v>11.168690301996969</v>
      </c>
      <c r="F60">
        <f t="shared" si="38"/>
        <v>38.395148320234092</v>
      </c>
      <c r="G60">
        <f t="shared" si="38"/>
        <v>215.40063606035218</v>
      </c>
      <c r="H60">
        <f t="shared" si="38"/>
        <v>26.652863059783218</v>
      </c>
      <c r="I60">
        <f t="shared" si="38"/>
        <v>31.293781892651577</v>
      </c>
      <c r="J60">
        <f t="shared" si="38"/>
        <v>0</v>
      </c>
      <c r="K60">
        <f t="shared" si="38"/>
        <v>139.35838690707828</v>
      </c>
      <c r="M60">
        <f t="shared" si="37"/>
        <v>1.2465672967275876</v>
      </c>
      <c r="N60" s="32" t="str">
        <f t="shared" si="10"/>
        <v>ICEV-g minivan/SUV lightweight</v>
      </c>
      <c r="O60" s="33">
        <f t="shared" si="11"/>
        <v>300.11515923329819</v>
      </c>
      <c r="P60" s="33">
        <f t="shared" si="11"/>
        <v>13.922524077747987</v>
      </c>
      <c r="Q60" s="33">
        <f t="shared" si="11"/>
        <v>47.862136249008991</v>
      </c>
      <c r="R60" s="33">
        <f t="shared" si="11"/>
        <v>268.51138860715616</v>
      </c>
      <c r="S60" s="33">
        <f t="shared" si="11"/>
        <v>33.224587454484542</v>
      </c>
      <c r="T60" s="33">
        <f t="shared" si="11"/>
        <v>39.009805098305407</v>
      </c>
      <c r="U60" s="33">
        <f t="shared" si="11"/>
        <v>0</v>
      </c>
      <c r="V60" s="34">
        <f t="shared" si="11"/>
        <v>173.7196076430738</v>
      </c>
    </row>
    <row r="61" spans="3:22">
      <c r="C61" t="s">
        <v>32</v>
      </c>
      <c r="D61">
        <f>D57*($F$11/$F$7)</f>
        <v>244.17124521744279</v>
      </c>
      <c r="E61">
        <f t="shared" ref="E61:K61" si="39">E57*($F$11/$F$7)</f>
        <v>11.327252009922391</v>
      </c>
      <c r="F61">
        <f t="shared" si="39"/>
        <v>38.940243593635813</v>
      </c>
      <c r="G61">
        <f t="shared" si="39"/>
        <v>218.45867525907943</v>
      </c>
      <c r="H61">
        <f t="shared" si="39"/>
        <v>27.031253307304539</v>
      </c>
      <c r="I61">
        <f t="shared" si="39"/>
        <v>31.738059186602261</v>
      </c>
      <c r="J61">
        <f t="shared" si="39"/>
        <v>0</v>
      </c>
      <c r="K61">
        <f t="shared" si="39"/>
        <v>141.33685557656651</v>
      </c>
      <c r="M61">
        <v>1</v>
      </c>
      <c r="N61" s="32" t="str">
        <f t="shared" si="10"/>
        <v>ICEV-d passenger car lightweight</v>
      </c>
      <c r="O61" s="33">
        <f t="shared" si="11"/>
        <v>244.17124521744279</v>
      </c>
      <c r="P61" s="33">
        <f t="shared" si="11"/>
        <v>11.327252009922391</v>
      </c>
      <c r="Q61" s="33">
        <f t="shared" si="11"/>
        <v>38.940243593635813</v>
      </c>
      <c r="R61" s="33">
        <f t="shared" si="11"/>
        <v>218.45867525907943</v>
      </c>
      <c r="S61" s="33">
        <f t="shared" si="11"/>
        <v>27.031253307304539</v>
      </c>
      <c r="T61" s="33">
        <f t="shared" si="11"/>
        <v>31.738059186602261</v>
      </c>
      <c r="U61" s="33">
        <f t="shared" si="11"/>
        <v>0</v>
      </c>
      <c r="V61" s="34">
        <f t="shared" si="11"/>
        <v>141.33685557656651</v>
      </c>
    </row>
    <row r="62" spans="3:22">
      <c r="C62" t="s">
        <v>33</v>
      </c>
      <c r="D62">
        <f>D61</f>
        <v>244.17124521744279</v>
      </c>
      <c r="E62">
        <f t="shared" ref="E62:K62" si="40">E61</f>
        <v>11.327252009922391</v>
      </c>
      <c r="F62">
        <f t="shared" si="40"/>
        <v>38.940243593635813</v>
      </c>
      <c r="G62">
        <f t="shared" si="40"/>
        <v>218.45867525907943</v>
      </c>
      <c r="H62">
        <f t="shared" si="40"/>
        <v>27.031253307304539</v>
      </c>
      <c r="I62">
        <f t="shared" si="40"/>
        <v>31.738059186602261</v>
      </c>
      <c r="J62">
        <f t="shared" si="40"/>
        <v>0</v>
      </c>
      <c r="K62">
        <f t="shared" si="40"/>
        <v>141.33685557656651</v>
      </c>
      <c r="M62">
        <f>H12</f>
        <v>1.5730533683289589</v>
      </c>
      <c r="N62" s="32" t="str">
        <f t="shared" si="10"/>
        <v>ICEV-d light truck lightweight</v>
      </c>
      <c r="O62" s="33">
        <f t="shared" si="11"/>
        <v>384.09439973837459</v>
      </c>
      <c r="P62" s="33">
        <f t="shared" si="11"/>
        <v>17.818371928119387</v>
      </c>
      <c r="Q62" s="33">
        <f t="shared" si="11"/>
        <v>61.255081348518978</v>
      </c>
      <c r="R62" s="33">
        <f t="shared" si="11"/>
        <v>343.64715495697709</v>
      </c>
      <c r="S62" s="33">
        <f t="shared" si="11"/>
        <v>42.521604065208713</v>
      </c>
      <c r="T62" s="33">
        <f t="shared" si="11"/>
        <v>49.925660907708547</v>
      </c>
      <c r="U62" s="33">
        <f t="shared" si="11"/>
        <v>0</v>
      </c>
      <c r="V62" s="34">
        <f t="shared" si="11"/>
        <v>222.33041673374154</v>
      </c>
    </row>
    <row r="63" spans="3:22">
      <c r="C63" t="s">
        <v>148</v>
      </c>
      <c r="D63">
        <f>D61</f>
        <v>244.17124521744279</v>
      </c>
      <c r="E63">
        <f t="shared" ref="E63:K63" si="41">E61</f>
        <v>11.327252009922391</v>
      </c>
      <c r="F63">
        <f t="shared" si="41"/>
        <v>38.940243593635813</v>
      </c>
      <c r="G63">
        <f t="shared" si="41"/>
        <v>218.45867525907943</v>
      </c>
      <c r="H63">
        <f t="shared" si="41"/>
        <v>27.031253307304539</v>
      </c>
      <c r="I63">
        <f t="shared" si="41"/>
        <v>31.738059186602261</v>
      </c>
      <c r="J63">
        <f t="shared" si="41"/>
        <v>0</v>
      </c>
      <c r="K63">
        <f t="shared" si="41"/>
        <v>141.33685557656651</v>
      </c>
      <c r="M63">
        <f t="shared" ref="M63:M64" si="42">H13</f>
        <v>0.5316159937299505</v>
      </c>
      <c r="N63" s="32" t="str">
        <f t="shared" si="10"/>
        <v>ICEV-d microcar lightweight</v>
      </c>
      <c r="O63" s="33">
        <f t="shared" si="11"/>
        <v>129.80533916655028</v>
      </c>
      <c r="P63" s="33">
        <f t="shared" si="11"/>
        <v>6.0217483334844708</v>
      </c>
      <c r="Q63" s="33">
        <f t="shared" si="11"/>
        <v>20.701256294117041</v>
      </c>
      <c r="R63" s="33">
        <f t="shared" si="11"/>
        <v>116.13612573678407</v>
      </c>
      <c r="S63" s="33">
        <f t="shared" si="11"/>
        <v>14.370246588728714</v>
      </c>
      <c r="T63" s="33">
        <f t="shared" si="11"/>
        <v>16.872459873545544</v>
      </c>
      <c r="U63" s="33">
        <f t="shared" si="11"/>
        <v>0</v>
      </c>
      <c r="V63" s="34">
        <f t="shared" si="11"/>
        <v>75.136932928002892</v>
      </c>
    </row>
    <row r="64" spans="3:22">
      <c r="C64" t="s">
        <v>149</v>
      </c>
      <c r="D64">
        <f>D61</f>
        <v>244.17124521744279</v>
      </c>
      <c r="E64">
        <f t="shared" ref="E64:K64" si="43">E61</f>
        <v>11.327252009922391</v>
      </c>
      <c r="F64">
        <f t="shared" si="43"/>
        <v>38.940243593635813</v>
      </c>
      <c r="G64">
        <f t="shared" si="43"/>
        <v>218.45867525907943</v>
      </c>
      <c r="H64">
        <f t="shared" si="43"/>
        <v>27.031253307304539</v>
      </c>
      <c r="I64">
        <f t="shared" si="43"/>
        <v>31.738059186602261</v>
      </c>
      <c r="J64">
        <f t="shared" si="43"/>
        <v>0</v>
      </c>
      <c r="K64">
        <f t="shared" si="43"/>
        <v>141.33685557656651</v>
      </c>
      <c r="M64">
        <f t="shared" si="42"/>
        <v>1.2450601648398869</v>
      </c>
      <c r="N64" s="32" t="str">
        <f t="shared" si="10"/>
        <v>ICEV-d minivan/SUV lightweight</v>
      </c>
      <c r="O64" s="33">
        <f t="shared" si="11"/>
        <v>304.00789081958976</v>
      </c>
      <c r="P64" s="33">
        <f t="shared" si="11"/>
        <v>14.103110254656913</v>
      </c>
      <c r="Q64" s="33">
        <f t="shared" si="11"/>
        <v>48.482946107597556</v>
      </c>
      <c r="R64" s="33">
        <f t="shared" si="11"/>
        <v>271.99419422877276</v>
      </c>
      <c r="S64" s="33">
        <f t="shared" si="11"/>
        <v>33.655536698621326</v>
      </c>
      <c r="T64" s="33">
        <f t="shared" si="11"/>
        <v>39.5157932025691</v>
      </c>
      <c r="U64" s="33">
        <f t="shared" si="11"/>
        <v>0</v>
      </c>
      <c r="V64" s="34">
        <f t="shared" si="11"/>
        <v>175.97288870211119</v>
      </c>
    </row>
    <row r="65" spans="3:22">
      <c r="C65" t="s">
        <v>34</v>
      </c>
      <c r="D65">
        <f t="shared" ref="D65:K65" si="44">INDEX(veh_US_lookup_tab,MATCH($C65,veh_US_lookup_col,0),MATCH(D$32,veh_US_lookup_header,0))</f>
        <v>270.24549809265579</v>
      </c>
      <c r="E65">
        <f t="shared" si="44"/>
        <v>9.0569154334650239</v>
      </c>
      <c r="F65">
        <f t="shared" si="44"/>
        <v>41.460046731549355</v>
      </c>
      <c r="G65">
        <f t="shared" si="44"/>
        <v>208.13160661645145</v>
      </c>
      <c r="H65">
        <f t="shared" si="44"/>
        <v>27.20666928977413</v>
      </c>
      <c r="I65">
        <f t="shared" si="44"/>
        <v>50.105806369174111</v>
      </c>
      <c r="J65">
        <f t="shared" si="44"/>
        <v>0</v>
      </c>
      <c r="K65">
        <f t="shared" si="44"/>
        <v>132.56508960800215</v>
      </c>
      <c r="M65">
        <v>1</v>
      </c>
      <c r="N65" s="32" t="str">
        <f t="shared" si="10"/>
        <v>HEV passenger car lightweight</v>
      </c>
      <c r="O65" s="33">
        <f t="shared" si="11"/>
        <v>270.24549809265579</v>
      </c>
      <c r="P65" s="33">
        <f t="shared" si="11"/>
        <v>9.0569154334650239</v>
      </c>
      <c r="Q65" s="33">
        <f t="shared" si="11"/>
        <v>41.460046731549355</v>
      </c>
      <c r="R65" s="33">
        <f t="shared" si="11"/>
        <v>208.13160661645145</v>
      </c>
      <c r="S65" s="33">
        <f t="shared" si="11"/>
        <v>27.20666928977413</v>
      </c>
      <c r="T65" s="33">
        <f t="shared" si="11"/>
        <v>50.105806369174111</v>
      </c>
      <c r="U65" s="33">
        <f t="shared" si="11"/>
        <v>0</v>
      </c>
      <c r="V65" s="34">
        <f t="shared" si="11"/>
        <v>132.56508960800215</v>
      </c>
    </row>
    <row r="66" spans="3:22">
      <c r="C66" t="s">
        <v>35</v>
      </c>
      <c r="D66">
        <f>D65</f>
        <v>270.24549809265579</v>
      </c>
      <c r="E66">
        <f t="shared" ref="E66:K66" si="45">E65</f>
        <v>9.0569154334650239</v>
      </c>
      <c r="F66">
        <f t="shared" si="45"/>
        <v>41.460046731549355</v>
      </c>
      <c r="G66">
        <f t="shared" si="45"/>
        <v>208.13160661645145</v>
      </c>
      <c r="H66">
        <f t="shared" si="45"/>
        <v>27.20666928977413</v>
      </c>
      <c r="I66">
        <f t="shared" si="45"/>
        <v>50.105806369174111</v>
      </c>
      <c r="J66">
        <f t="shared" si="45"/>
        <v>0</v>
      </c>
      <c r="K66">
        <f t="shared" si="45"/>
        <v>132.56508960800215</v>
      </c>
      <c r="M66">
        <f>H16</f>
        <v>1.5751469353484466</v>
      </c>
      <c r="N66" s="32" t="str">
        <f t="shared" si="10"/>
        <v>HEV light truck lightweight</v>
      </c>
      <c r="O66" s="33">
        <f t="shared" si="11"/>
        <v>425.67636811236127</v>
      </c>
      <c r="P66" s="33">
        <f t="shared" si="11"/>
        <v>14.265972588732481</v>
      </c>
      <c r="Q66" s="33">
        <f t="shared" si="11"/>
        <v>65.305665548603343</v>
      </c>
      <c r="R66" s="33">
        <f t="shared" si="11"/>
        <v>327.83786231105199</v>
      </c>
      <c r="S66" s="33">
        <f t="shared" si="11"/>
        <v>42.854501752826422</v>
      </c>
      <c r="T66" s="33">
        <f t="shared" si="11"/>
        <v>78.924007345567276</v>
      </c>
      <c r="U66" s="33">
        <f t="shared" si="11"/>
        <v>0</v>
      </c>
      <c r="V66" s="34">
        <f t="shared" si="11"/>
        <v>208.8094946302368</v>
      </c>
    </row>
    <row r="67" spans="3:22">
      <c r="C67" t="s">
        <v>150</v>
      </c>
      <c r="D67">
        <f>D65</f>
        <v>270.24549809265579</v>
      </c>
      <c r="E67">
        <f t="shared" ref="E67:K67" si="46">E65</f>
        <v>9.0569154334650239</v>
      </c>
      <c r="F67">
        <f t="shared" si="46"/>
        <v>41.460046731549355</v>
      </c>
      <c r="G67">
        <f t="shared" si="46"/>
        <v>208.13160661645145</v>
      </c>
      <c r="H67">
        <f t="shared" si="46"/>
        <v>27.20666928977413</v>
      </c>
      <c r="I67">
        <f t="shared" si="46"/>
        <v>50.105806369174111</v>
      </c>
      <c r="J67">
        <f t="shared" si="46"/>
        <v>0</v>
      </c>
      <c r="K67">
        <f t="shared" si="46"/>
        <v>132.56508960800215</v>
      </c>
      <c r="M67">
        <f t="shared" ref="M67:M68" si="47">H17</f>
        <v>0.53330870432308985</v>
      </c>
      <c r="N67" s="32" t="str">
        <f t="shared" si="10"/>
        <v>HEV microcar lightweight</v>
      </c>
      <c r="O67" s="33">
        <f t="shared" si="11"/>
        <v>144.12427643694232</v>
      </c>
      <c r="P67" s="33">
        <f t="shared" si="11"/>
        <v>4.8301318349850275</v>
      </c>
      <c r="Q67" s="33">
        <f t="shared" si="11"/>
        <v>22.111003803577344</v>
      </c>
      <c r="R67" s="33">
        <f t="shared" si="11"/>
        <v>110.99839745330276</v>
      </c>
      <c r="S67" s="33">
        <f t="shared" si="11"/>
        <v>14.509553547876241</v>
      </c>
      <c r="T67" s="33">
        <f t="shared" si="11"/>
        <v>26.72186267380787</v>
      </c>
      <c r="U67" s="33">
        <f t="shared" si="11"/>
        <v>0</v>
      </c>
      <c r="V67" s="34">
        <f t="shared" si="11"/>
        <v>70.698116177317928</v>
      </c>
    </row>
    <row r="68" spans="3:22">
      <c r="C68" t="s">
        <v>151</v>
      </c>
      <c r="D68">
        <f>D65</f>
        <v>270.24549809265579</v>
      </c>
      <c r="E68">
        <f t="shared" ref="E68:K68" si="48">E65</f>
        <v>9.0569154334650239</v>
      </c>
      <c r="F68">
        <f t="shared" si="48"/>
        <v>41.460046731549355</v>
      </c>
      <c r="G68">
        <f t="shared" si="48"/>
        <v>208.13160661645145</v>
      </c>
      <c r="H68">
        <f t="shared" si="48"/>
        <v>27.20666928977413</v>
      </c>
      <c r="I68">
        <f t="shared" si="48"/>
        <v>50.105806369174111</v>
      </c>
      <c r="J68">
        <f t="shared" si="48"/>
        <v>0</v>
      </c>
      <c r="K68">
        <f t="shared" si="48"/>
        <v>132.56508960800215</v>
      </c>
      <c r="M68">
        <f t="shared" si="47"/>
        <v>1.2207282053158321</v>
      </c>
      <c r="N68" s="32" t="str">
        <f t="shared" si="10"/>
        <v>HEV minivan/SUV lightweight</v>
      </c>
      <c r="O68" s="33">
        <f t="shared" si="11"/>
        <v>329.89630188133083</v>
      </c>
      <c r="P68" s="33">
        <f t="shared" si="11"/>
        <v>11.05603212279102</v>
      </c>
      <c r="Q68" s="33">
        <f t="shared" si="11"/>
        <v>50.611448438914778</v>
      </c>
      <c r="R68" s="33">
        <f t="shared" si="11"/>
        <v>254.07212261440156</v>
      </c>
      <c r="S68" s="33">
        <f t="shared" si="11"/>
        <v>33.211948574727337</v>
      </c>
      <c r="T68" s="33">
        <f t="shared" si="11"/>
        <v>61.165571084944503</v>
      </c>
      <c r="U68" s="33">
        <f t="shared" si="11"/>
        <v>0</v>
      </c>
      <c r="V68" s="34">
        <f t="shared" si="11"/>
        <v>161.82594392470895</v>
      </c>
    </row>
    <row r="69" spans="3:22">
      <c r="C69" t="s">
        <v>36</v>
      </c>
      <c r="D69">
        <f t="shared" ref="D69:K69" si="49">INDEX(veh_US_lookup_tab,MATCH($C69,veh_US_lookup_col,0),MATCH(D$32,veh_US_lookup_header,0))</f>
        <v>256.16696552462736</v>
      </c>
      <c r="E69">
        <f t="shared" si="49"/>
        <v>8.1801591626449603</v>
      </c>
      <c r="F69">
        <f t="shared" si="49"/>
        <v>36.746812822086369</v>
      </c>
      <c r="G69">
        <f t="shared" si="49"/>
        <v>200.81678336882325</v>
      </c>
      <c r="H69">
        <f t="shared" si="49"/>
        <v>27.135285277657186</v>
      </c>
      <c r="I69">
        <f t="shared" si="49"/>
        <v>61.656070146990551</v>
      </c>
      <c r="J69">
        <f t="shared" si="49"/>
        <v>0</v>
      </c>
      <c r="K69">
        <f t="shared" si="49"/>
        <v>120.66665177637951</v>
      </c>
      <c r="M69">
        <v>1</v>
      </c>
      <c r="N69" s="32" t="str">
        <f t="shared" si="10"/>
        <v>PHEV passenger car lightweight</v>
      </c>
      <c r="O69" s="33">
        <f t="shared" si="11"/>
        <v>256.16696552462736</v>
      </c>
      <c r="P69" s="33">
        <f t="shared" si="11"/>
        <v>8.1801591626449603</v>
      </c>
      <c r="Q69" s="33">
        <f t="shared" si="11"/>
        <v>36.746812822086369</v>
      </c>
      <c r="R69" s="33">
        <f t="shared" si="11"/>
        <v>200.81678336882325</v>
      </c>
      <c r="S69" s="33">
        <f t="shared" si="11"/>
        <v>27.135285277657186</v>
      </c>
      <c r="T69" s="33">
        <f t="shared" si="11"/>
        <v>61.656070146990551</v>
      </c>
      <c r="U69" s="33">
        <f t="shared" si="11"/>
        <v>0</v>
      </c>
      <c r="V69" s="34">
        <f t="shared" si="11"/>
        <v>120.66665177637951</v>
      </c>
    </row>
    <row r="70" spans="3:22">
      <c r="C70" t="s">
        <v>37</v>
      </c>
      <c r="D70">
        <f>D69</f>
        <v>256.16696552462736</v>
      </c>
      <c r="E70">
        <f t="shared" ref="E70:K70" si="50">E69</f>
        <v>8.1801591626449603</v>
      </c>
      <c r="F70">
        <f t="shared" si="50"/>
        <v>36.746812822086369</v>
      </c>
      <c r="G70">
        <f t="shared" si="50"/>
        <v>200.81678336882325</v>
      </c>
      <c r="H70">
        <f t="shared" si="50"/>
        <v>27.135285277657186</v>
      </c>
      <c r="I70">
        <f t="shared" si="50"/>
        <v>61.656070146990551</v>
      </c>
      <c r="J70">
        <f t="shared" si="50"/>
        <v>0</v>
      </c>
      <c r="K70">
        <f t="shared" si="50"/>
        <v>120.66665177637951</v>
      </c>
      <c r="M70">
        <f>H20</f>
        <v>1.5315614617940199</v>
      </c>
      <c r="N70" s="32" t="str">
        <f t="shared" si="10"/>
        <v>PHEV light truck lightweight</v>
      </c>
      <c r="O70" s="33">
        <f t="shared" si="11"/>
        <v>392.33545218223657</v>
      </c>
      <c r="P70" s="33">
        <f t="shared" si="11"/>
        <v>12.528416524848261</v>
      </c>
      <c r="Q70" s="33">
        <f t="shared" si="11"/>
        <v>56.280002362065829</v>
      </c>
      <c r="R70" s="33">
        <f t="shared" si="11"/>
        <v>307.56324628912796</v>
      </c>
      <c r="S70" s="33">
        <f t="shared" si="11"/>
        <v>41.559357186046384</v>
      </c>
      <c r="T70" s="33">
        <f t="shared" si="11"/>
        <v>94.430060922799484</v>
      </c>
      <c r="U70" s="33">
        <f t="shared" si="11"/>
        <v>0</v>
      </c>
      <c r="V70" s="34">
        <f t="shared" si="11"/>
        <v>184.80839358442176</v>
      </c>
    </row>
    <row r="71" spans="3:22">
      <c r="C71" t="s">
        <v>152</v>
      </c>
      <c r="D71">
        <f>D69</f>
        <v>256.16696552462736</v>
      </c>
      <c r="E71">
        <f t="shared" ref="E71:K71" si="51">E69</f>
        <v>8.1801591626449603</v>
      </c>
      <c r="F71">
        <f t="shared" si="51"/>
        <v>36.746812822086369</v>
      </c>
      <c r="G71">
        <f t="shared" si="51"/>
        <v>200.81678336882325</v>
      </c>
      <c r="H71">
        <f t="shared" si="51"/>
        <v>27.135285277657186</v>
      </c>
      <c r="I71">
        <f t="shared" si="51"/>
        <v>61.656070146990551</v>
      </c>
      <c r="J71">
        <f t="shared" si="51"/>
        <v>0</v>
      </c>
      <c r="K71">
        <f t="shared" si="51"/>
        <v>120.66665177637951</v>
      </c>
      <c r="M71">
        <f t="shared" ref="M71:M72" si="52">H21</f>
        <v>0.53267117744961245</v>
      </c>
      <c r="N71" s="32" t="str">
        <f t="shared" si="10"/>
        <v>PHEV microcar lightweight</v>
      </c>
      <c r="O71" s="33">
        <f t="shared" si="11"/>
        <v>136.45275914969753</v>
      </c>
      <c r="P71" s="33">
        <f t="shared" si="11"/>
        <v>4.3573350128913271</v>
      </c>
      <c r="Q71" s="33">
        <f t="shared" si="11"/>
        <v>19.573968053461261</v>
      </c>
      <c r="R71" s="33">
        <f t="shared" si="11"/>
        <v>106.96931244871483</v>
      </c>
      <c r="S71" s="33">
        <f t="shared" si="11"/>
        <v>14.454184359280788</v>
      </c>
      <c r="T71" s="33">
        <f t="shared" si="11"/>
        <v>32.842411482113356</v>
      </c>
      <c r="U71" s="33">
        <f t="shared" si="11"/>
        <v>0</v>
      </c>
      <c r="V71" s="34">
        <f t="shared" si="11"/>
        <v>64.275647480626446</v>
      </c>
    </row>
    <row r="72" spans="3:22">
      <c r="C72" t="s">
        <v>153</v>
      </c>
      <c r="D72">
        <f>D69</f>
        <v>256.16696552462736</v>
      </c>
      <c r="E72">
        <f t="shared" ref="E72:K72" si="53">E69</f>
        <v>8.1801591626449603</v>
      </c>
      <c r="F72">
        <f t="shared" si="53"/>
        <v>36.746812822086369</v>
      </c>
      <c r="G72">
        <f t="shared" si="53"/>
        <v>200.81678336882325</v>
      </c>
      <c r="H72">
        <f t="shared" si="53"/>
        <v>27.135285277657186</v>
      </c>
      <c r="I72">
        <f t="shared" si="53"/>
        <v>61.656070146990551</v>
      </c>
      <c r="J72">
        <f t="shared" si="53"/>
        <v>0</v>
      </c>
      <c r="K72">
        <f t="shared" si="53"/>
        <v>120.66665177637951</v>
      </c>
      <c r="M72">
        <f t="shared" si="52"/>
        <v>1.2031996308762252</v>
      </c>
      <c r="N72" s="32" t="str">
        <f t="shared" si="10"/>
        <v>PHEV minivan/SUV lightweight</v>
      </c>
      <c r="O72" s="33">
        <f t="shared" si="11"/>
        <v>308.21999836191435</v>
      </c>
      <c r="P72" s="33">
        <f t="shared" si="11"/>
        <v>9.8423644850031877</v>
      </c>
      <c r="Q72" s="33">
        <f t="shared" si="11"/>
        <v>44.213751623412058</v>
      </c>
      <c r="R72" s="33">
        <f t="shared" si="11"/>
        <v>241.62267962311901</v>
      </c>
      <c r="S72" s="33">
        <f t="shared" si="11"/>
        <v>32.649165229798193</v>
      </c>
      <c r="T72" s="33">
        <f t="shared" si="11"/>
        <v>74.184560842137671</v>
      </c>
      <c r="U72" s="33">
        <f t="shared" si="11"/>
        <v>0</v>
      </c>
      <c r="V72" s="34">
        <f t="shared" si="11"/>
        <v>145.18607087640981</v>
      </c>
    </row>
    <row r="73" spans="3:22">
      <c r="C73" t="s">
        <v>38</v>
      </c>
      <c r="D73">
        <f t="shared" ref="D73:K73" si="54">INDEX(veh_US_lookup_tab,MATCH($C73,veh_US_lookup_col,0),MATCH(D$32,veh_US_lookup_header,0))</f>
        <v>182.73595307676916</v>
      </c>
      <c r="E73">
        <f t="shared" si="54"/>
        <v>0</v>
      </c>
      <c r="F73">
        <f t="shared" si="54"/>
        <v>34.893081072625222</v>
      </c>
      <c r="G73">
        <f t="shared" si="54"/>
        <v>290.29987203152535</v>
      </c>
      <c r="H73">
        <f t="shared" si="54"/>
        <v>33.305790151975543</v>
      </c>
      <c r="I73">
        <f t="shared" si="54"/>
        <v>101.30778047544456</v>
      </c>
      <c r="J73">
        <f t="shared" si="54"/>
        <v>0</v>
      </c>
      <c r="K73">
        <f t="shared" si="54"/>
        <v>171.63166855251129</v>
      </c>
      <c r="M73">
        <v>1</v>
      </c>
      <c r="N73" s="32" t="str">
        <f t="shared" si="10"/>
        <v>BEV passenger car lightweight</v>
      </c>
      <c r="O73" s="33">
        <f t="shared" si="11"/>
        <v>182.73595307676916</v>
      </c>
      <c r="P73" s="33">
        <f t="shared" si="11"/>
        <v>0</v>
      </c>
      <c r="Q73" s="33">
        <f t="shared" si="11"/>
        <v>34.893081072625222</v>
      </c>
      <c r="R73" s="33">
        <f t="shared" si="11"/>
        <v>290.29987203152535</v>
      </c>
      <c r="S73" s="33">
        <f t="shared" si="11"/>
        <v>33.305790151975543</v>
      </c>
      <c r="T73" s="33">
        <f t="shared" si="11"/>
        <v>101.30778047544456</v>
      </c>
      <c r="U73" s="33">
        <f t="shared" si="11"/>
        <v>0</v>
      </c>
      <c r="V73" s="34">
        <f t="shared" si="11"/>
        <v>171.63166855251129</v>
      </c>
    </row>
    <row r="74" spans="3:22">
      <c r="C74" t="s">
        <v>39</v>
      </c>
      <c r="D74">
        <f>D73</f>
        <v>182.73595307676916</v>
      </c>
      <c r="E74">
        <f t="shared" ref="E74:K74" si="55">E73</f>
        <v>0</v>
      </c>
      <c r="F74">
        <f t="shared" si="55"/>
        <v>34.893081072625222</v>
      </c>
      <c r="G74">
        <f t="shared" si="55"/>
        <v>290.29987203152535</v>
      </c>
      <c r="H74">
        <f t="shared" si="55"/>
        <v>33.305790151975543</v>
      </c>
      <c r="I74">
        <f t="shared" si="55"/>
        <v>101.30778047544456</v>
      </c>
      <c r="J74">
        <f t="shared" si="55"/>
        <v>0</v>
      </c>
      <c r="K74">
        <f t="shared" si="55"/>
        <v>171.63166855251129</v>
      </c>
      <c r="M74">
        <f>H24</f>
        <v>1.5243393602225312</v>
      </c>
      <c r="N74" s="32" t="str">
        <f t="shared" si="10"/>
        <v>BEV light truck lightweight</v>
      </c>
      <c r="O74" s="33">
        <f t="shared" si="11"/>
        <v>278.55160580269677</v>
      </c>
      <c r="P74" s="33">
        <f t="shared" si="11"/>
        <v>0</v>
      </c>
      <c r="Q74" s="33">
        <f t="shared" si="11"/>
        <v>53.188896878438442</v>
      </c>
      <c r="R74" s="33">
        <f t="shared" si="11"/>
        <v>442.51552120521802</v>
      </c>
      <c r="S74" s="33">
        <f t="shared" si="11"/>
        <v>50.76932685196828</v>
      </c>
      <c r="T74" s="33">
        <f t="shared" si="11"/>
        <v>154.42743727550379</v>
      </c>
      <c r="U74" s="33">
        <f t="shared" si="11"/>
        <v>0</v>
      </c>
      <c r="V74" s="34">
        <f t="shared" si="11"/>
        <v>261.62490783526061</v>
      </c>
    </row>
    <row r="75" spans="3:22">
      <c r="C75" t="s">
        <v>154</v>
      </c>
      <c r="D75">
        <f>D73</f>
        <v>182.73595307676916</v>
      </c>
      <c r="E75">
        <f t="shared" ref="E75:K75" si="56">E73</f>
        <v>0</v>
      </c>
      <c r="F75">
        <f t="shared" si="56"/>
        <v>34.893081072625222</v>
      </c>
      <c r="G75">
        <f t="shared" si="56"/>
        <v>290.29987203152535</v>
      </c>
      <c r="H75">
        <f t="shared" si="56"/>
        <v>33.305790151975543</v>
      </c>
      <c r="I75">
        <f t="shared" si="56"/>
        <v>101.30778047544456</v>
      </c>
      <c r="J75">
        <f t="shared" si="56"/>
        <v>0</v>
      </c>
      <c r="K75">
        <f t="shared" si="56"/>
        <v>171.63166855251129</v>
      </c>
      <c r="M75">
        <f t="shared" ref="M75:M76" si="57">H25</f>
        <v>0.56071983732741082</v>
      </c>
      <c r="N75" s="32" t="str">
        <f t="shared" si="10"/>
        <v>BEV microcar lightweight</v>
      </c>
      <c r="O75" s="33">
        <f t="shared" si="11"/>
        <v>102.46367388307539</v>
      </c>
      <c r="P75" s="33">
        <f t="shared" si="11"/>
        <v>0</v>
      </c>
      <c r="Q75" s="33">
        <f t="shared" si="11"/>
        <v>19.565242742894572</v>
      </c>
      <c r="R75" s="33">
        <f t="shared" si="11"/>
        <v>162.77689702168507</v>
      </c>
      <c r="S75" s="33">
        <f t="shared" si="11"/>
        <v>18.675217236076609</v>
      </c>
      <c r="T75" s="33">
        <f t="shared" si="11"/>
        <v>56.805282188192322</v>
      </c>
      <c r="U75" s="33">
        <f t="shared" si="11"/>
        <v>0</v>
      </c>
      <c r="V75" s="34">
        <f t="shared" si="11"/>
        <v>96.23728127099622</v>
      </c>
    </row>
    <row r="76" spans="3:22">
      <c r="C76" t="s">
        <v>155</v>
      </c>
      <c r="D76">
        <f>D73</f>
        <v>182.73595307676916</v>
      </c>
      <c r="E76">
        <f t="shared" ref="E76:K76" si="58">E73</f>
        <v>0</v>
      </c>
      <c r="F76">
        <f t="shared" si="58"/>
        <v>34.893081072625222</v>
      </c>
      <c r="G76">
        <f t="shared" si="58"/>
        <v>290.29987203152535</v>
      </c>
      <c r="H76">
        <f t="shared" si="58"/>
        <v>33.305790151975543</v>
      </c>
      <c r="I76">
        <f t="shared" si="58"/>
        <v>101.30778047544456</v>
      </c>
      <c r="J76">
        <f t="shared" si="58"/>
        <v>0</v>
      </c>
      <c r="K76">
        <f t="shared" si="58"/>
        <v>171.63166855251129</v>
      </c>
      <c r="M76">
        <f t="shared" si="57"/>
        <v>1.1797029053140047</v>
      </c>
      <c r="N76" s="32" t="str">
        <f t="shared" si="10"/>
        <v>BEV minivan/SUV lightweight</v>
      </c>
      <c r="O76" s="33">
        <f t="shared" si="11"/>
        <v>215.57413474998822</v>
      </c>
      <c r="P76" s="33">
        <f t="shared" si="11"/>
        <v>0</v>
      </c>
      <c r="Q76" s="33">
        <f t="shared" si="11"/>
        <v>41.163469116733083</v>
      </c>
      <c r="R76" s="33">
        <f t="shared" si="11"/>
        <v>342.46760244787424</v>
      </c>
      <c r="S76" s="33">
        <f t="shared" si="11"/>
        <v>39.290937406064117</v>
      </c>
      <c r="T76" s="33">
        <f t="shared" si="11"/>
        <v>119.51308295779535</v>
      </c>
      <c r="U76" s="33">
        <f t="shared" si="11"/>
        <v>0</v>
      </c>
      <c r="V76" s="34">
        <f t="shared" si="11"/>
        <v>202.47437803528786</v>
      </c>
    </row>
    <row r="77" spans="3:22">
      <c r="C77" t="s">
        <v>40</v>
      </c>
      <c r="D77">
        <f t="shared" ref="D77:K77" si="59">INDEX(veh_US_lookup_tab,MATCH($C77,veh_US_lookup_col,0),MATCH(D$32,veh_US_lookup_header,0))</f>
        <v>166.1086239340479</v>
      </c>
      <c r="E77">
        <f t="shared" si="59"/>
        <v>18.269604846291394</v>
      </c>
      <c r="F77">
        <f t="shared" si="59"/>
        <v>34.61010604694426</v>
      </c>
      <c r="G77">
        <f t="shared" si="59"/>
        <v>274.43674460057633</v>
      </c>
      <c r="H77">
        <f t="shared" si="59"/>
        <v>27.490179836310158</v>
      </c>
      <c r="I77">
        <f t="shared" si="59"/>
        <v>48.826799560278708</v>
      </c>
      <c r="J77">
        <f t="shared" si="59"/>
        <v>0</v>
      </c>
      <c r="K77">
        <f t="shared" si="59"/>
        <v>146.19367485711308</v>
      </c>
      <c r="M77">
        <v>1</v>
      </c>
      <c r="N77" s="32" t="str">
        <f t="shared" si="10"/>
        <v>HFCEV passenger car lightweight</v>
      </c>
      <c r="O77" s="33">
        <f t="shared" si="11"/>
        <v>166.1086239340479</v>
      </c>
      <c r="P77" s="33">
        <f t="shared" si="11"/>
        <v>18.269604846291394</v>
      </c>
      <c r="Q77" s="33">
        <f t="shared" si="11"/>
        <v>34.61010604694426</v>
      </c>
      <c r="R77" s="33">
        <f t="shared" si="11"/>
        <v>274.43674460057633</v>
      </c>
      <c r="S77" s="33">
        <f t="shared" si="11"/>
        <v>27.490179836310158</v>
      </c>
      <c r="T77" s="33">
        <f t="shared" si="11"/>
        <v>48.826799560278708</v>
      </c>
      <c r="U77" s="33">
        <f t="shared" si="11"/>
        <v>0</v>
      </c>
      <c r="V77" s="34">
        <f t="shared" si="11"/>
        <v>146.19367485711308</v>
      </c>
    </row>
    <row r="78" spans="3:22">
      <c r="C78" t="s">
        <v>41</v>
      </c>
      <c r="D78">
        <f>D77</f>
        <v>166.1086239340479</v>
      </c>
      <c r="E78">
        <f t="shared" ref="E78:K78" si="60">E77</f>
        <v>18.269604846291394</v>
      </c>
      <c r="F78">
        <f t="shared" si="60"/>
        <v>34.61010604694426</v>
      </c>
      <c r="G78">
        <f t="shared" si="60"/>
        <v>274.43674460057633</v>
      </c>
      <c r="H78">
        <f t="shared" si="60"/>
        <v>27.490179836310158</v>
      </c>
      <c r="I78">
        <f t="shared" si="60"/>
        <v>48.826799560278708</v>
      </c>
      <c r="J78">
        <f t="shared" si="60"/>
        <v>0</v>
      </c>
      <c r="K78">
        <f t="shared" si="60"/>
        <v>146.19367485711308</v>
      </c>
      <c r="M78">
        <f>H28</f>
        <v>1.5525423728813559</v>
      </c>
      <c r="N78" s="32" t="str">
        <f t="shared" si="10"/>
        <v>HFCEV light truck lightweight</v>
      </c>
      <c r="O78" s="33">
        <f t="shared" si="11"/>
        <v>257.89067715862353</v>
      </c>
      <c r="P78" s="33">
        <f t="shared" si="11"/>
        <v>28.364335659665958</v>
      </c>
      <c r="Q78" s="33">
        <f t="shared" si="11"/>
        <v>53.733656167798202</v>
      </c>
      <c r="R78" s="33">
        <f t="shared" si="11"/>
        <v>426.07467466801342</v>
      </c>
      <c r="S78" s="33">
        <f t="shared" si="11"/>
        <v>42.679669034000177</v>
      </c>
      <c r="T78" s="33">
        <f t="shared" si="11"/>
        <v>75.805675249517449</v>
      </c>
      <c r="U78" s="33">
        <f t="shared" si="11"/>
        <v>0</v>
      </c>
      <c r="V78" s="34">
        <f t="shared" si="11"/>
        <v>226.97187486290775</v>
      </c>
    </row>
    <row r="79" spans="3:22">
      <c r="C79" t="s">
        <v>156</v>
      </c>
      <c r="D79">
        <f>D77</f>
        <v>166.1086239340479</v>
      </c>
      <c r="E79">
        <f t="shared" ref="E79:K79" si="61">E77</f>
        <v>18.269604846291394</v>
      </c>
      <c r="F79">
        <f t="shared" si="61"/>
        <v>34.61010604694426</v>
      </c>
      <c r="G79">
        <f t="shared" si="61"/>
        <v>274.43674460057633</v>
      </c>
      <c r="H79">
        <f t="shared" si="61"/>
        <v>27.490179836310158</v>
      </c>
      <c r="I79">
        <f t="shared" si="61"/>
        <v>48.826799560278708</v>
      </c>
      <c r="J79">
        <f t="shared" si="61"/>
        <v>0</v>
      </c>
      <c r="K79">
        <f t="shared" si="61"/>
        <v>146.19367485711308</v>
      </c>
      <c r="M79">
        <f t="shared" ref="M79:M80" si="62">H29</f>
        <v>0.52766995769406777</v>
      </c>
      <c r="N79" s="32" t="str">
        <f t="shared" si="10"/>
        <v>HFCEV microcar lightweight</v>
      </c>
      <c r="O79" s="33">
        <f t="shared" ref="O79:V80" si="63">D79*$M79</f>
        <v>87.650530563898869</v>
      </c>
      <c r="P79" s="33">
        <f t="shared" si="63"/>
        <v>9.6403216163299152</v>
      </c>
      <c r="Q79" s="33">
        <f t="shared" si="63"/>
        <v>18.262713193578278</v>
      </c>
      <c r="R79" s="33">
        <f t="shared" si="63"/>
        <v>144.8120254130838</v>
      </c>
      <c r="S79" s="33">
        <f t="shared" si="63"/>
        <v>14.505742031228095</v>
      </c>
      <c r="T79" s="33">
        <f t="shared" si="63"/>
        <v>25.764435258308993</v>
      </c>
      <c r="U79" s="33">
        <f t="shared" si="63"/>
        <v>0</v>
      </c>
      <c r="V79" s="34">
        <f t="shared" si="63"/>
        <v>77.142010226993165</v>
      </c>
    </row>
    <row r="80" spans="3:22">
      <c r="C80" t="s">
        <v>157</v>
      </c>
      <c r="D80">
        <f>D77</f>
        <v>166.1086239340479</v>
      </c>
      <c r="E80">
        <f t="shared" ref="E80:K80" si="64">E77</f>
        <v>18.269604846291394</v>
      </c>
      <c r="F80">
        <f t="shared" si="64"/>
        <v>34.61010604694426</v>
      </c>
      <c r="G80">
        <f t="shared" si="64"/>
        <v>274.43674460057633</v>
      </c>
      <c r="H80">
        <f t="shared" si="64"/>
        <v>27.490179836310158</v>
      </c>
      <c r="I80">
        <f t="shared" si="64"/>
        <v>48.826799560278708</v>
      </c>
      <c r="J80">
        <f t="shared" si="64"/>
        <v>0</v>
      </c>
      <c r="K80">
        <f t="shared" si="64"/>
        <v>146.19367485711308</v>
      </c>
      <c r="M80">
        <f t="shared" si="62"/>
        <v>1.2395016703032666</v>
      </c>
      <c r="N80" s="35" t="str">
        <f t="shared" si="10"/>
        <v>HFCEV minivan/SUV lightweight</v>
      </c>
      <c r="O80" s="36">
        <f t="shared" si="63"/>
        <v>205.89191681802956</v>
      </c>
      <c r="P80" s="36">
        <f t="shared" si="63"/>
        <v>22.645205722758838</v>
      </c>
      <c r="Q80" s="36">
        <f t="shared" si="63"/>
        <v>42.899284254560598</v>
      </c>
      <c r="R80" s="36">
        <f t="shared" si="63"/>
        <v>340.16480332500538</v>
      </c>
      <c r="S80" s="36">
        <f t="shared" si="63"/>
        <v>34.074123824043625</v>
      </c>
      <c r="T80" s="36">
        <f t="shared" si="63"/>
        <v>60.520899610528261</v>
      </c>
      <c r="U80" s="36">
        <f t="shared" si="63"/>
        <v>0</v>
      </c>
      <c r="V80" s="37">
        <f t="shared" si="63"/>
        <v>181.20730417316435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8"/>
  <sheetViews>
    <sheetView workbookViewId="0">
      <selection activeCell="C23" sqref="C23"/>
    </sheetView>
  </sheetViews>
  <sheetFormatPr baseColWidth="10" defaultRowHeight="14.4"/>
  <sheetData>
    <row r="1" spans="1:28" ht="17.7">
      <c r="A1" s="19" t="s">
        <v>101</v>
      </c>
    </row>
    <row r="2" spans="1:28">
      <c r="A2" t="s">
        <v>102</v>
      </c>
      <c r="B2" t="s">
        <v>103</v>
      </c>
      <c r="C2" t="s">
        <v>104</v>
      </c>
      <c r="D2" t="s">
        <v>105</v>
      </c>
      <c r="Z2" t="s">
        <v>106</v>
      </c>
      <c r="AA2" t="s">
        <v>107</v>
      </c>
      <c r="AB2" t="s">
        <v>108</v>
      </c>
    </row>
    <row r="3" spans="1:28">
      <c r="D3" t="str">
        <f>[1]Scaling!D32</f>
        <v>automotive steel</v>
      </c>
      <c r="E3" t="str">
        <f>[1]Scaling!E32</f>
        <v>stainless steel</v>
      </c>
      <c r="F3" t="str">
        <f>[1]Scaling!F32</f>
        <v>cast iron</v>
      </c>
      <c r="G3" t="str">
        <f>[1]Scaling!G32</f>
        <v>wrought Al</v>
      </c>
      <c r="H3" t="str">
        <f>[1]Scaling!H32</f>
        <v>cast Al</v>
      </c>
      <c r="I3" t="str">
        <f>[1]Scaling!I32</f>
        <v>copper electric grade</v>
      </c>
      <c r="J3" t="str">
        <f>[1]Scaling!J32</f>
        <v>zinc</v>
      </c>
      <c r="K3" t="s">
        <v>109</v>
      </c>
      <c r="L3" t="s">
        <v>110</v>
      </c>
      <c r="M3" t="str">
        <f>[1]Scaling!K32</f>
        <v>plastics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117</v>
      </c>
      <c r="U3" t="s">
        <v>118</v>
      </c>
      <c r="V3" t="s">
        <v>119</v>
      </c>
      <c r="W3" t="s">
        <v>120</v>
      </c>
      <c r="X3" t="s">
        <v>121</v>
      </c>
      <c r="Y3" t="s">
        <v>122</v>
      </c>
    </row>
    <row r="4" spans="1:28">
      <c r="A4" t="str">
        <f>[1]Scaling!C33</f>
        <v xml:space="preserve">ICEV-g passenger car </v>
      </c>
      <c r="C4" t="s">
        <v>123</v>
      </c>
      <c r="D4">
        <v>593.91318234627215</v>
      </c>
      <c r="E4">
        <v>0</v>
      </c>
      <c r="F4">
        <v>131.90656858722551</v>
      </c>
      <c r="G4">
        <v>21.665366905384627</v>
      </c>
      <c r="H4">
        <v>8.5818581555169544</v>
      </c>
      <c r="I4">
        <v>24.098388490906636</v>
      </c>
      <c r="J4">
        <v>0</v>
      </c>
      <c r="K4">
        <v>0.11333465304463317</v>
      </c>
      <c r="L4">
        <v>38.448603590298298</v>
      </c>
      <c r="M4">
        <v>146.31739133125711</v>
      </c>
      <c r="N4">
        <v>28.038142712109611</v>
      </c>
      <c r="O4">
        <v>0</v>
      </c>
      <c r="P4">
        <v>0.31733129389325221</v>
      </c>
      <c r="Q4">
        <v>0</v>
      </c>
      <c r="R4">
        <v>0</v>
      </c>
      <c r="S4">
        <v>0</v>
      </c>
      <c r="T4">
        <v>0</v>
      </c>
      <c r="U4">
        <v>0</v>
      </c>
      <c r="V4">
        <v>6.3331781318004925E-3</v>
      </c>
      <c r="W4">
        <v>0</v>
      </c>
      <c r="X4">
        <v>0</v>
      </c>
      <c r="Y4">
        <v>39.12787881629945</v>
      </c>
      <c r="Z4" t="s">
        <v>124</v>
      </c>
      <c r="AB4" t="s">
        <v>125</v>
      </c>
    </row>
    <row r="5" spans="1:28">
      <c r="A5" t="str">
        <f>[1]Scaling!C57</f>
        <v>ICEV-g passenger car lightweight</v>
      </c>
      <c r="C5" t="s">
        <v>123</v>
      </c>
      <c r="D5">
        <v>240.75327503067197</v>
      </c>
      <c r="E5">
        <v>11.168690301996969</v>
      </c>
      <c r="F5">
        <v>38.395148320234092</v>
      </c>
      <c r="G5">
        <v>215.40063606035218</v>
      </c>
      <c r="H5">
        <v>26.652863059783218</v>
      </c>
      <c r="I5">
        <v>31.293781892651577</v>
      </c>
      <c r="J5">
        <v>0</v>
      </c>
      <c r="K5">
        <v>1.7011403184283702</v>
      </c>
      <c r="L5">
        <v>30.384552196470544</v>
      </c>
      <c r="M5">
        <v>139.35838690707828</v>
      </c>
      <c r="N5">
        <v>31.172699307205153</v>
      </c>
      <c r="O5">
        <v>0</v>
      </c>
      <c r="P5">
        <v>0.2093161354377312</v>
      </c>
      <c r="Q5">
        <v>0</v>
      </c>
      <c r="R5">
        <v>0</v>
      </c>
      <c r="S5">
        <v>0</v>
      </c>
      <c r="T5">
        <v>0</v>
      </c>
      <c r="U5">
        <v>0</v>
      </c>
      <c r="V5">
        <v>9.3072419183308098E-3</v>
      </c>
      <c r="W5">
        <v>0</v>
      </c>
      <c r="X5">
        <v>0</v>
      </c>
      <c r="Y5">
        <v>30.637308183828331</v>
      </c>
      <c r="Z5" t="s">
        <v>124</v>
      </c>
      <c r="AB5" t="s">
        <v>125</v>
      </c>
    </row>
    <row r="6" spans="1:28">
      <c r="A6" t="str">
        <f>[1]Scaling!C41</f>
        <v>HEV passenger car</v>
      </c>
      <c r="C6" t="s">
        <v>123</v>
      </c>
      <c r="D6">
        <v>657.7232025847876</v>
      </c>
      <c r="E6">
        <v>0</v>
      </c>
      <c r="F6">
        <v>101.3769041882037</v>
      </c>
      <c r="G6">
        <v>15.848315876678297</v>
      </c>
      <c r="H6">
        <v>12.017271240682883</v>
      </c>
      <c r="I6">
        <v>55.374192840557313</v>
      </c>
      <c r="J6">
        <v>0</v>
      </c>
      <c r="K6">
        <v>0.28918538473266109</v>
      </c>
      <c r="L6">
        <v>37.231514347134308</v>
      </c>
      <c r="M6">
        <v>149.94127823762105</v>
      </c>
      <c r="N6">
        <v>25.296120939490322</v>
      </c>
      <c r="O6">
        <v>0</v>
      </c>
      <c r="P6">
        <v>0</v>
      </c>
      <c r="Q6">
        <v>5.9158459429189163</v>
      </c>
      <c r="R6">
        <v>0</v>
      </c>
      <c r="S6">
        <v>0</v>
      </c>
      <c r="T6">
        <v>0</v>
      </c>
      <c r="U6">
        <v>0</v>
      </c>
      <c r="V6">
        <v>6.1497620203879106E-3</v>
      </c>
      <c r="W6">
        <v>0</v>
      </c>
      <c r="X6">
        <v>0</v>
      </c>
      <c r="Y6">
        <v>31.038207974792737</v>
      </c>
      <c r="Z6" t="s">
        <v>124</v>
      </c>
      <c r="AB6" t="s">
        <v>125</v>
      </c>
    </row>
    <row r="7" spans="1:28">
      <c r="A7" t="str">
        <f>[1]Scaling!C65</f>
        <v>HEV passenger car lightweight</v>
      </c>
      <c r="C7" t="s">
        <v>123</v>
      </c>
      <c r="D7">
        <v>270.24549809265579</v>
      </c>
      <c r="E7">
        <v>9.0569154334650239</v>
      </c>
      <c r="F7">
        <v>41.460046731549355</v>
      </c>
      <c r="G7">
        <v>208.13160661645145</v>
      </c>
      <c r="H7">
        <v>27.20666928977413</v>
      </c>
      <c r="I7">
        <v>50.105806369174111</v>
      </c>
      <c r="J7">
        <v>0</v>
      </c>
      <c r="K7">
        <v>1.7751853997248119</v>
      </c>
      <c r="L7">
        <v>28.211634652174748</v>
      </c>
      <c r="M7">
        <v>132.56508960800215</v>
      </c>
      <c r="N7">
        <v>27.529154318531891</v>
      </c>
      <c r="O7">
        <v>0</v>
      </c>
      <c r="P7">
        <v>0</v>
      </c>
      <c r="Q7">
        <v>5.0633517026764405</v>
      </c>
      <c r="R7">
        <v>0</v>
      </c>
      <c r="S7">
        <v>0</v>
      </c>
      <c r="T7">
        <v>0</v>
      </c>
      <c r="U7">
        <v>0</v>
      </c>
      <c r="V7">
        <v>5.6605721459156398E-3</v>
      </c>
      <c r="W7">
        <v>0</v>
      </c>
      <c r="X7">
        <v>0</v>
      </c>
      <c r="Y7">
        <v>25.903052732364465</v>
      </c>
      <c r="Z7" t="s">
        <v>124</v>
      </c>
      <c r="AB7" t="s">
        <v>125</v>
      </c>
    </row>
    <row r="8" spans="1:28">
      <c r="A8" t="str">
        <f>[1]Scaling!C45</f>
        <v>PHEV passenger car</v>
      </c>
      <c r="C8" t="s">
        <v>123</v>
      </c>
      <c r="D8">
        <v>628.49904328101616</v>
      </c>
      <c r="E8">
        <v>0</v>
      </c>
      <c r="F8">
        <v>94.825380410780468</v>
      </c>
      <c r="G8">
        <v>38.386873422688431</v>
      </c>
      <c r="H8">
        <v>13.326639580695124</v>
      </c>
      <c r="I8">
        <v>78.580734311323226</v>
      </c>
      <c r="J8">
        <v>0</v>
      </c>
      <c r="K8">
        <v>9.688548516756372E-2</v>
      </c>
      <c r="L8">
        <v>32.868249143484555</v>
      </c>
      <c r="M8">
        <v>135.07656016880844</v>
      </c>
      <c r="N8">
        <v>24.554522233605315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6.3226191909788133E-3</v>
      </c>
      <c r="W8">
        <v>0</v>
      </c>
      <c r="X8">
        <v>0</v>
      </c>
      <c r="Y8">
        <v>94.971465139090512</v>
      </c>
      <c r="Z8" t="s">
        <v>124</v>
      </c>
      <c r="AB8" t="s">
        <v>125</v>
      </c>
    </row>
    <row r="9" spans="1:28">
      <c r="A9" t="str">
        <f>[1]Scaling!C69</f>
        <v>PHEV passenger car lightweight</v>
      </c>
      <c r="C9" t="s">
        <v>123</v>
      </c>
      <c r="D9">
        <v>256.16696552462736</v>
      </c>
      <c r="E9">
        <v>8.1801591626449603</v>
      </c>
      <c r="F9">
        <v>36.746812822086369</v>
      </c>
      <c r="G9">
        <v>200.81678336882325</v>
      </c>
      <c r="H9">
        <v>27.135285277657186</v>
      </c>
      <c r="I9">
        <v>61.656070146990551</v>
      </c>
      <c r="J9">
        <v>0</v>
      </c>
      <c r="K9">
        <v>1.4107064739851576</v>
      </c>
      <c r="L9">
        <v>23.888093853146948</v>
      </c>
      <c r="M9">
        <v>120.66665177637951</v>
      </c>
      <c r="N9">
        <v>25.638924094469754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5.4534394417633074E-3</v>
      </c>
      <c r="W9">
        <v>0</v>
      </c>
      <c r="X9">
        <v>0</v>
      </c>
      <c r="Y9">
        <v>75.681047857681165</v>
      </c>
      <c r="Z9" t="s">
        <v>124</v>
      </c>
      <c r="AB9" t="s">
        <v>125</v>
      </c>
    </row>
    <row r="10" spans="1:28">
      <c r="A10" t="str">
        <f>[1]Scaling!C49</f>
        <v>BEV passenger car</v>
      </c>
      <c r="C10" t="s">
        <v>123</v>
      </c>
      <c r="D10">
        <v>715.98856977199068</v>
      </c>
      <c r="E10">
        <v>0</v>
      </c>
      <c r="F10">
        <v>29.517562608186445</v>
      </c>
      <c r="G10">
        <v>58.294326248798441</v>
      </c>
      <c r="H10">
        <v>12.54176435963201</v>
      </c>
      <c r="I10">
        <v>111.14242100025686</v>
      </c>
      <c r="J10">
        <v>0</v>
      </c>
      <c r="K10">
        <v>0.1347046567843001</v>
      </c>
      <c r="L10">
        <v>45.698343898640445</v>
      </c>
      <c r="M10">
        <v>184.16566382104941</v>
      </c>
      <c r="N10">
        <v>25.569425283720037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194.70380068116927</v>
      </c>
      <c r="Z10" t="s">
        <v>124</v>
      </c>
      <c r="AB10" t="s">
        <v>125</v>
      </c>
    </row>
    <row r="11" spans="1:28">
      <c r="A11" t="str">
        <f>[1]Scaling!C73</f>
        <v>BEV passenger car lightweight</v>
      </c>
      <c r="C11" t="s">
        <v>123</v>
      </c>
      <c r="D11">
        <v>182.73595307676916</v>
      </c>
      <c r="E11">
        <v>0</v>
      </c>
      <c r="F11">
        <v>34.893081072625222</v>
      </c>
      <c r="G11">
        <v>290.29987203152535</v>
      </c>
      <c r="H11">
        <v>33.305790151975543</v>
      </c>
      <c r="I11">
        <v>101.30778047544456</v>
      </c>
      <c r="J11">
        <v>0</v>
      </c>
      <c r="K11">
        <v>1.8431627145562579</v>
      </c>
      <c r="L11">
        <v>30.783510890292408</v>
      </c>
      <c r="M11">
        <v>171.63166855251129</v>
      </c>
      <c r="N11">
        <v>30.509997541114483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157.52524515619771</v>
      </c>
      <c r="Z11" t="s">
        <v>124</v>
      </c>
      <c r="AB11" t="s">
        <v>125</v>
      </c>
    </row>
    <row r="12" spans="1:28">
      <c r="A12" t="str">
        <f>[1]Scaling!C53</f>
        <v>HFCEV passenger car</v>
      </c>
      <c r="C12" t="s">
        <v>123</v>
      </c>
      <c r="D12">
        <v>608.07655530953593</v>
      </c>
      <c r="E12">
        <v>45.525916819981532</v>
      </c>
      <c r="F12">
        <v>28.958616224807525</v>
      </c>
      <c r="G12">
        <v>28.270371706910822</v>
      </c>
      <c r="H12">
        <v>7.2475263923225208</v>
      </c>
      <c r="I12">
        <v>47.890291524897592</v>
      </c>
      <c r="J12">
        <v>0</v>
      </c>
      <c r="K12">
        <v>0.32699910660748999</v>
      </c>
      <c r="L12">
        <v>42.49073811253583</v>
      </c>
      <c r="M12">
        <v>174.50924074147358</v>
      </c>
      <c r="N12">
        <v>27.767970980010507</v>
      </c>
      <c r="O12">
        <v>78.560399561386845</v>
      </c>
      <c r="P12">
        <v>8.3257012341632688</v>
      </c>
      <c r="Q12">
        <v>6.6526400985701954</v>
      </c>
      <c r="R12">
        <v>0.70889251435697442</v>
      </c>
      <c r="S12">
        <v>2.4475313554387013</v>
      </c>
      <c r="T12">
        <v>2.9336044231071465</v>
      </c>
      <c r="U12">
        <v>0</v>
      </c>
      <c r="V12">
        <v>2.0206363515831136E-2</v>
      </c>
      <c r="W12">
        <v>1.2273778786474403</v>
      </c>
      <c r="X12">
        <v>0.31197895852298441</v>
      </c>
      <c r="Y12">
        <v>42.486871381246416</v>
      </c>
      <c r="Z12" t="s">
        <v>124</v>
      </c>
      <c r="AB12" t="s">
        <v>125</v>
      </c>
    </row>
    <row r="13" spans="1:28">
      <c r="A13" t="str">
        <f>[1]Scaling!C77</f>
        <v>HFCEV passenger car lightweight</v>
      </c>
      <c r="C13" t="s">
        <v>123</v>
      </c>
      <c r="D13">
        <v>166.1086239340479</v>
      </c>
      <c r="E13">
        <v>18.269604846291394</v>
      </c>
      <c r="F13">
        <v>34.61010604694426</v>
      </c>
      <c r="G13">
        <v>274.43674460057633</v>
      </c>
      <c r="H13">
        <v>27.490179836310158</v>
      </c>
      <c r="I13">
        <v>48.826799560278708</v>
      </c>
      <c r="J13">
        <v>0</v>
      </c>
      <c r="K13">
        <v>2.3236906876109797</v>
      </c>
      <c r="L13">
        <v>35.556340937259847</v>
      </c>
      <c r="M13">
        <v>146.19367485711308</v>
      </c>
      <c r="N13">
        <v>30.215277639939657</v>
      </c>
      <c r="O13">
        <v>0</v>
      </c>
      <c r="P13">
        <v>1.5104314840343642</v>
      </c>
      <c r="Q13">
        <v>6.4214329646856347</v>
      </c>
      <c r="R13">
        <v>0.36124465237676456</v>
      </c>
      <c r="S13">
        <v>1.2472379038713519</v>
      </c>
      <c r="T13">
        <v>1.4949359579534596</v>
      </c>
      <c r="U13">
        <v>0</v>
      </c>
      <c r="V13">
        <v>1.0296964090100696E-2</v>
      </c>
      <c r="W13">
        <v>3.14892657162823E-2</v>
      </c>
      <c r="X13">
        <v>0.15898140851822884</v>
      </c>
      <c r="Y13">
        <v>34.880781598840507</v>
      </c>
      <c r="Z13" t="s">
        <v>124</v>
      </c>
      <c r="AB13" t="s">
        <v>125</v>
      </c>
    </row>
    <row r="18" spans="1:1" ht="18.3">
      <c r="A18" s="20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5"/>
  <sheetViews>
    <sheetView workbookViewId="0">
      <selection activeCell="B5" sqref="B5"/>
    </sheetView>
  </sheetViews>
  <sheetFormatPr baseColWidth="10" defaultRowHeight="14.4"/>
  <sheetData>
    <row r="2" spans="2:13"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</row>
    <row r="3" spans="2:13">
      <c r="B3" s="16">
        <v>43672</v>
      </c>
      <c r="C3" t="s">
        <v>15</v>
      </c>
      <c r="D3" s="17" t="s">
        <v>69</v>
      </c>
      <c r="E3" t="s">
        <v>17</v>
      </c>
      <c r="F3" t="s">
        <v>17</v>
      </c>
      <c r="G3" t="s">
        <v>82</v>
      </c>
      <c r="H3" t="s">
        <v>96</v>
      </c>
    </row>
    <row r="5" spans="2:13">
      <c r="B5" s="16">
        <v>43684</v>
      </c>
      <c r="C5" s="17" t="s">
        <v>69</v>
      </c>
      <c r="D5" s="17" t="s">
        <v>98</v>
      </c>
      <c r="E5" t="s">
        <v>17</v>
      </c>
      <c r="F5" t="s">
        <v>99</v>
      </c>
      <c r="G5" t="s">
        <v>82</v>
      </c>
      <c r="H5" s="18" t="s">
        <v>100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3"/>
  <sheetViews>
    <sheetView workbookViewId="0">
      <selection activeCell="F2" sqref="F2"/>
    </sheetView>
  </sheetViews>
  <sheetFormatPr baseColWidth="10" defaultRowHeight="14.4"/>
  <sheetData>
    <row r="2" spans="2:16">
      <c r="B2" s="2" t="s">
        <v>83</v>
      </c>
      <c r="C2" s="2" t="s">
        <v>84</v>
      </c>
      <c r="D2" s="2" t="s">
        <v>85</v>
      </c>
      <c r="E2" s="12" t="s">
        <v>206</v>
      </c>
      <c r="F2" s="12" t="s">
        <v>208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</row>
    <row r="3" spans="2:16">
      <c r="B3" t="s">
        <v>68</v>
      </c>
      <c r="C3">
        <v>1</v>
      </c>
      <c r="G3" t="s">
        <v>67</v>
      </c>
      <c r="H3" t="s">
        <v>97</v>
      </c>
      <c r="P3" s="38" t="s">
        <v>207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Cover</vt:lpstr>
      <vt:lpstr>Data</vt:lpstr>
      <vt:lpstr>___</vt:lpstr>
      <vt:lpstr>Scaling</vt:lpstr>
      <vt:lpstr>raw_data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2025-03-03T18:23:54Z</dcterms:modified>
</cp:coreProperties>
</file>